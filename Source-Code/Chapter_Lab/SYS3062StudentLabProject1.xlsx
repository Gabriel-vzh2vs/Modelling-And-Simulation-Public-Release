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n\Downloads\"/>
    </mc:Choice>
  </mc:AlternateContent>
  <xr:revisionPtr revIDLastSave="0" documentId="8_{20A3C041-BA07-4E76-99BD-684B0E9D416C}" xr6:coauthVersionLast="47" xr6:coauthVersionMax="47" xr10:uidLastSave="{00000000-0000-0000-0000-000000000000}"/>
  <bookViews>
    <workbookView xWindow="-98" yWindow="248" windowWidth="28996" windowHeight="17849" activeTab="3" xr2:uid="{8D893D03-6629-446E-9432-16A37E0ED099}"/>
  </bookViews>
  <sheets>
    <sheet name="Best-Worst Estimate" sheetId="2" r:id="rId1"/>
    <sheet name="Uncertain Range" sheetId="3" r:id="rId2"/>
    <sheet name="Uncertain Range+Risk Events" sheetId="4" r:id="rId3"/>
    <sheet name="Uncertain Range+Events + Corr" sheetId="5" r:id="rId4"/>
  </sheets>
  <externalReferences>
    <externalReference r:id="rId5"/>
  </externalReferences>
  <definedNames>
    <definedName name="AccomCost">'Uncertain Range+Events + Corr'!$I$5</definedName>
    <definedName name="FOREX">'Uncertain Range+Events + Corr'!$I$25</definedName>
    <definedName name="HolActivityTours">'Uncertain Range+Events + Corr'!$I$8</definedName>
    <definedName name="Meals">'Uncertain Range+Events + Corr'!$I$6</definedName>
    <definedName name="MedEmergencyLikelihood">'Uncertain Range+Events + Corr'!$G$19</definedName>
    <definedName name="MiscShopping">'Uncertain Range+Events + Corr'!$I$7</definedName>
    <definedName name="PlaneFare">'Uncertain Range+Events + Corr'!$I$4</definedName>
    <definedName name="TheftLikelihood">'Uncertain Range+Events + Corr'!$G$20</definedName>
    <definedName name="TornadoX">INDIRECT("'Risk Results 1'!"&amp;ADDRESS(5+COUNTBLANK(OFFSET(#REF!,0,#REF!)),46)&amp;":$AT$9")</definedName>
    <definedName name="TornadoY">OFFSET(INDIRECT("'Risk Results 1'!"&amp;ADDRESS(5+COUNTBLANK(OFFSET(#REF!,0,#REF!)),46)&amp;":$AT$9"),0,#REF!)</definedName>
    <definedName name="TravelGear">'Uncertain Range+Events + Corr'!$I$9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5" l="1"/>
  <c r="I19" i="5"/>
  <c r="I10" i="5"/>
  <c r="I13" i="4"/>
  <c r="I14" i="4"/>
  <c r="I10" i="4"/>
  <c r="E10" i="3"/>
  <c r="E12" i="3" s="1"/>
  <c r="C10" i="2"/>
  <c r="C12" i="2" s="1"/>
  <c r="B10" i="2"/>
  <c r="B12" i="2" s="1"/>
  <c r="I21" i="5" l="1"/>
  <c r="I23" i="5" s="1"/>
  <c r="I27" i="5" s="1"/>
  <c r="I15" i="4"/>
  <c r="I17" i="4"/>
  <c r="I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Lawrence</author>
  </authors>
  <commentList>
    <comment ref="G13" authorId="0" shapeId="0" xr:uid="{000A9FE0-441A-4509-A399-48D848DDA492}">
      <text>
        <r>
          <rPr>
            <b/>
            <sz val="9"/>
            <color indexed="81"/>
            <rFont val="Tahoma"/>
            <family val="2"/>
          </rPr>
          <t>Gabriel Lawrence:</t>
        </r>
        <r>
          <rPr>
            <sz val="9"/>
            <color indexed="81"/>
            <rFont val="Tahoma"/>
            <family val="2"/>
          </rPr>
          <t xml:space="preserve">
Gabe Hint: This is a single trial similar to a coin filp.</t>
        </r>
      </text>
    </comment>
    <comment ref="H13" authorId="0" shapeId="0" xr:uid="{984820E1-EA0D-4A02-9C9A-02A539F4FDEA}">
      <text>
        <r>
          <rPr>
            <b/>
            <sz val="9"/>
            <color indexed="81"/>
            <rFont val="Tahoma"/>
            <family val="2"/>
          </rPr>
          <t>Gabriel Lawrence:</t>
        </r>
        <r>
          <rPr>
            <sz val="9"/>
            <color indexed="81"/>
            <rFont val="Tahoma"/>
            <family val="2"/>
          </rPr>
          <t xml:space="preserve">
Gabe Hint: This is likely a variable type that is equally likely to be any value in the range. </t>
        </r>
      </text>
    </comment>
  </commentList>
</comments>
</file>

<file path=xl/sharedStrings.xml><?xml version="1.0" encoding="utf-8"?>
<sst xmlns="http://schemas.openxmlformats.org/spreadsheetml/2006/main" count="133" uniqueCount="40">
  <si>
    <t>Worst-Best Case Estimate</t>
  </si>
  <si>
    <t>Element</t>
  </si>
  <si>
    <t>Est Low</t>
  </si>
  <si>
    <t>Est High</t>
  </si>
  <si>
    <t>Estimate Basis / Assumptions</t>
  </si>
  <si>
    <t>Plane Fare</t>
  </si>
  <si>
    <t>Based on travel websites and different plane flight costs for economy class</t>
  </si>
  <si>
    <t xml:space="preserve">Accommodation Costs </t>
  </si>
  <si>
    <t>5 nights X  $400 – 800/day based on online survey of hotel and hostel rates</t>
  </si>
  <si>
    <t xml:space="preserve">Meals  </t>
  </si>
  <si>
    <t xml:space="preserve">5 nights X $100-180/day based on online travel blogs </t>
  </si>
  <si>
    <t xml:space="preserve">Misc. Shopping Expenses </t>
  </si>
  <si>
    <t>“Fixed” Budget set</t>
  </si>
  <si>
    <t>Holiday Activity/Tours</t>
  </si>
  <si>
    <t>Clothing/Travel Gear</t>
  </si>
  <si>
    <t>Based on online apparel store prices for hiking equipment and winter jackets</t>
  </si>
  <si>
    <t xml:space="preserve">GRAND TOTAL ( In Fantasy Bucks) </t>
  </si>
  <si>
    <t>GRAND TOTAL (In USD)</t>
  </si>
  <si>
    <t>Assuming an exchange rate of 1 USD = 4 Fantasy Bucks</t>
  </si>
  <si>
    <t>Monte Carlo Estimate With Uncertain Ranges</t>
  </si>
  <si>
    <t>Most Likely</t>
  </si>
  <si>
    <t>Risked Value</t>
  </si>
  <si>
    <t>Risk Variable Type</t>
  </si>
  <si>
    <t>Reflects Range of Hi Lo Values From Upscale Tourist Packages To Self Guided Tours</t>
  </si>
  <si>
    <t>Monte Carlo Estimate With Uncertain Ranges + Discrete Risk Events</t>
  </si>
  <si>
    <t>-</t>
  </si>
  <si>
    <t xml:space="preserve">Discrete "Events" </t>
  </si>
  <si>
    <t>Likelihood</t>
  </si>
  <si>
    <t>Risked Likelihood</t>
  </si>
  <si>
    <t>Risked 
Impact</t>
  </si>
  <si>
    <t>Medical Emergency Req. Treatment</t>
  </si>
  <si>
    <t xml:space="preserve">Assumes no hospitalisation and only outpatient treatment </t>
  </si>
  <si>
    <t>Theft Of Belongings / Lost Baggage</t>
  </si>
  <si>
    <t>Likelihood based on past holiday experience and estimated cost of travel belongings</t>
  </si>
  <si>
    <t>Monte Carlo Estimate With Uncertain Ranges + Discrete Risk Events + Correlations Between Uncertain Variables</t>
  </si>
  <si>
    <t>Correlation Matrix</t>
  </si>
  <si>
    <t>Accom Costs</t>
  </si>
  <si>
    <t>Meals</t>
  </si>
  <si>
    <t>Holiday Tours</t>
  </si>
  <si>
    <t>FOREX USD to Fantasy Bucks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</si>
</sst>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8"/>
      <name val="Arial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6"/>
      <color theme="1"/>
      <name val="Calibri"/>
      <family val="2"/>
    </font>
    <font>
      <sz val="14"/>
      <color rgb="FF000000"/>
      <name val="Calibri"/>
      <family val="2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8"/>
      <color theme="1"/>
      <name val="Calibri"/>
      <family val="2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1" applyNumberFormat="0" applyFont="0" applyAlignment="0" applyProtection="0"/>
  </cellStyleXfs>
  <cellXfs count="39">
    <xf numFmtId="0" fontId="0" fillId="0" borderId="0" xfId="0"/>
    <xf numFmtId="0" fontId="4" fillId="4" borderId="0" xfId="0" applyFont="1" applyFill="1"/>
    <xf numFmtId="0" fontId="0" fillId="4" borderId="0" xfId="0" applyFill="1"/>
    <xf numFmtId="0" fontId="5" fillId="4" borderId="2" xfId="0" applyFont="1" applyFill="1" applyBorder="1" applyAlignment="1">
      <alignment horizontal="left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left" vertical="center" wrapText="1" readingOrder="1"/>
    </xf>
    <xf numFmtId="3" fontId="6" fillId="4" borderId="2" xfId="0" applyNumberFormat="1" applyFont="1" applyFill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7" fillId="4" borderId="2" xfId="0" applyFont="1" applyFill="1" applyBorder="1" applyAlignment="1">
      <alignment horizontal="left" vertical="center" wrapText="1" readingOrder="1"/>
    </xf>
    <xf numFmtId="3" fontId="8" fillId="4" borderId="2" xfId="0" applyNumberFormat="1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horizontal="left" vertical="center" wrapText="1" readingOrder="1"/>
    </xf>
    <xf numFmtId="3" fontId="6" fillId="4" borderId="2" xfId="0" quotePrefix="1" applyNumberFormat="1" applyFont="1" applyFill="1" applyBorder="1" applyAlignment="1">
      <alignment horizontal="center" vertical="center" wrapText="1" readingOrder="1"/>
    </xf>
    <xf numFmtId="0" fontId="6" fillId="4" borderId="0" xfId="0" applyFont="1" applyFill="1" applyAlignment="1">
      <alignment horizontal="left" vertical="center" wrapText="1" readingOrder="1"/>
    </xf>
    <xf numFmtId="0" fontId="6" fillId="4" borderId="0" xfId="0" applyFont="1" applyFill="1" applyAlignment="1">
      <alignment horizontal="center" vertical="center" wrapText="1" readingOrder="1"/>
    </xf>
    <xf numFmtId="3" fontId="6" fillId="4" borderId="0" xfId="0" applyNumberFormat="1" applyFont="1" applyFill="1" applyAlignment="1">
      <alignment horizontal="center" vertical="center" wrapText="1" readingOrder="1"/>
    </xf>
    <xf numFmtId="0" fontId="9" fillId="4" borderId="0" xfId="0" applyFont="1" applyFill="1" applyAlignment="1">
      <alignment horizontal="left" vertical="center" wrapText="1" readingOrder="1"/>
    </xf>
    <xf numFmtId="0" fontId="10" fillId="4" borderId="2" xfId="0" applyFont="1" applyFill="1" applyBorder="1" applyAlignment="1">
      <alignment horizontal="center" vertical="center" wrapText="1" readingOrder="1"/>
    </xf>
    <xf numFmtId="9" fontId="11" fillId="4" borderId="2" xfId="0" applyNumberFormat="1" applyFont="1" applyFill="1" applyBorder="1" applyAlignment="1">
      <alignment horizontal="center" vertical="center" wrapText="1" readingOrder="1"/>
    </xf>
    <xf numFmtId="0" fontId="13" fillId="4" borderId="2" xfId="0" applyFont="1" applyFill="1" applyBorder="1"/>
    <xf numFmtId="9" fontId="11" fillId="4" borderId="0" xfId="0" applyNumberFormat="1" applyFont="1" applyFill="1" applyAlignment="1">
      <alignment horizontal="center" vertical="center" wrapText="1" readingOrder="1"/>
    </xf>
    <xf numFmtId="0" fontId="10" fillId="4" borderId="0" xfId="0" applyFont="1" applyFill="1" applyAlignment="1">
      <alignment horizontal="center" vertical="center" wrapText="1" readingOrder="1"/>
    </xf>
    <xf numFmtId="3" fontId="12" fillId="4" borderId="0" xfId="0" applyNumberFormat="1" applyFont="1" applyFill="1" applyAlignment="1">
      <alignment horizontal="center" vertical="center" wrapText="1" readingOrder="1"/>
    </xf>
    <xf numFmtId="0" fontId="13" fillId="4" borderId="0" xfId="0" applyFont="1" applyFill="1"/>
    <xf numFmtId="3" fontId="6" fillId="3" borderId="1" xfId="2" applyNumberFormat="1" applyFont="1" applyAlignment="1">
      <alignment horizontal="center" vertical="center" wrapText="1" readingOrder="1"/>
    </xf>
    <xf numFmtId="0" fontId="6" fillId="3" borderId="1" xfId="2" applyFont="1" applyAlignment="1">
      <alignment horizontal="center" vertical="center" wrapText="1" readingOrder="1"/>
    </xf>
    <xf numFmtId="3" fontId="3" fillId="2" borderId="2" xfId="1" applyNumberFormat="1" applyBorder="1" applyAlignment="1">
      <alignment horizontal="center" vertical="center" wrapText="1" readingOrder="1"/>
    </xf>
    <xf numFmtId="3" fontId="12" fillId="3" borderId="1" xfId="2" applyNumberFormat="1" applyFont="1" applyAlignment="1">
      <alignment horizontal="center" vertical="center" wrapText="1" readingOrder="1"/>
    </xf>
    <xf numFmtId="0" fontId="10" fillId="3" borderId="1" xfId="2" applyFont="1" applyAlignment="1">
      <alignment horizontal="center" vertical="center" wrapText="1" readingOrder="1"/>
    </xf>
    <xf numFmtId="3" fontId="0" fillId="4" borderId="0" xfId="0" applyNumberFormat="1" applyFill="1"/>
    <xf numFmtId="0" fontId="16" fillId="4" borderId="0" xfId="0" applyFont="1" applyFill="1" applyAlignment="1">
      <alignment horizontal="center" vertical="top" readingOrder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2" fontId="6" fillId="4" borderId="2" xfId="0" applyNumberFormat="1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left" vertical="center" wrapText="1" readingOrder="1"/>
    </xf>
    <xf numFmtId="3" fontId="8" fillId="4" borderId="0" xfId="0" applyNumberFormat="1" applyFont="1" applyFill="1" applyAlignment="1">
      <alignment horizontal="center" vertical="top" wrapText="1"/>
    </xf>
    <xf numFmtId="2" fontId="17" fillId="4" borderId="0" xfId="0" applyNumberFormat="1" applyFont="1" applyFill="1" applyAlignment="1">
      <alignment horizontal="center" vertical="center"/>
    </xf>
    <xf numFmtId="0" fontId="3" fillId="2" borderId="2" xfId="1" applyBorder="1" applyAlignment="1">
      <alignment horizontal="center" vertical="center" wrapText="1" readingOrder="1"/>
    </xf>
    <xf numFmtId="4" fontId="2" fillId="3" borderId="1" xfId="2" applyNumberFormat="1" applyFont="1" applyAlignment="1">
      <alignment horizontal="center" vertical="center" wrapText="1" readingOrder="1"/>
    </xf>
  </cellXfs>
  <cellStyles count="3">
    <cellStyle name="Neutral" xfId="1" builtinId="28"/>
    <cellStyle name="Normal" xfId="0" builtinId="0"/>
    <cellStyle name="Note" xfId="2" builtinId="10"/>
  </cellStyles>
  <dxfs count="0"/>
  <tableStyles count="1" defaultTableStyle="TableStyleMedium2" defaultPivotStyle="PivotStyleLight16">
    <tableStyle name="Invisible" pivot="0" table="0" count="0" xr9:uid="{74DA4C6E-E72D-4611-B87A-72AA458614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ain\Downloads\FantasyIslandHolidayBudget%20(1).xlsx" TargetMode="External"/><Relationship Id="rId1" Type="http://schemas.openxmlformats.org/officeDocument/2006/relationships/externalLinkPath" Target="FantasyIslandHolidayBudge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ngle Point Estimate"/>
      <sheetName val="Best-Worst Estimate"/>
      <sheetName val="Uncertain Range"/>
      <sheetName val="Uncertain Range+Risk Events"/>
      <sheetName val="Uncertain Range+Events + Corr"/>
      <sheetName val="XLRisk"/>
      <sheetName val="Risk Results 1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B6" t="str">
            <v>Tornado Diagram for GrandTotal (Range+Risk+Corr+FOREX) (Uncertain Range+Events + Corr'!$I$27)</v>
          </cell>
        </row>
        <row r="22">
          <cell r="AC22">
            <v>0</v>
          </cell>
          <cell r="AD22">
            <v>2607.3374653519832</v>
          </cell>
        </row>
        <row r="23">
          <cell r="AC23">
            <v>2.5000000000000001E-2</v>
          </cell>
          <cell r="AD23">
            <v>2961.530122672913</v>
          </cell>
        </row>
        <row r="24">
          <cell r="AC24">
            <v>0.05</v>
          </cell>
          <cell r="AD24">
            <v>3052.3378794420692</v>
          </cell>
        </row>
        <row r="25">
          <cell r="AC25">
            <v>7.4999999999999997E-2</v>
          </cell>
          <cell r="AD25">
            <v>3135.0388885911211</v>
          </cell>
        </row>
        <row r="26">
          <cell r="AC26">
            <v>0.1</v>
          </cell>
          <cell r="AD26">
            <v>3190.800589993511</v>
          </cell>
        </row>
        <row r="27">
          <cell r="AC27">
            <v>0.125</v>
          </cell>
          <cell r="AD27">
            <v>3229.9293782395494</v>
          </cell>
        </row>
        <row r="28">
          <cell r="AC28">
            <v>0.15</v>
          </cell>
          <cell r="AD28">
            <v>3271.9912588054835</v>
          </cell>
        </row>
        <row r="29">
          <cell r="AC29">
            <v>0.17499999999999999</v>
          </cell>
          <cell r="AD29">
            <v>3327.0006019254406</v>
          </cell>
        </row>
        <row r="30">
          <cell r="AC30">
            <v>0.2</v>
          </cell>
          <cell r="AD30">
            <v>3362.590041450439</v>
          </cell>
        </row>
        <row r="31">
          <cell r="AC31">
            <v>0.22500000000000001</v>
          </cell>
          <cell r="AD31">
            <v>3396.2576597480183</v>
          </cell>
        </row>
        <row r="32">
          <cell r="AC32">
            <v>0.25</v>
          </cell>
          <cell r="AD32">
            <v>3432.8552612098392</v>
          </cell>
        </row>
        <row r="33">
          <cell r="AC33">
            <v>0.27500000000000002</v>
          </cell>
          <cell r="AD33">
            <v>3476.8987650772333</v>
          </cell>
        </row>
        <row r="34">
          <cell r="AC34">
            <v>0.3</v>
          </cell>
          <cell r="AD34">
            <v>3510.0247355755801</v>
          </cell>
        </row>
        <row r="35">
          <cell r="AC35">
            <v>0.32500000000000001</v>
          </cell>
          <cell r="AD35">
            <v>3542.0710377905866</v>
          </cell>
        </row>
        <row r="36">
          <cell r="AC36">
            <v>0.35</v>
          </cell>
          <cell r="AD36">
            <v>3575.4761145934613</v>
          </cell>
        </row>
        <row r="37">
          <cell r="AC37">
            <v>0.375</v>
          </cell>
          <cell r="AD37">
            <v>3598.9398525150982</v>
          </cell>
        </row>
        <row r="38">
          <cell r="AC38">
            <v>0.4</v>
          </cell>
          <cell r="AD38">
            <v>3636.2357568191219</v>
          </cell>
        </row>
        <row r="39">
          <cell r="AC39">
            <v>0.42499999999999999</v>
          </cell>
          <cell r="AD39">
            <v>3659.8120403132343</v>
          </cell>
        </row>
        <row r="40">
          <cell r="AC40">
            <v>0.45</v>
          </cell>
          <cell r="AD40">
            <v>3689.5016945062489</v>
          </cell>
        </row>
        <row r="41">
          <cell r="AC41">
            <v>0.47499999999999998</v>
          </cell>
          <cell r="AD41">
            <v>3723.7819650180613</v>
          </cell>
        </row>
        <row r="42">
          <cell r="AC42">
            <v>0.5</v>
          </cell>
          <cell r="AD42">
            <v>3757.4633123963322</v>
          </cell>
        </row>
        <row r="43">
          <cell r="AC43">
            <v>0.52500000000000002</v>
          </cell>
          <cell r="AD43">
            <v>3787.6771950261191</v>
          </cell>
        </row>
        <row r="44">
          <cell r="AC44">
            <v>0.55000000000000004</v>
          </cell>
          <cell r="AD44">
            <v>3821.9119940806636</v>
          </cell>
        </row>
        <row r="45">
          <cell r="AC45">
            <v>0.57499999999999996</v>
          </cell>
          <cell r="AD45">
            <v>3848.660916064196</v>
          </cell>
        </row>
        <row r="46">
          <cell r="AC46">
            <v>0.6</v>
          </cell>
          <cell r="AD46">
            <v>3878.4397960165456</v>
          </cell>
        </row>
        <row r="47">
          <cell r="AC47">
            <v>0.625</v>
          </cell>
          <cell r="AD47">
            <v>3914.8168523769186</v>
          </cell>
        </row>
        <row r="48">
          <cell r="AC48">
            <v>0.65</v>
          </cell>
          <cell r="AD48">
            <v>3958.3328098288157</v>
          </cell>
        </row>
        <row r="49">
          <cell r="AC49">
            <v>0.67500000000000004</v>
          </cell>
          <cell r="AD49">
            <v>4000.374117058228</v>
          </cell>
        </row>
        <row r="50">
          <cell r="AC50">
            <v>0.7</v>
          </cell>
          <cell r="AD50">
            <v>4032.0726397601511</v>
          </cell>
        </row>
        <row r="51">
          <cell r="AC51">
            <v>0.72499999999999998</v>
          </cell>
          <cell r="AD51">
            <v>4068.8772376080528</v>
          </cell>
        </row>
        <row r="52">
          <cell r="AC52">
            <v>0.75</v>
          </cell>
          <cell r="AD52">
            <v>4115.76947104184</v>
          </cell>
        </row>
        <row r="53">
          <cell r="AC53">
            <v>0.77500000000000002</v>
          </cell>
          <cell r="AD53">
            <v>4166.1267843303458</v>
          </cell>
        </row>
        <row r="54">
          <cell r="AC54">
            <v>0.8</v>
          </cell>
          <cell r="AD54">
            <v>4223.227529807501</v>
          </cell>
        </row>
        <row r="55">
          <cell r="AC55">
            <v>0.82499999999999996</v>
          </cell>
          <cell r="AD55">
            <v>4267.7636384278321</v>
          </cell>
        </row>
        <row r="56">
          <cell r="AC56">
            <v>0.85</v>
          </cell>
          <cell r="AD56">
            <v>4343.871392562548</v>
          </cell>
        </row>
        <row r="57">
          <cell r="AC57">
            <v>0.875</v>
          </cell>
          <cell r="AD57">
            <v>4406.1938510205046</v>
          </cell>
        </row>
        <row r="58">
          <cell r="AC58">
            <v>0.9</v>
          </cell>
          <cell r="AD58">
            <v>4456.0825455464592</v>
          </cell>
        </row>
        <row r="59">
          <cell r="AC59">
            <v>0.92500000000000004</v>
          </cell>
          <cell r="AD59">
            <v>4549.4832581393466</v>
          </cell>
        </row>
        <row r="60">
          <cell r="AC60">
            <v>0.95</v>
          </cell>
          <cell r="AD60">
            <v>4675.7233696146704</v>
          </cell>
        </row>
        <row r="61">
          <cell r="AC61">
            <v>0.97499999999999998</v>
          </cell>
          <cell r="AD61">
            <v>4865.8941510137292</v>
          </cell>
        </row>
        <row r="62">
          <cell r="AC62">
            <v>1</v>
          </cell>
          <cell r="AD62">
            <v>6239.9742397571472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774D-75A7-4B12-95E8-9A0A7A1ECFF2}">
  <dimension ref="A1:G27"/>
  <sheetViews>
    <sheetView workbookViewId="0">
      <selection activeCell="G4" sqref="G4"/>
    </sheetView>
  </sheetViews>
  <sheetFormatPr defaultRowHeight="14.25" x14ac:dyDescent="0.45"/>
  <cols>
    <col min="1" max="1" width="43.1328125" customWidth="1"/>
    <col min="2" max="2" width="20.86328125" customWidth="1"/>
    <col min="3" max="3" width="16.1328125" customWidth="1"/>
    <col min="4" max="4" width="106.59765625" customWidth="1"/>
  </cols>
  <sheetData>
    <row r="1" spans="1:7" ht="29.25" x14ac:dyDescent="0.9">
      <c r="A1" s="1" t="s">
        <v>0</v>
      </c>
      <c r="B1" s="2"/>
      <c r="C1" s="2"/>
      <c r="D1" s="2"/>
      <c r="E1" s="2"/>
      <c r="F1" s="2"/>
      <c r="G1" s="2"/>
    </row>
    <row r="2" spans="1:7" x14ac:dyDescent="0.45">
      <c r="A2" s="2"/>
      <c r="B2" s="2"/>
      <c r="C2" s="2"/>
      <c r="D2" s="2"/>
      <c r="E2" s="2"/>
      <c r="F2" s="2"/>
      <c r="G2" s="2"/>
    </row>
    <row r="3" spans="1:7" ht="21" x14ac:dyDescent="0.45">
      <c r="A3" s="3" t="s">
        <v>1</v>
      </c>
      <c r="B3" s="4" t="s">
        <v>2</v>
      </c>
      <c r="C3" s="4" t="s">
        <v>3</v>
      </c>
      <c r="D3" s="4" t="s">
        <v>4</v>
      </c>
      <c r="E3" s="2"/>
      <c r="F3" s="2"/>
      <c r="G3" s="2"/>
    </row>
    <row r="4" spans="1:7" ht="21" x14ac:dyDescent="0.45">
      <c r="A4" s="5" t="s">
        <v>5</v>
      </c>
      <c r="B4" s="6">
        <v>5000</v>
      </c>
      <c r="C4" s="6">
        <v>12000</v>
      </c>
      <c r="D4" s="5" t="s">
        <v>6</v>
      </c>
      <c r="E4" s="2"/>
      <c r="F4" s="2"/>
      <c r="G4" s="2"/>
    </row>
    <row r="5" spans="1:7" ht="21" x14ac:dyDescent="0.45">
      <c r="A5" s="5" t="s">
        <v>7</v>
      </c>
      <c r="B5" s="6">
        <v>2000</v>
      </c>
      <c r="C5" s="6">
        <v>4000</v>
      </c>
      <c r="D5" s="5" t="s">
        <v>8</v>
      </c>
      <c r="E5" s="2"/>
      <c r="F5" s="2"/>
      <c r="G5" s="2"/>
    </row>
    <row r="6" spans="1:7" ht="21" x14ac:dyDescent="0.45">
      <c r="A6" s="5" t="s">
        <v>9</v>
      </c>
      <c r="B6" s="7">
        <v>500</v>
      </c>
      <c r="C6" s="7">
        <v>900</v>
      </c>
      <c r="D6" s="5" t="s">
        <v>10</v>
      </c>
      <c r="E6" s="2"/>
      <c r="F6" s="2"/>
      <c r="G6" s="2"/>
    </row>
    <row r="7" spans="1:7" ht="21" x14ac:dyDescent="0.45">
      <c r="A7" s="5" t="s">
        <v>11</v>
      </c>
      <c r="B7" s="6">
        <v>1000</v>
      </c>
      <c r="C7" s="6">
        <v>1000</v>
      </c>
      <c r="D7" s="5" t="s">
        <v>12</v>
      </c>
      <c r="E7" s="2"/>
      <c r="F7" s="2"/>
      <c r="G7" s="2"/>
    </row>
    <row r="8" spans="1:7" ht="21" x14ac:dyDescent="0.45">
      <c r="A8" s="5" t="s">
        <v>13</v>
      </c>
      <c r="B8" s="6">
        <v>3000</v>
      </c>
      <c r="C8" s="6">
        <v>3000</v>
      </c>
      <c r="D8" s="5" t="s">
        <v>12</v>
      </c>
      <c r="E8" s="2"/>
      <c r="F8" s="2"/>
      <c r="G8" s="2"/>
    </row>
    <row r="9" spans="1:7" ht="21" x14ac:dyDescent="0.45">
      <c r="A9" s="5" t="s">
        <v>14</v>
      </c>
      <c r="B9" s="7">
        <v>300</v>
      </c>
      <c r="C9" s="7">
        <v>500</v>
      </c>
      <c r="D9" s="5" t="s">
        <v>15</v>
      </c>
      <c r="E9" s="2"/>
      <c r="F9" s="2"/>
      <c r="G9" s="2"/>
    </row>
    <row r="10" spans="1:7" ht="25.5" customHeight="1" x14ac:dyDescent="0.45">
      <c r="A10" s="8" t="s">
        <v>16</v>
      </c>
      <c r="B10" s="9">
        <f>SUM(B4:B9)</f>
        <v>11800</v>
      </c>
      <c r="C10" s="9">
        <f>SUM(C4:C9)</f>
        <v>21400</v>
      </c>
      <c r="D10" s="10"/>
      <c r="E10" s="2"/>
      <c r="F10" s="2"/>
      <c r="G10" s="2"/>
    </row>
    <row r="11" spans="1:7" x14ac:dyDescent="0.45">
      <c r="A11" s="2"/>
      <c r="B11" s="2"/>
      <c r="C11" s="2"/>
      <c r="D11" s="2"/>
      <c r="E11" s="2"/>
      <c r="F11" s="2"/>
      <c r="G11" s="2"/>
    </row>
    <row r="12" spans="1:7" ht="22.15" x14ac:dyDescent="0.45">
      <c r="A12" s="8" t="s">
        <v>17</v>
      </c>
      <c r="B12" s="9">
        <f>B10/E12</f>
        <v>2950</v>
      </c>
      <c r="C12" s="9">
        <f>C10/E12</f>
        <v>5350</v>
      </c>
      <c r="D12" s="5" t="s">
        <v>18</v>
      </c>
      <c r="E12" s="2">
        <v>4</v>
      </c>
      <c r="F12" s="2"/>
      <c r="G12" s="2"/>
    </row>
    <row r="13" spans="1:7" x14ac:dyDescent="0.45">
      <c r="A13" s="2"/>
      <c r="B13" s="2"/>
      <c r="C13" s="2"/>
      <c r="D13" s="2"/>
      <c r="E13" s="2"/>
      <c r="F13" s="2"/>
      <c r="G13" s="2"/>
    </row>
    <row r="14" spans="1:7" x14ac:dyDescent="0.45">
      <c r="A14" s="2"/>
      <c r="B14" s="2"/>
      <c r="C14" s="2"/>
      <c r="D14" s="2"/>
      <c r="E14" s="2"/>
      <c r="F14" s="2"/>
      <c r="G14" s="2"/>
    </row>
    <row r="15" spans="1:7" x14ac:dyDescent="0.45">
      <c r="A15" s="2"/>
      <c r="B15" s="2"/>
      <c r="C15" s="2"/>
      <c r="D15" s="2"/>
      <c r="E15" s="2"/>
      <c r="F15" s="2"/>
      <c r="G15" s="2"/>
    </row>
    <row r="16" spans="1:7" x14ac:dyDescent="0.45">
      <c r="A16" s="2"/>
      <c r="B16" s="2"/>
      <c r="C16" s="2"/>
      <c r="D16" s="2"/>
      <c r="E16" s="2"/>
      <c r="F16" s="2"/>
      <c r="G16" s="2"/>
    </row>
    <row r="17" spans="1:7" x14ac:dyDescent="0.45">
      <c r="A17" s="2"/>
      <c r="B17" s="2"/>
      <c r="C17" s="2"/>
      <c r="D17" s="2"/>
      <c r="E17" s="2"/>
      <c r="F17" s="2"/>
      <c r="G17" s="2"/>
    </row>
    <row r="18" spans="1:7" x14ac:dyDescent="0.45">
      <c r="A18" s="2"/>
      <c r="B18" s="2"/>
      <c r="C18" s="2"/>
      <c r="D18" s="2"/>
      <c r="E18" s="2"/>
      <c r="F18" s="2"/>
      <c r="G18" s="2"/>
    </row>
    <row r="19" spans="1:7" x14ac:dyDescent="0.45">
      <c r="A19" s="2"/>
      <c r="B19" s="2"/>
      <c r="C19" s="2"/>
      <c r="D19" s="2"/>
      <c r="E19" s="2"/>
      <c r="F19" s="2"/>
      <c r="G19" s="2"/>
    </row>
    <row r="20" spans="1:7" x14ac:dyDescent="0.45">
      <c r="A20" s="2"/>
      <c r="B20" s="2"/>
      <c r="C20" s="2"/>
      <c r="D20" s="2"/>
      <c r="E20" s="2"/>
      <c r="F20" s="2"/>
      <c r="G20" s="2"/>
    </row>
    <row r="21" spans="1:7" x14ac:dyDescent="0.45">
      <c r="A21" s="2"/>
      <c r="B21" s="2"/>
      <c r="C21" s="2"/>
      <c r="D21" s="2"/>
      <c r="E21" s="2"/>
      <c r="F21" s="2"/>
      <c r="G21" s="2"/>
    </row>
    <row r="22" spans="1:7" x14ac:dyDescent="0.45">
      <c r="A22" s="2"/>
      <c r="B22" s="2"/>
      <c r="C22" s="2"/>
      <c r="D22" s="2"/>
      <c r="E22" s="2"/>
      <c r="F22" s="2"/>
      <c r="G22" s="2"/>
    </row>
    <row r="23" spans="1:7" x14ac:dyDescent="0.45">
      <c r="A23" s="2"/>
      <c r="B23" s="2"/>
      <c r="C23" s="2"/>
      <c r="D23" s="2"/>
      <c r="E23" s="2"/>
      <c r="F23" s="2"/>
      <c r="G23" s="2"/>
    </row>
    <row r="24" spans="1:7" x14ac:dyDescent="0.45">
      <c r="A24" s="2"/>
      <c r="B24" s="2"/>
      <c r="C24" s="2"/>
      <c r="D24" s="2"/>
      <c r="E24" s="2"/>
      <c r="F24" s="2"/>
      <c r="G24" s="2"/>
    </row>
    <row r="25" spans="1:7" x14ac:dyDescent="0.45">
      <c r="A25" s="2"/>
      <c r="B25" s="2"/>
      <c r="C25" s="2"/>
      <c r="D25" s="2"/>
      <c r="E25" s="2"/>
      <c r="F25" s="2"/>
      <c r="G25" s="2"/>
    </row>
    <row r="26" spans="1:7" x14ac:dyDescent="0.45">
      <c r="A26" s="2"/>
      <c r="B26" s="2"/>
      <c r="C26" s="2"/>
      <c r="D26" s="2"/>
      <c r="E26" s="2"/>
      <c r="F26" s="2"/>
      <c r="G26" s="2"/>
    </row>
    <row r="27" spans="1:7" x14ac:dyDescent="0.45">
      <c r="A27" s="2"/>
      <c r="B27" s="2"/>
      <c r="C27" s="2"/>
      <c r="D27" s="2"/>
      <c r="E27" s="2"/>
      <c r="F27" s="2"/>
      <c r="G2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1DD0-B076-4A93-B951-F71B569A3D64}">
  <dimension ref="A1:J27"/>
  <sheetViews>
    <sheetView workbookViewId="0">
      <selection activeCell="E11" sqref="E11"/>
    </sheetView>
  </sheetViews>
  <sheetFormatPr defaultRowHeight="14.25" x14ac:dyDescent="0.45"/>
  <cols>
    <col min="1" max="1" width="43.1328125" customWidth="1"/>
    <col min="2" max="2" width="20.86328125" customWidth="1"/>
    <col min="3" max="3" width="19.73046875" customWidth="1"/>
    <col min="4" max="4" width="16.1328125" customWidth="1"/>
    <col min="5" max="5" width="20.1328125" customWidth="1"/>
    <col min="6" max="6" width="24.1328125" customWidth="1"/>
    <col min="7" max="7" width="106.59765625" customWidth="1"/>
  </cols>
  <sheetData>
    <row r="1" spans="1:10" ht="29.25" x14ac:dyDescent="0.9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4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9.5" customHeight="1" x14ac:dyDescent="0.45">
      <c r="A3" s="3" t="s">
        <v>1</v>
      </c>
      <c r="B3" s="4" t="s">
        <v>2</v>
      </c>
      <c r="C3" s="4" t="s">
        <v>20</v>
      </c>
      <c r="D3" s="4" t="s">
        <v>3</v>
      </c>
      <c r="E3" s="4" t="s">
        <v>21</v>
      </c>
      <c r="F3" s="4" t="s">
        <v>22</v>
      </c>
      <c r="G3" s="4" t="s">
        <v>4</v>
      </c>
      <c r="H3" s="2"/>
      <c r="I3" s="2"/>
      <c r="J3" s="2"/>
    </row>
    <row r="4" spans="1:10" ht="21" x14ac:dyDescent="0.45">
      <c r="A4" s="5" t="s">
        <v>5</v>
      </c>
      <c r="B4" s="6">
        <v>5000</v>
      </c>
      <c r="C4" s="6">
        <v>7000</v>
      </c>
      <c r="D4" s="6">
        <v>12000</v>
      </c>
      <c r="E4" s="24"/>
      <c r="F4" s="24"/>
      <c r="G4" s="5" t="s">
        <v>6</v>
      </c>
      <c r="H4" s="2"/>
      <c r="I4" s="2"/>
      <c r="J4" s="2"/>
    </row>
    <row r="5" spans="1:10" ht="21" x14ac:dyDescent="0.45">
      <c r="A5" s="5" t="s">
        <v>7</v>
      </c>
      <c r="B5" s="6">
        <v>2000</v>
      </c>
      <c r="C5" s="6">
        <v>2500</v>
      </c>
      <c r="D5" s="6">
        <v>4000</v>
      </c>
      <c r="E5" s="24"/>
      <c r="F5" s="24"/>
      <c r="G5" s="5" t="s">
        <v>8</v>
      </c>
      <c r="H5" s="2"/>
      <c r="I5" s="2"/>
      <c r="J5" s="2"/>
    </row>
    <row r="6" spans="1:10" ht="21" x14ac:dyDescent="0.45">
      <c r="A6" s="5" t="s">
        <v>9</v>
      </c>
      <c r="B6" s="7">
        <v>500</v>
      </c>
      <c r="C6" s="7">
        <v>600</v>
      </c>
      <c r="D6" s="7">
        <v>900</v>
      </c>
      <c r="E6" s="24"/>
      <c r="F6" s="24"/>
      <c r="G6" s="5" t="s">
        <v>10</v>
      </c>
      <c r="H6" s="2"/>
      <c r="I6" s="2"/>
      <c r="J6" s="2"/>
    </row>
    <row r="7" spans="1:10" ht="21" x14ac:dyDescent="0.45">
      <c r="A7" s="5" t="s">
        <v>11</v>
      </c>
      <c r="B7" s="6"/>
      <c r="C7" s="6">
        <v>1000</v>
      </c>
      <c r="D7" s="6"/>
      <c r="E7" s="24"/>
      <c r="F7" s="24"/>
      <c r="G7" s="5" t="s">
        <v>12</v>
      </c>
      <c r="H7" s="2"/>
      <c r="I7" s="2"/>
      <c r="J7" s="2"/>
    </row>
    <row r="8" spans="1:10" ht="21" x14ac:dyDescent="0.45">
      <c r="A8" s="5" t="s">
        <v>13</v>
      </c>
      <c r="B8" s="6">
        <v>1500</v>
      </c>
      <c r="C8" s="6"/>
      <c r="D8" s="6">
        <v>4000</v>
      </c>
      <c r="E8" s="24"/>
      <c r="F8" s="24"/>
      <c r="G8" s="5" t="s">
        <v>23</v>
      </c>
      <c r="H8" s="2"/>
      <c r="I8" s="2"/>
      <c r="J8" s="2"/>
    </row>
    <row r="9" spans="1:10" ht="21" x14ac:dyDescent="0.45">
      <c r="A9" s="5" t="s">
        <v>14</v>
      </c>
      <c r="B9" s="7">
        <v>300</v>
      </c>
      <c r="C9" s="7">
        <v>400</v>
      </c>
      <c r="D9" s="7">
        <v>500</v>
      </c>
      <c r="E9" s="24"/>
      <c r="F9" s="25"/>
      <c r="G9" s="5" t="s">
        <v>15</v>
      </c>
      <c r="H9" s="2"/>
      <c r="I9" s="2"/>
      <c r="J9" s="2"/>
    </row>
    <row r="10" spans="1:10" ht="25.5" customHeight="1" x14ac:dyDescent="0.45">
      <c r="A10" s="8" t="s">
        <v>16</v>
      </c>
      <c r="B10" s="9"/>
      <c r="C10" s="9"/>
      <c r="D10" s="9"/>
      <c r="E10" s="9">
        <f>SUM(E4:E9)</f>
        <v>0</v>
      </c>
      <c r="F10" s="9"/>
      <c r="G10" s="10"/>
      <c r="H10" s="2"/>
      <c r="I10" s="2"/>
      <c r="J10" s="2"/>
    </row>
    <row r="11" spans="1:10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22.15" x14ac:dyDescent="0.45">
      <c r="A12" s="8" t="s">
        <v>17</v>
      </c>
      <c r="B12" s="9"/>
      <c r="C12" s="9"/>
      <c r="D12" s="9"/>
      <c r="E12" s="9">
        <f>E10/4</f>
        <v>0</v>
      </c>
      <c r="F12" s="9"/>
      <c r="G12" s="5" t="s">
        <v>18</v>
      </c>
      <c r="H12" s="2">
        <v>4</v>
      </c>
      <c r="I12" s="2"/>
      <c r="J12" s="2"/>
    </row>
    <row r="13" spans="1:10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E85A-814C-4771-9481-B856760D403F}">
  <dimension ref="A1:N35"/>
  <sheetViews>
    <sheetView workbookViewId="0">
      <selection activeCell="A19" sqref="A19"/>
    </sheetView>
  </sheetViews>
  <sheetFormatPr defaultRowHeight="14.25" x14ac:dyDescent="0.45"/>
  <cols>
    <col min="1" max="1" width="44.265625" customWidth="1"/>
    <col min="2" max="2" width="14" customWidth="1"/>
    <col min="3" max="5" width="15.59765625" customWidth="1"/>
    <col min="6" max="6" width="7" customWidth="1"/>
    <col min="7" max="7" width="14.73046875" customWidth="1"/>
    <col min="8" max="8" width="15.3984375" customWidth="1"/>
    <col min="9" max="9" width="18.265625" customWidth="1"/>
    <col min="10" max="10" width="24.1328125" customWidth="1"/>
    <col min="11" max="11" width="78.73046875" customWidth="1"/>
  </cols>
  <sheetData>
    <row r="1" spans="1:14" ht="29.25" x14ac:dyDescent="0.9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9.5" customHeight="1" x14ac:dyDescent="0.45">
      <c r="A3" s="3" t="s">
        <v>1</v>
      </c>
      <c r="B3" s="2"/>
      <c r="C3" s="4" t="s">
        <v>2</v>
      </c>
      <c r="D3" s="4" t="s">
        <v>20</v>
      </c>
      <c r="E3" s="4" t="s">
        <v>3</v>
      </c>
      <c r="F3" s="2"/>
      <c r="G3" s="2"/>
      <c r="H3" s="2"/>
      <c r="I3" s="4" t="s">
        <v>21</v>
      </c>
      <c r="J3" s="4" t="s">
        <v>22</v>
      </c>
      <c r="K3" s="4" t="s">
        <v>4</v>
      </c>
      <c r="L3" s="2"/>
      <c r="M3" s="2"/>
      <c r="N3" s="2"/>
    </row>
    <row r="4" spans="1:14" ht="21" x14ac:dyDescent="0.45">
      <c r="A4" s="5" t="s">
        <v>5</v>
      </c>
      <c r="B4" s="2"/>
      <c r="C4" s="6">
        <v>5000</v>
      </c>
      <c r="D4" s="6">
        <v>7000</v>
      </c>
      <c r="E4" s="6">
        <v>12000</v>
      </c>
      <c r="F4" s="2"/>
      <c r="G4" s="2"/>
      <c r="H4" s="2"/>
      <c r="I4" s="24"/>
      <c r="J4" s="24"/>
      <c r="K4" s="11" t="s">
        <v>6</v>
      </c>
      <c r="L4" s="2"/>
      <c r="M4" s="2"/>
      <c r="N4" s="2"/>
    </row>
    <row r="5" spans="1:14" ht="21" x14ac:dyDescent="0.45">
      <c r="A5" s="5" t="s">
        <v>7</v>
      </c>
      <c r="B5" s="2"/>
      <c r="C5" s="6">
        <v>2000</v>
      </c>
      <c r="D5" s="6">
        <v>2500</v>
      </c>
      <c r="E5" s="6">
        <v>4000</v>
      </c>
      <c r="F5" s="2"/>
      <c r="G5" s="2"/>
      <c r="H5" s="2"/>
      <c r="I5" s="24"/>
      <c r="J5" s="24"/>
      <c r="K5" s="11" t="s">
        <v>8</v>
      </c>
      <c r="L5" s="2"/>
      <c r="M5" s="2"/>
      <c r="N5" s="2"/>
    </row>
    <row r="6" spans="1:14" ht="21" x14ac:dyDescent="0.45">
      <c r="A6" s="5" t="s">
        <v>9</v>
      </c>
      <c r="B6" s="2"/>
      <c r="C6" s="7">
        <v>500</v>
      </c>
      <c r="D6" s="7">
        <v>600</v>
      </c>
      <c r="E6" s="7">
        <v>900</v>
      </c>
      <c r="F6" s="2"/>
      <c r="G6" s="2"/>
      <c r="H6" s="2"/>
      <c r="I6" s="24"/>
      <c r="J6" s="24"/>
      <c r="K6" s="11" t="s">
        <v>10</v>
      </c>
      <c r="L6" s="2"/>
      <c r="M6" s="2"/>
      <c r="N6" s="2"/>
    </row>
    <row r="7" spans="1:14" ht="21" x14ac:dyDescent="0.45">
      <c r="A7" s="5" t="s">
        <v>11</v>
      </c>
      <c r="B7" s="2"/>
      <c r="C7" s="12" t="s">
        <v>25</v>
      </c>
      <c r="D7" s="6">
        <v>1000</v>
      </c>
      <c r="E7" s="12" t="s">
        <v>25</v>
      </c>
      <c r="F7" s="2"/>
      <c r="G7" s="2"/>
      <c r="H7" s="2"/>
      <c r="I7" s="24"/>
      <c r="J7" s="24"/>
      <c r="K7" s="11" t="s">
        <v>12</v>
      </c>
      <c r="L7" s="2"/>
      <c r="M7" s="2"/>
      <c r="N7" s="2"/>
    </row>
    <row r="8" spans="1:14" ht="21" x14ac:dyDescent="0.45">
      <c r="A8" s="5" t="s">
        <v>13</v>
      </c>
      <c r="B8" s="2"/>
      <c r="C8" s="6">
        <v>1500</v>
      </c>
      <c r="D8" s="12" t="s">
        <v>25</v>
      </c>
      <c r="E8" s="6">
        <v>4000</v>
      </c>
      <c r="F8" s="2"/>
      <c r="G8" s="2"/>
      <c r="H8" s="2"/>
      <c r="I8" s="24"/>
      <c r="J8" s="24"/>
      <c r="K8" s="11" t="s">
        <v>23</v>
      </c>
      <c r="L8" s="2"/>
      <c r="M8" s="2"/>
      <c r="N8" s="2"/>
    </row>
    <row r="9" spans="1:14" ht="21" x14ac:dyDescent="0.45">
      <c r="A9" s="5" t="s">
        <v>14</v>
      </c>
      <c r="B9" s="2"/>
      <c r="C9" s="7">
        <v>300</v>
      </c>
      <c r="D9" s="7">
        <v>400</v>
      </c>
      <c r="E9" s="7">
        <v>500</v>
      </c>
      <c r="F9" s="2"/>
      <c r="G9" s="2"/>
      <c r="H9" s="2"/>
      <c r="I9" s="24"/>
      <c r="J9" s="25"/>
      <c r="K9" s="11" t="s">
        <v>15</v>
      </c>
      <c r="L9" s="2"/>
      <c r="M9" s="2"/>
      <c r="N9" s="2"/>
    </row>
    <row r="10" spans="1:14" ht="21" x14ac:dyDescent="0.45">
      <c r="A10" s="13"/>
      <c r="B10" s="2"/>
      <c r="C10" s="14"/>
      <c r="D10" s="14"/>
      <c r="E10" s="14"/>
      <c r="F10" s="2"/>
      <c r="G10" s="2"/>
      <c r="H10" s="2"/>
      <c r="I10" s="15">
        <f>SUM(I4:I9)</f>
        <v>0</v>
      </c>
      <c r="J10" s="14"/>
      <c r="K10" s="16"/>
      <c r="L10" s="2"/>
      <c r="M10" s="2"/>
      <c r="N10" s="2"/>
    </row>
    <row r="12" spans="1:14" ht="29.25" customHeight="1" x14ac:dyDescent="0.45">
      <c r="A12" s="3" t="s">
        <v>26</v>
      </c>
      <c r="B12" s="4" t="s">
        <v>27</v>
      </c>
      <c r="C12" s="4" t="s">
        <v>2</v>
      </c>
      <c r="D12" s="4" t="s">
        <v>20</v>
      </c>
      <c r="E12" s="4" t="s">
        <v>3</v>
      </c>
      <c r="G12" s="17" t="s">
        <v>28</v>
      </c>
      <c r="H12" s="17" t="s">
        <v>29</v>
      </c>
      <c r="I12" s="4" t="s">
        <v>21</v>
      </c>
      <c r="J12" s="4" t="s">
        <v>22</v>
      </c>
      <c r="K12" s="4" t="s">
        <v>4</v>
      </c>
      <c r="L12" s="2"/>
      <c r="M12" s="2"/>
      <c r="N12" s="2"/>
    </row>
    <row r="13" spans="1:14" ht="21.75" customHeight="1" x14ac:dyDescent="0.45">
      <c r="A13" s="5" t="s">
        <v>30</v>
      </c>
      <c r="B13" s="18">
        <v>0.1</v>
      </c>
      <c r="C13" s="6">
        <v>1000</v>
      </c>
      <c r="D13" s="12" t="s">
        <v>25</v>
      </c>
      <c r="E13" s="6">
        <v>5000</v>
      </c>
      <c r="G13" s="28"/>
      <c r="H13" s="24"/>
      <c r="I13" s="6">
        <f>H13*G13</f>
        <v>0</v>
      </c>
      <c r="J13" s="27"/>
      <c r="K13" s="11" t="s">
        <v>31</v>
      </c>
      <c r="L13" s="2"/>
      <c r="M13" s="2"/>
      <c r="N13" s="2"/>
    </row>
    <row r="14" spans="1:14" ht="21.75" customHeight="1" x14ac:dyDescent="0.5">
      <c r="A14" s="5" t="s">
        <v>32</v>
      </c>
      <c r="B14" s="18">
        <v>0.1</v>
      </c>
      <c r="C14" s="6">
        <v>500</v>
      </c>
      <c r="D14" s="6">
        <v>750</v>
      </c>
      <c r="E14" s="6">
        <v>2000</v>
      </c>
      <c r="F14" s="2"/>
      <c r="G14" s="28"/>
      <c r="H14" s="24"/>
      <c r="I14" s="6">
        <f>H14*G14</f>
        <v>0</v>
      </c>
      <c r="J14" s="27"/>
      <c r="K14" s="19" t="s">
        <v>33</v>
      </c>
      <c r="L14" s="2"/>
      <c r="M14" s="2"/>
      <c r="N14" s="2"/>
    </row>
    <row r="15" spans="1:14" ht="21.75" customHeight="1" x14ac:dyDescent="0.5">
      <c r="A15" s="13"/>
      <c r="B15" s="20"/>
      <c r="C15" s="15"/>
      <c r="D15" s="15"/>
      <c r="E15" s="15"/>
      <c r="F15" s="2"/>
      <c r="G15" s="21"/>
      <c r="H15" s="15"/>
      <c r="I15" s="15">
        <f>SUM(I13:I14)</f>
        <v>0</v>
      </c>
      <c r="J15" s="22"/>
      <c r="K15" s="23"/>
      <c r="L15" s="2"/>
      <c r="M15" s="2"/>
      <c r="N15" s="2"/>
    </row>
    <row r="16" spans="1:14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5.5" customHeight="1" x14ac:dyDescent="0.45">
      <c r="A17" s="8" t="s">
        <v>16</v>
      </c>
      <c r="B17" s="2"/>
      <c r="C17" s="2"/>
      <c r="D17" s="2"/>
      <c r="E17" s="2"/>
      <c r="F17" s="2"/>
      <c r="G17" s="2"/>
      <c r="H17" s="2"/>
      <c r="I17" s="9">
        <f>I15+I10</f>
        <v>0</v>
      </c>
      <c r="J17" s="2"/>
      <c r="K17" s="2"/>
      <c r="L17" s="2"/>
      <c r="M17" s="2"/>
      <c r="N17" s="2"/>
    </row>
    <row r="18" spans="1:14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22.15" x14ac:dyDescent="0.45">
      <c r="A20" s="8" t="s">
        <v>17</v>
      </c>
      <c r="B20" s="2"/>
      <c r="C20" s="2"/>
      <c r="D20" s="2"/>
      <c r="E20" s="2"/>
      <c r="F20" s="2"/>
      <c r="G20" s="2"/>
      <c r="H20" s="2"/>
      <c r="I20" s="9">
        <f>I17/4</f>
        <v>0</v>
      </c>
      <c r="J20" s="2"/>
      <c r="K20" s="5" t="s">
        <v>18</v>
      </c>
      <c r="L20" s="2">
        <v>4</v>
      </c>
      <c r="M20" s="2"/>
      <c r="N20" s="2"/>
    </row>
    <row r="21" spans="1:14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B63F-4921-4947-9FC1-579297DFBFDC}">
  <dimension ref="A1:N42"/>
  <sheetViews>
    <sheetView tabSelected="1" workbookViewId="0">
      <selection activeCell="E29" sqref="E29"/>
    </sheetView>
  </sheetViews>
  <sheetFormatPr defaultRowHeight="14.25" x14ac:dyDescent="0.45"/>
  <cols>
    <col min="1" max="1" width="44.265625" customWidth="1"/>
    <col min="2" max="2" width="14" customWidth="1"/>
    <col min="3" max="5" width="15.59765625" customWidth="1"/>
    <col min="6" max="6" width="7" customWidth="1"/>
    <col min="7" max="7" width="14.73046875" customWidth="1"/>
    <col min="8" max="8" width="15.3984375" customWidth="1"/>
    <col min="9" max="9" width="18.265625" customWidth="1"/>
    <col min="10" max="10" width="24.1328125" customWidth="1"/>
    <col min="11" max="11" width="78.73046875" customWidth="1"/>
  </cols>
  <sheetData>
    <row r="1" spans="1:14" ht="29.25" x14ac:dyDescent="0.9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9.5" customHeight="1" x14ac:dyDescent="0.45">
      <c r="A3" s="3" t="s">
        <v>1</v>
      </c>
      <c r="B3" s="2"/>
      <c r="C3" s="4" t="s">
        <v>2</v>
      </c>
      <c r="D3" s="4" t="s">
        <v>20</v>
      </c>
      <c r="E3" s="4" t="s">
        <v>3</v>
      </c>
      <c r="F3" s="2"/>
      <c r="G3" s="2"/>
      <c r="H3" s="2"/>
      <c r="I3" s="4" t="s">
        <v>21</v>
      </c>
      <c r="J3" s="4" t="s">
        <v>22</v>
      </c>
      <c r="K3" s="4" t="s">
        <v>4</v>
      </c>
      <c r="L3" s="2"/>
      <c r="M3" s="2"/>
      <c r="N3" s="2"/>
    </row>
    <row r="4" spans="1:14" ht="21" x14ac:dyDescent="0.45">
      <c r="A4" s="5" t="s">
        <v>5</v>
      </c>
      <c r="B4" s="2"/>
      <c r="C4" s="6">
        <v>5000</v>
      </c>
      <c r="D4" s="6">
        <v>7000</v>
      </c>
      <c r="E4" s="6">
        <v>12000</v>
      </c>
      <c r="F4" s="2"/>
      <c r="G4" s="2"/>
      <c r="H4" s="2"/>
      <c r="I4" s="26"/>
      <c r="J4" s="26"/>
      <c r="K4" s="11" t="s">
        <v>6</v>
      </c>
      <c r="L4" s="2"/>
      <c r="M4" s="2"/>
      <c r="N4" s="2"/>
    </row>
    <row r="5" spans="1:14" ht="21" x14ac:dyDescent="0.45">
      <c r="A5" s="5" t="s">
        <v>7</v>
      </c>
      <c r="B5" s="2"/>
      <c r="C5" s="6">
        <v>2000</v>
      </c>
      <c r="D5" s="6">
        <v>2500</v>
      </c>
      <c r="E5" s="6">
        <v>4000</v>
      </c>
      <c r="F5" s="2"/>
      <c r="G5" s="2"/>
      <c r="H5" s="2"/>
      <c r="I5" s="26"/>
      <c r="J5" s="26"/>
      <c r="K5" s="11" t="s">
        <v>8</v>
      </c>
      <c r="L5" s="2"/>
      <c r="M5" s="2"/>
      <c r="N5" s="2"/>
    </row>
    <row r="6" spans="1:14" ht="21" x14ac:dyDescent="0.45">
      <c r="A6" s="5" t="s">
        <v>9</v>
      </c>
      <c r="B6" s="2"/>
      <c r="C6" s="7">
        <v>500</v>
      </c>
      <c r="D6" s="7">
        <v>600</v>
      </c>
      <c r="E6" s="7">
        <v>900</v>
      </c>
      <c r="F6" s="2"/>
      <c r="G6" s="2"/>
      <c r="H6" s="2"/>
      <c r="I6" s="26"/>
      <c r="J6" s="26"/>
      <c r="K6" s="11" t="s">
        <v>10</v>
      </c>
      <c r="L6" s="2"/>
      <c r="M6" s="2"/>
      <c r="N6" s="2"/>
    </row>
    <row r="7" spans="1:14" ht="21" x14ac:dyDescent="0.45">
      <c r="A7" s="5" t="s">
        <v>11</v>
      </c>
      <c r="B7" s="2"/>
      <c r="C7" s="12" t="s">
        <v>25</v>
      </c>
      <c r="D7" s="6">
        <v>1000</v>
      </c>
      <c r="E7" s="12" t="s">
        <v>25</v>
      </c>
      <c r="F7" s="2"/>
      <c r="G7" s="2"/>
      <c r="H7" s="2"/>
      <c r="I7" s="26"/>
      <c r="J7" s="26"/>
      <c r="K7" s="11" t="s">
        <v>12</v>
      </c>
      <c r="L7" s="2"/>
      <c r="M7" s="2"/>
      <c r="N7" s="2"/>
    </row>
    <row r="8" spans="1:14" ht="21" x14ac:dyDescent="0.45">
      <c r="A8" s="5" t="s">
        <v>13</v>
      </c>
      <c r="B8" s="2"/>
      <c r="C8" s="6">
        <v>1500</v>
      </c>
      <c r="D8" s="12" t="s">
        <v>25</v>
      </c>
      <c r="E8" s="6">
        <v>4000</v>
      </c>
      <c r="F8" s="2"/>
      <c r="G8" s="29"/>
      <c r="H8" s="2"/>
      <c r="I8" s="26"/>
      <c r="J8" s="26"/>
      <c r="K8" s="11" t="s">
        <v>23</v>
      </c>
      <c r="L8" s="2"/>
      <c r="M8" s="2"/>
      <c r="N8" s="2"/>
    </row>
    <row r="9" spans="1:14" ht="21" x14ac:dyDescent="0.45">
      <c r="A9" s="5" t="s">
        <v>14</v>
      </c>
      <c r="B9" s="2"/>
      <c r="C9" s="7">
        <v>300</v>
      </c>
      <c r="D9" s="7">
        <v>400</v>
      </c>
      <c r="E9" s="7">
        <v>500</v>
      </c>
      <c r="F9" s="2"/>
      <c r="G9" s="2"/>
      <c r="H9" s="2"/>
      <c r="I9" s="26"/>
      <c r="J9" s="37"/>
      <c r="K9" s="11" t="s">
        <v>15</v>
      </c>
      <c r="L9" s="2"/>
      <c r="M9" s="2"/>
      <c r="N9" s="2"/>
    </row>
    <row r="10" spans="1:14" ht="21.75" customHeight="1" x14ac:dyDescent="0.45">
      <c r="A10" s="13"/>
      <c r="B10" s="2"/>
      <c r="C10" s="14"/>
      <c r="D10" s="14"/>
      <c r="E10" s="14"/>
      <c r="F10" s="2"/>
      <c r="G10" s="2"/>
      <c r="H10" s="2"/>
      <c r="I10" s="15">
        <f>SUM(I4:I9)</f>
        <v>0</v>
      </c>
      <c r="J10" s="14"/>
      <c r="K10" s="16"/>
      <c r="L10" s="2"/>
      <c r="M10" s="2"/>
      <c r="N10" s="2"/>
    </row>
    <row r="11" spans="1:14" ht="21.75" customHeight="1" x14ac:dyDescent="0.45">
      <c r="A11" s="13"/>
      <c r="B11" s="2"/>
      <c r="C11" s="14"/>
      <c r="D11" s="14"/>
      <c r="E11" s="14"/>
      <c r="F11" s="2"/>
      <c r="G11" s="2"/>
      <c r="H11" s="2"/>
      <c r="I11" s="15"/>
      <c r="J11" s="14"/>
      <c r="K11" s="16"/>
      <c r="L11" s="2"/>
      <c r="M11" s="2"/>
      <c r="N11" s="2"/>
    </row>
    <row r="12" spans="1:14" ht="21.75" customHeight="1" x14ac:dyDescent="0.45">
      <c r="A12" s="13"/>
      <c r="B12" s="2"/>
      <c r="C12" s="14"/>
      <c r="D12" s="14"/>
      <c r="E12" s="14"/>
      <c r="F12" s="2"/>
      <c r="H12" s="30" t="s">
        <v>35</v>
      </c>
      <c r="I12" s="15"/>
      <c r="J12" s="14"/>
      <c r="K12" s="16"/>
      <c r="L12" s="2"/>
      <c r="M12" s="2"/>
      <c r="N12" s="2"/>
    </row>
    <row r="13" spans="1:14" ht="21.75" customHeight="1" x14ac:dyDescent="0.45">
      <c r="A13" s="13"/>
      <c r="B13" s="2"/>
      <c r="C13" s="14"/>
      <c r="D13" s="14"/>
      <c r="E13" s="14"/>
      <c r="F13" s="2"/>
      <c r="G13" s="31" t="s">
        <v>36</v>
      </c>
      <c r="H13" s="31" t="s">
        <v>37</v>
      </c>
      <c r="I13" s="31" t="s">
        <v>38</v>
      </c>
      <c r="J13" s="14"/>
      <c r="K13" s="16"/>
      <c r="L13" s="2"/>
      <c r="M13" s="2"/>
      <c r="N13" s="2"/>
    </row>
    <row r="14" spans="1:14" ht="21.75" customHeight="1" x14ac:dyDescent="0.45">
      <c r="A14" s="13"/>
      <c r="B14" s="2"/>
      <c r="C14" s="14"/>
      <c r="D14" s="14"/>
      <c r="E14" s="14"/>
      <c r="F14" s="32" t="s">
        <v>36</v>
      </c>
      <c r="G14" s="33">
        <v>1</v>
      </c>
      <c r="H14" s="33">
        <v>0.85</v>
      </c>
      <c r="I14" s="33">
        <v>0.85</v>
      </c>
      <c r="J14" s="14"/>
      <c r="K14" s="16"/>
      <c r="L14" s="2"/>
      <c r="M14" s="2"/>
      <c r="N14" s="2"/>
    </row>
    <row r="15" spans="1:14" ht="21.75" customHeight="1" x14ac:dyDescent="0.45">
      <c r="A15" s="13"/>
      <c r="B15" s="2"/>
      <c r="C15" s="14"/>
      <c r="D15" s="14"/>
      <c r="E15" s="14"/>
      <c r="F15" s="32" t="s">
        <v>37</v>
      </c>
      <c r="G15" s="33">
        <v>0.85</v>
      </c>
      <c r="H15" s="33">
        <v>1</v>
      </c>
      <c r="I15" s="33">
        <v>0.85</v>
      </c>
      <c r="J15" s="14"/>
      <c r="K15" s="16"/>
      <c r="L15" s="2"/>
      <c r="M15" s="2"/>
      <c r="N15" s="2"/>
    </row>
    <row r="16" spans="1:14" ht="21.75" customHeight="1" x14ac:dyDescent="0.45">
      <c r="A16" s="13"/>
      <c r="B16" s="2"/>
      <c r="C16" s="14"/>
      <c r="D16" s="14"/>
      <c r="E16" s="14"/>
      <c r="F16" s="32" t="s">
        <v>38</v>
      </c>
      <c r="G16" s="33">
        <v>0.85</v>
      </c>
      <c r="H16" s="33">
        <v>0.85</v>
      </c>
      <c r="I16" s="33">
        <v>1</v>
      </c>
      <c r="J16" s="14"/>
      <c r="K16" s="16"/>
      <c r="L16" s="2"/>
      <c r="M16" s="2"/>
      <c r="N16" s="2"/>
    </row>
    <row r="18" spans="1:14" ht="29.25" customHeight="1" x14ac:dyDescent="0.45">
      <c r="A18" s="3" t="s">
        <v>26</v>
      </c>
      <c r="B18" s="4" t="s">
        <v>27</v>
      </c>
      <c r="C18" s="4" t="s">
        <v>2</v>
      </c>
      <c r="D18" s="4" t="s">
        <v>20</v>
      </c>
      <c r="E18" s="4" t="s">
        <v>3</v>
      </c>
      <c r="G18" s="17" t="s">
        <v>28</v>
      </c>
      <c r="H18" s="17" t="s">
        <v>29</v>
      </c>
      <c r="I18" s="4" t="s">
        <v>21</v>
      </c>
      <c r="J18" s="4" t="s">
        <v>22</v>
      </c>
      <c r="K18" s="4" t="s">
        <v>4</v>
      </c>
      <c r="L18" s="2"/>
      <c r="M18" s="2"/>
      <c r="N18" s="2"/>
    </row>
    <row r="19" spans="1:14" ht="21.75" customHeight="1" x14ac:dyDescent="0.45">
      <c r="A19" s="5" t="s">
        <v>30</v>
      </c>
      <c r="B19" s="18">
        <v>0.1</v>
      </c>
      <c r="C19" s="6">
        <v>1000</v>
      </c>
      <c r="D19" s="12" t="s">
        <v>25</v>
      </c>
      <c r="E19" s="6">
        <v>5000</v>
      </c>
      <c r="G19" s="37"/>
      <c r="H19" s="26"/>
      <c r="I19" s="6">
        <f>H19*G19</f>
        <v>0</v>
      </c>
      <c r="J19" s="26"/>
      <c r="K19" s="11" t="s">
        <v>31</v>
      </c>
      <c r="L19" s="2"/>
      <c r="M19" s="2"/>
      <c r="N19" s="2"/>
    </row>
    <row r="20" spans="1:14" ht="21.75" customHeight="1" x14ac:dyDescent="0.5">
      <c r="A20" s="5" t="s">
        <v>32</v>
      </c>
      <c r="B20" s="18">
        <v>0.1</v>
      </c>
      <c r="C20" s="6">
        <v>500</v>
      </c>
      <c r="D20" s="6">
        <v>750</v>
      </c>
      <c r="E20" s="6">
        <v>2000</v>
      </c>
      <c r="F20" s="2"/>
      <c r="G20" s="37"/>
      <c r="H20" s="26"/>
      <c r="I20" s="6">
        <f>H20*G20</f>
        <v>0</v>
      </c>
      <c r="J20" s="26"/>
      <c r="K20" s="19" t="s">
        <v>33</v>
      </c>
      <c r="L20" s="2"/>
      <c r="M20" s="2"/>
      <c r="N20" s="2"/>
    </row>
    <row r="21" spans="1:14" ht="18.75" customHeight="1" x14ac:dyDescent="0.5">
      <c r="A21" s="13"/>
      <c r="B21" s="20"/>
      <c r="C21" s="15"/>
      <c r="D21" s="15"/>
      <c r="E21" s="15"/>
      <c r="F21" s="2"/>
      <c r="G21" s="21"/>
      <c r="H21" s="15"/>
      <c r="I21" s="15">
        <f>SUM(I19:I20)</f>
        <v>0</v>
      </c>
      <c r="J21" s="22"/>
      <c r="K21" s="23"/>
      <c r="L21" s="2"/>
      <c r="M21" s="2"/>
      <c r="N21" s="2"/>
    </row>
    <row r="22" spans="1:14" ht="12" customHeight="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5.5" customHeight="1" x14ac:dyDescent="0.45">
      <c r="A23" s="8" t="s">
        <v>16</v>
      </c>
      <c r="B23" s="2"/>
      <c r="C23" s="2"/>
      <c r="D23" s="2"/>
      <c r="E23" s="2"/>
      <c r="F23" s="2"/>
      <c r="G23" s="2"/>
      <c r="H23" s="2"/>
      <c r="I23" s="9">
        <f>I21+I10</f>
        <v>0</v>
      </c>
      <c r="J23" s="2"/>
      <c r="K23" s="2"/>
      <c r="L23" s="2"/>
      <c r="M23" s="2"/>
      <c r="N23" s="2"/>
    </row>
    <row r="24" spans="1:14" ht="15.75" customHeight="1" x14ac:dyDescent="0.45">
      <c r="A24" s="34"/>
      <c r="B24" s="2"/>
      <c r="C24" s="2"/>
      <c r="D24" s="2"/>
      <c r="E24" s="2"/>
      <c r="F24" s="2"/>
      <c r="G24" s="2"/>
      <c r="H24" s="2"/>
      <c r="I24" s="35"/>
      <c r="J24" s="2"/>
      <c r="K24" s="2"/>
      <c r="L24" s="2"/>
      <c r="M24" s="2"/>
      <c r="N24" s="2"/>
    </row>
    <row r="25" spans="1:14" ht="21" x14ac:dyDescent="0.45">
      <c r="A25" s="5" t="s">
        <v>39</v>
      </c>
      <c r="B25" s="2"/>
      <c r="C25" s="36">
        <v>3.75</v>
      </c>
      <c r="D25" s="36">
        <v>4</v>
      </c>
      <c r="E25" s="36">
        <v>4.5</v>
      </c>
      <c r="F25" s="2"/>
      <c r="G25" s="2"/>
      <c r="H25" s="2"/>
      <c r="I25" s="38"/>
      <c r="J25" s="2"/>
      <c r="K25" s="2"/>
      <c r="L25" s="2"/>
      <c r="M25" s="2"/>
      <c r="N25" s="2"/>
    </row>
    <row r="26" spans="1:14" ht="12.75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22.15" x14ac:dyDescent="0.45">
      <c r="A27" s="8" t="s">
        <v>17</v>
      </c>
      <c r="B27" s="2"/>
      <c r="C27" s="2"/>
      <c r="D27" s="2"/>
      <c r="E27" s="2"/>
      <c r="F27" s="2"/>
      <c r="G27" s="2"/>
      <c r="H27" s="2"/>
      <c r="I27" s="9" t="e">
        <f>I23/I25</f>
        <v>#DIV/0!</v>
      </c>
      <c r="J27" s="2"/>
      <c r="K27" s="5" t="s">
        <v>18</v>
      </c>
      <c r="L27" s="2">
        <v>4</v>
      </c>
      <c r="M27" s="2"/>
      <c r="N27" s="2"/>
    </row>
    <row r="28" spans="1:14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CC0818538A06458847460A3B8FF6A7" ma:contentTypeVersion="15" ma:contentTypeDescription="Create a new document." ma:contentTypeScope="" ma:versionID="c388ce822be4b654718d2518e0e8c299">
  <xsd:schema xmlns:xsd="http://www.w3.org/2001/XMLSchema" xmlns:xs="http://www.w3.org/2001/XMLSchema" xmlns:p="http://schemas.microsoft.com/office/2006/metadata/properties" xmlns:ns3="c8df8795-5ebd-4097-aaf4-6a1c34a4cbb5" xmlns:ns4="b49e311f-be93-44e6-b2dc-1d2715b7f0f2" targetNamespace="http://schemas.microsoft.com/office/2006/metadata/properties" ma:root="true" ma:fieldsID="793ad97be033ac1eafdc531d83e747f2" ns3:_="" ns4:_="">
    <xsd:import namespace="c8df8795-5ebd-4097-aaf4-6a1c34a4cbb5"/>
    <xsd:import namespace="b49e311f-be93-44e6-b2dc-1d2715b7f0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f8795-5ebd-4097-aaf4-6a1c34a4cb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e311f-be93-44e6-b2dc-1d2715b7f0f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df8795-5ebd-4097-aaf4-6a1c34a4cbb5" xsi:nil="true"/>
  </documentManagement>
</p:properties>
</file>

<file path=customXml/itemProps1.xml><?xml version="1.0" encoding="utf-8"?>
<ds:datastoreItem xmlns:ds="http://schemas.openxmlformats.org/officeDocument/2006/customXml" ds:itemID="{6250FF2C-8D7E-4CF1-A3B7-7EF9A3D7FF94}">
  <ds:schemaRefs>
    <ds:schemaRef ds:uri="http://www.w3.org/2001/XMLSchema"/>
    <ds:schemaRef ds:uri="http://www.boozallen.com/argo/guid"/>
  </ds:schemaRefs>
</ds:datastoreItem>
</file>

<file path=customXml/itemProps2.xml><?xml version="1.0" encoding="utf-8"?>
<ds:datastoreItem xmlns:ds="http://schemas.openxmlformats.org/officeDocument/2006/customXml" ds:itemID="{655F6F6C-3C1F-4FF6-9818-A9696C7483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df8795-5ebd-4097-aaf4-6a1c34a4cbb5"/>
    <ds:schemaRef ds:uri="b49e311f-be93-44e6-b2dc-1d2715b7f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A8506D-9208-49AB-B265-5589757735D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40C178-D93F-4FC1-B439-8F8DC644FBFA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b49e311f-be93-44e6-b2dc-1d2715b7f0f2"/>
    <ds:schemaRef ds:uri="http://purl.org/dc/dcmitype/"/>
    <ds:schemaRef ds:uri="http://www.w3.org/XML/1998/namespace"/>
    <ds:schemaRef ds:uri="http://purl.org/dc/elements/1.1/"/>
    <ds:schemaRef ds:uri="c8df8795-5ebd-4097-aaf4-6a1c34a4cbb5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Best-Worst Estimate</vt:lpstr>
      <vt:lpstr>Uncertain Range</vt:lpstr>
      <vt:lpstr>Uncertain Range+Risk Events</vt:lpstr>
      <vt:lpstr>Uncertain Range+Events + Corr</vt:lpstr>
      <vt:lpstr>AccomCost</vt:lpstr>
      <vt:lpstr>FOREX</vt:lpstr>
      <vt:lpstr>HolActivityTours</vt:lpstr>
      <vt:lpstr>Meals</vt:lpstr>
      <vt:lpstr>MedEmergencyLikelihood</vt:lpstr>
      <vt:lpstr>MiscShopping</vt:lpstr>
      <vt:lpstr>PlaneFare</vt:lpstr>
      <vt:lpstr>TheftLikelihood</vt:lpstr>
      <vt:lpstr>TravelGear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Lawrence, Gabriel Antonio (vzh2vs)</dc:creator>
  <cp:lastModifiedBy>Lawrence, Gabriel Antonio (vzh2vs)</cp:lastModifiedBy>
  <dcterms:created xsi:type="dcterms:W3CDTF">2025-02-12T03:44:24Z</dcterms:created>
  <dcterms:modified xsi:type="dcterms:W3CDTF">2025-02-12T04:24:04Z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0x010100EFCC0818538A06458847460A3B8FF6A7</vt:lpwstr>
  </property>
</Properties>
</file>