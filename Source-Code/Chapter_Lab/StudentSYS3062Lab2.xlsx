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n\Downloads\"/>
    </mc:Choice>
  </mc:AlternateContent>
  <xr:revisionPtr revIDLastSave="0" documentId="8_{6757F26A-E18E-43CF-ACB1-84C8D47DB108}" xr6:coauthVersionLast="47" xr6:coauthVersionMax="47" xr10:uidLastSave="{00000000-0000-0000-0000-000000000000}"/>
  <bookViews>
    <workbookView xWindow="-98" yWindow="248" windowWidth="28996" windowHeight="17849" activeTab="1" xr2:uid="{0D57B23B-32E6-49D1-89FE-38A3E804B1C6}"/>
  </bookViews>
  <sheets>
    <sheet name="Base Model" sheetId="1" r:id="rId1"/>
    <sheet name="Gaussian Monte Carlo" sheetId="2" r:id="rId2"/>
    <sheet name="Monte Carlo with XLRis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D14" i="3"/>
  <c r="D15" i="3" s="1"/>
  <c r="I13" i="2"/>
  <c r="C11" i="1"/>
  <c r="C10" i="1"/>
  <c r="C12" i="1" s="1"/>
</calcChain>
</file>

<file path=xl/sharedStrings.xml><?xml version="1.0" encoding="utf-8"?>
<sst xmlns="http://schemas.openxmlformats.org/spreadsheetml/2006/main" count="51" uniqueCount="36">
  <si>
    <t>Average Savings Per Year</t>
  </si>
  <si>
    <t>Current Savings</t>
  </si>
  <si>
    <t>Average Return Rate</t>
  </si>
  <si>
    <t>Time Horizon</t>
  </si>
  <si>
    <t>FV of 25k</t>
  </si>
  <si>
    <t>((1+r)^yr)*PV = FV25K</t>
  </si>
  <si>
    <t>FV of Savings\yr</t>
  </si>
  <si>
    <t>((1+r)^yr)*FVSavings_{i-1} = FVSavings_i</t>
  </si>
  <si>
    <t>i = 1… 41</t>
  </si>
  <si>
    <t>Total</t>
  </si>
  <si>
    <t>FV25K + FVSavings_40 = Total</t>
  </si>
  <si>
    <t>Formulas:</t>
  </si>
  <si>
    <t>Average FV</t>
  </si>
  <si>
    <t>Average Return</t>
  </si>
  <si>
    <t>Median</t>
  </si>
  <si>
    <t>Std Dev</t>
  </si>
  <si>
    <t>Percentile</t>
  </si>
  <si>
    <t>Savings/yr</t>
  </si>
  <si>
    <t>Replication 1</t>
  </si>
  <si>
    <t>Year Horizon</t>
  </si>
  <si>
    <t>Max</t>
  </si>
  <si>
    <t>Min</t>
  </si>
  <si>
    <t>Year</t>
  </si>
  <si>
    <t>Return</t>
  </si>
  <si>
    <t>End Value</t>
  </si>
  <si>
    <t>Port Value</t>
  </si>
  <si>
    <t>Sample</t>
  </si>
  <si>
    <t>ASSUMPTIONS</t>
  </si>
  <si>
    <t>Lower</t>
  </si>
  <si>
    <t>Middle</t>
  </si>
  <si>
    <t>Upper</t>
  </si>
  <si>
    <t>N/A</t>
  </si>
  <si>
    <t>Expected Return Rate</t>
  </si>
  <si>
    <t>Simple Model (From Base)</t>
  </si>
  <si>
    <t>More Complex Calculations</t>
  </si>
  <si>
    <t>Does not have the @risk commands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</si>
</sst>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General_)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44" fontId="0" fillId="0" borderId="0" xfId="1" applyFont="1" applyBorder="1"/>
    <xf numFmtId="9" fontId="0" fillId="0" borderId="0" xfId="2" applyFont="1"/>
    <xf numFmtId="165" fontId="0" fillId="0" borderId="0" xfId="0" applyNumberFormat="1"/>
    <xf numFmtId="8" fontId="0" fillId="0" borderId="0" xfId="0" applyNumberFormat="1"/>
    <xf numFmtId="0" fontId="0" fillId="0" borderId="1" xfId="0" applyBorder="1"/>
    <xf numFmtId="3" fontId="0" fillId="0" borderId="2" xfId="0" applyNumberFormat="1" applyBorder="1"/>
    <xf numFmtId="0" fontId="0" fillId="0" borderId="2" xfId="0" applyBorder="1"/>
    <xf numFmtId="44" fontId="0" fillId="0" borderId="3" xfId="0" applyNumberFormat="1" applyBorder="1"/>
    <xf numFmtId="0" fontId="0" fillId="0" borderId="4" xfId="0" applyBorder="1"/>
    <xf numFmtId="9" fontId="0" fillId="0" borderId="0" xfId="0" applyNumberFormat="1"/>
    <xf numFmtId="44" fontId="0" fillId="0" borderId="5" xfId="0" applyNumberFormat="1" applyBorder="1"/>
    <xf numFmtId="0" fontId="0" fillId="0" borderId="5" xfId="0" applyBorder="1"/>
    <xf numFmtId="44" fontId="0" fillId="0" borderId="5" xfId="1" applyFont="1" applyBorder="1"/>
    <xf numFmtId="4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44" fontId="0" fillId="0" borderId="0" xfId="1" applyFont="1"/>
    <xf numFmtId="164" fontId="2" fillId="0" borderId="0" xfId="0" applyNumberFormat="1" applyFont="1"/>
    <xf numFmtId="0" fontId="0" fillId="0" borderId="9" xfId="0" applyBorder="1"/>
    <xf numFmtId="0" fontId="0" fillId="0" borderId="10" xfId="0" applyBorder="1"/>
    <xf numFmtId="165" fontId="0" fillId="0" borderId="9" xfId="1" applyNumberFormat="1" applyFont="1" applyBorder="1"/>
    <xf numFmtId="44" fontId="0" fillId="0" borderId="9" xfId="1" applyFont="1" applyBorder="1"/>
    <xf numFmtId="44" fontId="0" fillId="0" borderId="10" xfId="1" applyFont="1" applyBorder="1"/>
    <xf numFmtId="9" fontId="0" fillId="0" borderId="9" xfId="0" applyNumberFormat="1" applyBorder="1"/>
    <xf numFmtId="9" fontId="0" fillId="0" borderId="10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F9E65357-24F9-4BD7-974D-2EC22E6A3C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0D46C-9BB4-4818-A710-8486E13C5744}">
  <dimension ref="B4:H12"/>
  <sheetViews>
    <sheetView workbookViewId="0">
      <selection activeCell="D36" sqref="D36"/>
    </sheetView>
  </sheetViews>
  <sheetFormatPr defaultRowHeight="14.25" x14ac:dyDescent="0.45"/>
  <cols>
    <col min="2" max="2" width="26.33203125" customWidth="1"/>
    <col min="3" max="3" width="21.796875" customWidth="1"/>
  </cols>
  <sheetData>
    <row r="4" spans="2:8" x14ac:dyDescent="0.45">
      <c r="B4" s="1" t="s">
        <v>0</v>
      </c>
      <c r="C4" s="2">
        <v>10000</v>
      </c>
    </row>
    <row r="5" spans="2:8" x14ac:dyDescent="0.45">
      <c r="B5" t="s">
        <v>1</v>
      </c>
      <c r="C5" s="2">
        <v>25000</v>
      </c>
    </row>
    <row r="6" spans="2:8" x14ac:dyDescent="0.45">
      <c r="B6" s="1" t="s">
        <v>2</v>
      </c>
      <c r="C6" s="3">
        <v>0.1</v>
      </c>
    </row>
    <row r="7" spans="2:8" x14ac:dyDescent="0.45">
      <c r="B7" s="1" t="s">
        <v>3</v>
      </c>
      <c r="C7">
        <v>40</v>
      </c>
    </row>
    <row r="9" spans="2:8" x14ac:dyDescent="0.45">
      <c r="D9" t="s">
        <v>11</v>
      </c>
    </row>
    <row r="10" spans="2:8" x14ac:dyDescent="0.45">
      <c r="B10" t="s">
        <v>4</v>
      </c>
      <c r="C10" s="4">
        <f>FV(C6, C7, 0, -C5)</f>
        <v>1131481.3892044018</v>
      </c>
      <c r="D10" t="s">
        <v>5</v>
      </c>
    </row>
    <row r="11" spans="2:8" x14ac:dyDescent="0.45">
      <c r="B11" t="s">
        <v>6</v>
      </c>
      <c r="C11" s="5">
        <f>FV(C6,C7,-C4)</f>
        <v>4425925.556817607</v>
      </c>
      <c r="D11" t="s">
        <v>7</v>
      </c>
      <c r="H11" t="s">
        <v>8</v>
      </c>
    </row>
    <row r="12" spans="2:8" x14ac:dyDescent="0.45">
      <c r="B12" t="s">
        <v>9</v>
      </c>
      <c r="C12" s="4">
        <f>SUM(C10:C11)</f>
        <v>5557406.9460220085</v>
      </c>
      <c r="D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513-A096-4F8C-856E-85C42E21C5B2}">
  <dimension ref="B1:I14"/>
  <sheetViews>
    <sheetView tabSelected="1" workbookViewId="0">
      <selection activeCell="D15" sqref="D15"/>
    </sheetView>
  </sheetViews>
  <sheetFormatPr defaultRowHeight="14.25" x14ac:dyDescent="0.45"/>
  <cols>
    <col min="2" max="2" width="25.59765625" customWidth="1"/>
    <col min="3" max="3" width="20.86328125" customWidth="1"/>
    <col min="4" max="4" width="26" customWidth="1"/>
    <col min="6" max="6" width="21" customWidth="1"/>
  </cols>
  <sheetData>
    <row r="1" spans="2:9" ht="14.65" thickBot="1" x14ac:dyDescent="0.5"/>
    <row r="2" spans="2:9" x14ac:dyDescent="0.45">
      <c r="B2" s="6" t="s">
        <v>1</v>
      </c>
      <c r="C2" s="7">
        <v>25000</v>
      </c>
      <c r="D2" s="8"/>
      <c r="E2" s="8" t="s">
        <v>12</v>
      </c>
      <c r="F2" s="9"/>
    </row>
    <row r="3" spans="2:9" x14ac:dyDescent="0.45">
      <c r="B3" s="10" t="s">
        <v>13</v>
      </c>
      <c r="C3" s="11">
        <v>0.1</v>
      </c>
      <c r="E3" t="s">
        <v>14</v>
      </c>
      <c r="F3" s="12"/>
    </row>
    <row r="4" spans="2:9" x14ac:dyDescent="0.45">
      <c r="B4" s="10" t="s">
        <v>15</v>
      </c>
      <c r="C4" s="11">
        <v>0.12</v>
      </c>
      <c r="E4" t="s">
        <v>16</v>
      </c>
      <c r="F4" s="13"/>
    </row>
    <row r="5" spans="2:9" x14ac:dyDescent="0.45">
      <c r="B5" s="10" t="s">
        <v>17</v>
      </c>
      <c r="C5" s="2">
        <v>10000</v>
      </c>
      <c r="E5" s="11">
        <v>0.1</v>
      </c>
      <c r="F5" s="14"/>
    </row>
    <row r="6" spans="2:9" x14ac:dyDescent="0.45">
      <c r="B6" s="10" t="s">
        <v>18</v>
      </c>
      <c r="C6" s="15"/>
      <c r="E6" s="11">
        <v>0.25</v>
      </c>
      <c r="F6" s="14"/>
    </row>
    <row r="7" spans="2:9" x14ac:dyDescent="0.45">
      <c r="B7" s="10" t="s">
        <v>19</v>
      </c>
      <c r="C7">
        <v>40</v>
      </c>
      <c r="E7" t="s">
        <v>20</v>
      </c>
      <c r="F7" s="12"/>
    </row>
    <row r="8" spans="2:9" x14ac:dyDescent="0.45">
      <c r="B8" s="10"/>
      <c r="E8" t="s">
        <v>21</v>
      </c>
      <c r="F8" s="12"/>
    </row>
    <row r="9" spans="2:9" ht="14.65" thickBot="1" x14ac:dyDescent="0.5">
      <c r="B9" s="16"/>
      <c r="C9" s="17"/>
      <c r="D9" s="17"/>
      <c r="E9" s="17"/>
      <c r="F9" s="18"/>
    </row>
    <row r="12" spans="2:9" x14ac:dyDescent="0.45">
      <c r="B12" t="s">
        <v>22</v>
      </c>
      <c r="C12" t="s">
        <v>23</v>
      </c>
      <c r="D12" t="s">
        <v>24</v>
      </c>
      <c r="I12" s="19" t="s">
        <v>25</v>
      </c>
    </row>
    <row r="13" spans="2:9" x14ac:dyDescent="0.45">
      <c r="B13">
        <v>1</v>
      </c>
      <c r="D13" s="15"/>
      <c r="H13" t="s">
        <v>26</v>
      </c>
      <c r="I13" s="19">
        <f>C9</f>
        <v>0</v>
      </c>
    </row>
    <row r="14" spans="2:9" x14ac:dyDescent="0.45">
      <c r="B14">
        <v>2</v>
      </c>
      <c r="D14" s="15">
        <f>D13*(1+C14)+B1</f>
        <v>0</v>
      </c>
      <c r="H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52A7-ABD8-475C-B20A-10BF10A84934}">
  <dimension ref="A1:G15"/>
  <sheetViews>
    <sheetView workbookViewId="0">
      <selection activeCell="H16" sqref="H16"/>
    </sheetView>
  </sheetViews>
  <sheetFormatPr defaultRowHeight="14.25" x14ac:dyDescent="0.45"/>
  <cols>
    <col min="1" max="1" width="25.33203125" customWidth="1"/>
    <col min="2" max="2" width="29.86328125" customWidth="1"/>
    <col min="3" max="3" width="43.1328125" customWidth="1"/>
    <col min="4" max="4" width="33.1328125" customWidth="1"/>
    <col min="5" max="5" width="29.265625" customWidth="1"/>
  </cols>
  <sheetData>
    <row r="1" spans="1:7" x14ac:dyDescent="0.45">
      <c r="A1" s="20" t="s">
        <v>27</v>
      </c>
      <c r="B1" s="1"/>
      <c r="C1" s="21" t="s">
        <v>28</v>
      </c>
      <c r="D1" s="21" t="s">
        <v>29</v>
      </c>
      <c r="E1" s="22" t="s">
        <v>30</v>
      </c>
    </row>
    <row r="2" spans="1:7" x14ac:dyDescent="0.45">
      <c r="A2" s="1" t="s">
        <v>0</v>
      </c>
      <c r="B2" s="2">
        <v>10000</v>
      </c>
      <c r="C2" s="23">
        <v>8000</v>
      </c>
      <c r="D2" s="24">
        <v>10000</v>
      </c>
      <c r="E2" s="25">
        <v>12000</v>
      </c>
      <c r="G2" t="s">
        <v>35</v>
      </c>
    </row>
    <row r="3" spans="1:7" x14ac:dyDescent="0.45">
      <c r="A3" t="s">
        <v>1</v>
      </c>
      <c r="B3" s="2">
        <v>25000</v>
      </c>
      <c r="C3" s="21" t="s">
        <v>31</v>
      </c>
      <c r="D3" s="21" t="s">
        <v>31</v>
      </c>
      <c r="E3" s="22" t="s">
        <v>31</v>
      </c>
    </row>
    <row r="4" spans="1:7" x14ac:dyDescent="0.45">
      <c r="A4" s="1" t="s">
        <v>32</v>
      </c>
      <c r="B4" s="3">
        <v>0.1</v>
      </c>
      <c r="C4" s="26">
        <v>-0.02</v>
      </c>
      <c r="D4" s="26">
        <v>0.1</v>
      </c>
      <c r="E4" s="27">
        <v>0.22</v>
      </c>
    </row>
    <row r="5" spans="1:7" x14ac:dyDescent="0.45">
      <c r="A5" s="1" t="s">
        <v>3</v>
      </c>
      <c r="B5">
        <v>40</v>
      </c>
      <c r="C5" s="21" t="s">
        <v>31</v>
      </c>
      <c r="D5" s="21" t="s">
        <v>31</v>
      </c>
      <c r="E5" s="22" t="s">
        <v>31</v>
      </c>
    </row>
    <row r="7" spans="1:7" x14ac:dyDescent="0.45">
      <c r="A7" s="1"/>
    </row>
    <row r="9" spans="1:7" x14ac:dyDescent="0.45">
      <c r="B9" t="s">
        <v>4</v>
      </c>
      <c r="C9" t="s">
        <v>6</v>
      </c>
      <c r="D9" t="s">
        <v>9</v>
      </c>
    </row>
    <row r="10" spans="1:7" x14ac:dyDescent="0.45">
      <c r="A10" s="1" t="s">
        <v>33</v>
      </c>
    </row>
    <row r="13" spans="1:7" x14ac:dyDescent="0.45">
      <c r="A13" t="s">
        <v>34</v>
      </c>
      <c r="B13" t="s">
        <v>22</v>
      </c>
      <c r="C13" t="s">
        <v>23</v>
      </c>
      <c r="D13" t="s">
        <v>24</v>
      </c>
    </row>
    <row r="14" spans="1:7" x14ac:dyDescent="0.45">
      <c r="B14">
        <v>1</v>
      </c>
      <c r="D14" s="15">
        <f>B3*(1+C14)+B2</f>
        <v>35000</v>
      </c>
    </row>
    <row r="15" spans="1:7" x14ac:dyDescent="0.45">
      <c r="B15">
        <v>2</v>
      </c>
      <c r="D15" s="15">
        <f>D14*(1+C15)+B2</f>
        <v>45000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CC0818538A06458847460A3B8FF6A7" ma:contentTypeVersion="15" ma:contentTypeDescription="Create a new document." ma:contentTypeScope="" ma:versionID="c388ce822be4b654718d2518e0e8c299">
  <xsd:schema xmlns:xsd="http://www.w3.org/2001/XMLSchema" xmlns:xs="http://www.w3.org/2001/XMLSchema" xmlns:p="http://schemas.microsoft.com/office/2006/metadata/properties" xmlns:ns3="c8df8795-5ebd-4097-aaf4-6a1c34a4cbb5" xmlns:ns4="b49e311f-be93-44e6-b2dc-1d2715b7f0f2" targetNamespace="http://schemas.microsoft.com/office/2006/metadata/properties" ma:root="true" ma:fieldsID="793ad97be033ac1eafdc531d83e747f2" ns3:_="" ns4:_="">
    <xsd:import namespace="c8df8795-5ebd-4097-aaf4-6a1c34a4cbb5"/>
    <xsd:import namespace="b49e311f-be93-44e6-b2dc-1d2715b7f0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f8795-5ebd-4097-aaf4-6a1c34a4cb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e311f-be93-44e6-b2dc-1d2715b7f0f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df8795-5ebd-4097-aaf4-6a1c34a4cbb5" xsi:nil="true"/>
  </documentManagement>
</p:properties>
</file>

<file path=customXml/itemProps1.xml><?xml version="1.0" encoding="utf-8"?>
<ds:datastoreItem xmlns:ds="http://schemas.openxmlformats.org/officeDocument/2006/customXml" ds:itemID="{F2C4FC3A-ADE2-4A65-8056-BB2F2AB68707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DA30729B-C9FC-4BC6-991A-F8A550ACA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f8795-5ebd-4097-aaf4-6a1c34a4cbb5"/>
    <ds:schemaRef ds:uri="b49e311f-be93-44e6-b2dc-1d2715b7f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9F2711-65DB-4932-98DF-37CFCEAA3C6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7103A84-8DE9-4C36-BF78-DAD3C4065D4F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b49e311f-be93-44e6-b2dc-1d2715b7f0f2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c8df8795-5ebd-4097-aaf4-6a1c34a4cbb5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Model</vt:lpstr>
      <vt:lpstr>Gaussian Monte Carlo</vt:lpstr>
      <vt:lpstr>Monte Carlo with XLRisk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Lawrence, Gabriel Antonio (vzh2vs)</dc:creator>
  <cp:lastModifiedBy>Lawrence, Gabriel Antonio (vzh2vs)</cp:lastModifiedBy>
  <dcterms:created xsi:type="dcterms:W3CDTF">2025-01-28T23:20:00Z</dcterms:created>
  <dcterms:modified xsi:type="dcterms:W3CDTF">2025-01-28T23:31:13Z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0x010100EFCC0818538A06458847460A3B8FF6A7</vt:lpwstr>
  </property>
</Properties>
</file>