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in\Downloads\"/>
    </mc:Choice>
  </mc:AlternateContent>
  <xr:revisionPtr revIDLastSave="0" documentId="8_{FF6C85DB-2690-45B8-B7EA-2A2FFFD09B0B}" xr6:coauthVersionLast="47" xr6:coauthVersionMax="47" xr10:uidLastSave="{00000000-0000-0000-0000-000000000000}"/>
  <bookViews>
    <workbookView xWindow="-98" yWindow="248" windowWidth="28996" windowHeight="17849" xr2:uid="{90A24256-3A78-410B-95AA-ED405A93C94F}"/>
  </bookViews>
  <sheets>
    <sheet name="Data Set" sheetId="1" r:id="rId1"/>
    <sheet name="XLRisk" sheetId="2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" i="1" l="1"/>
  <c r="AB29" i="1"/>
  <c r="AB15" i="1"/>
  <c r="AB7" i="1"/>
  <c r="AI16" i="1"/>
  <c r="AD15" i="1"/>
  <c r="AE15" i="1"/>
  <c r="AF15" i="1"/>
  <c r="AG15" i="1"/>
  <c r="AH15" i="1"/>
  <c r="AI15" i="1"/>
  <c r="AC15" i="1"/>
  <c r="AL29" i="1" a="1"/>
  <c r="AL29" i="1" s="1"/>
  <c r="AB30" i="1" s="1"/>
  <c r="AB31" i="1" s="1"/>
  <c r="AB32" i="1" s="1"/>
  <c r="AB33" i="1" s="1"/>
  <c r="AB34" i="1" s="1"/>
  <c r="AB35" i="1" s="1"/>
  <c r="AB36" i="1" s="1"/>
  <c r="AH4" i="1"/>
  <c r="AD29" i="1"/>
  <c r="AB10" i="1"/>
  <c r="AB9" i="1"/>
  <c r="AB8" i="1"/>
  <c r="AI5" i="1"/>
  <c r="AI4" i="1"/>
  <c r="AI3" i="1"/>
  <c r="AI2" i="1"/>
  <c r="AH5" i="1"/>
  <c r="AH3" i="1"/>
  <c r="AH2" i="1"/>
  <c r="AG4" i="1"/>
  <c r="AG5" i="1"/>
  <c r="AG2" i="1"/>
  <c r="AG3" i="1"/>
  <c r="AF5" i="1"/>
  <c r="AE5" i="1"/>
  <c r="AD5" i="1"/>
  <c r="AC5" i="1"/>
  <c r="AB5" i="1"/>
  <c r="AF4" i="1"/>
  <c r="AE4" i="1"/>
  <c r="AD4" i="1"/>
  <c r="AC4" i="1"/>
  <c r="AB4" i="1"/>
  <c r="AF3" i="1"/>
  <c r="AE3" i="1"/>
  <c r="AD3" i="1"/>
  <c r="AC3" i="1"/>
  <c r="AB3" i="1"/>
  <c r="AF2" i="1"/>
  <c r="AE2" i="1"/>
  <c r="AD2" i="1"/>
  <c r="AC2" i="1"/>
  <c r="AB2" i="1"/>
  <c r="AC29" i="1"/>
  <c r="AE29" i="1"/>
  <c r="AF29" i="1"/>
  <c r="AG29" i="1"/>
  <c r="AH29" i="1"/>
  <c r="AI29" i="1"/>
  <c r="AB21" i="1"/>
  <c r="AB22" i="1"/>
  <c r="AI22" i="1"/>
  <c r="AH22" i="1"/>
  <c r="AG22" i="1"/>
  <c r="AF22" i="1"/>
  <c r="AE22" i="1"/>
  <c r="AD22" i="1"/>
  <c r="AC22" i="1"/>
  <c r="AI21" i="1"/>
  <c r="AH21" i="1"/>
  <c r="AG21" i="1"/>
  <c r="AF21" i="1"/>
  <c r="AE21" i="1"/>
  <c r="AD21" i="1"/>
  <c r="AC21" i="1"/>
  <c r="AI14" i="1"/>
  <c r="AH14" i="1"/>
  <c r="AG14" i="1"/>
  <c r="AF14" i="1"/>
  <c r="AE14" i="1"/>
  <c r="AD14" i="1"/>
  <c r="AC14" i="1"/>
  <c r="AB14" i="1"/>
  <c r="P2" i="1" a="1"/>
  <c r="N2" i="1" a="1"/>
  <c r="L2" i="1" a="1"/>
  <c r="J2" i="1" a="1"/>
  <c r="H2" i="1" a="1"/>
  <c r="F2" i="1" a="1"/>
  <c r="D2" i="1" a="1"/>
  <c r="B2" i="1" a="1"/>
  <c r="P2" i="1" l="1"/>
  <c r="Y396" i="1"/>
  <c r="Y344" i="1"/>
  <c r="Y564" i="1"/>
  <c r="Y345" i="1"/>
  <c r="Y124" i="1"/>
  <c r="Y883" i="1"/>
  <c r="Y346" i="1"/>
  <c r="AI17" i="1"/>
  <c r="Y1029" i="1"/>
  <c r="Y256" i="1"/>
  <c r="Y763" i="1"/>
  <c r="Y311" i="1"/>
  <c r="Y602" i="1"/>
  <c r="Y125" i="1"/>
  <c r="Y313" i="1"/>
  <c r="Y882" i="1"/>
  <c r="Y1028" i="1"/>
  <c r="Y555" i="1"/>
  <c r="Y347" i="1"/>
  <c r="Y126" i="1"/>
  <c r="Y762" i="1"/>
  <c r="Y127" i="1"/>
  <c r="Y348" i="1"/>
  <c r="Y446" i="1"/>
  <c r="Y1027" i="1"/>
  <c r="Y881" i="1"/>
  <c r="Y601" i="1"/>
  <c r="Y128" i="1"/>
  <c r="Y444" i="1"/>
  <c r="Y349" i="1"/>
  <c r="Y761" i="1"/>
  <c r="Y129" i="1"/>
  <c r="Y1026" i="1"/>
  <c r="Y880" i="1"/>
  <c r="Y319" i="1"/>
  <c r="Y350" i="1"/>
  <c r="Y440" i="1"/>
  <c r="Y351" i="1"/>
  <c r="Y600" i="1"/>
  <c r="Y536" i="1"/>
  <c r="Y1025" i="1"/>
  <c r="Y879" i="1"/>
  <c r="Y760" i="1"/>
  <c r="Y372" i="1"/>
  <c r="Y496" i="1"/>
  <c r="Y7" i="1"/>
  <c r="Y352" i="1"/>
  <c r="Y878" i="1"/>
  <c r="Y1024" i="1"/>
  <c r="Y15" i="1"/>
  <c r="Y353" i="1"/>
  <c r="Y328" i="1"/>
  <c r="Y759" i="1"/>
  <c r="Y18" i="1"/>
  <c r="Y599" i="1"/>
  <c r="Y877" i="1"/>
  <c r="Y1023" i="1"/>
  <c r="Y326" i="1"/>
  <c r="Y19" i="1"/>
  <c r="Y354" i="1"/>
  <c r="Y20" i="1"/>
  <c r="Y355" i="1"/>
  <c r="Y758" i="1"/>
  <c r="Y24" i="1"/>
  <c r="Y1022" i="1"/>
  <c r="Y876" i="1"/>
  <c r="Y316" i="1"/>
  <c r="Y356" i="1"/>
  <c r="Y598" i="1"/>
  <c r="Y27" i="1"/>
  <c r="Y497" i="1"/>
  <c r="Y875" i="1"/>
  <c r="Y757" i="1"/>
  <c r="Y975" i="1"/>
  <c r="Y35" i="1"/>
  <c r="Y312" i="1"/>
  <c r="Y357" i="1"/>
  <c r="Y36" i="1"/>
  <c r="Y358" i="1"/>
  <c r="Y37" i="1"/>
  <c r="Y597" i="1"/>
  <c r="Y974" i="1"/>
  <c r="Y874" i="1"/>
  <c r="Y321" i="1"/>
  <c r="Y756" i="1"/>
  <c r="Y39" i="1"/>
  <c r="Y40" i="1"/>
  <c r="Y359" i="1"/>
  <c r="Y41" i="1"/>
  <c r="Y973" i="1"/>
  <c r="Y42" i="1"/>
  <c r="Y360" i="1"/>
  <c r="Y252" i="1"/>
  <c r="Y361" i="1"/>
  <c r="Y755" i="1"/>
  <c r="Y873" i="1"/>
  <c r="Y596" i="1"/>
  <c r="Y972" i="1"/>
  <c r="Y46" i="1"/>
  <c r="Y872" i="1"/>
  <c r="Y523" i="1"/>
  <c r="Y673" i="1"/>
  <c r="Y362" i="1"/>
  <c r="Y50" i="1"/>
  <c r="Y754" i="1"/>
  <c r="Y971" i="1"/>
  <c r="Y55" i="1"/>
  <c r="Y871" i="1"/>
  <c r="Y363" i="1"/>
  <c r="Y672" i="1"/>
  <c r="Y595" i="1"/>
  <c r="Y325" i="1"/>
  <c r="Y870" i="1"/>
  <c r="Y970" i="1"/>
  <c r="Y62" i="1"/>
  <c r="Y364" i="1"/>
  <c r="Y753" i="1"/>
  <c r="Y67" i="1"/>
  <c r="Y671" i="1"/>
  <c r="Y365" i="1"/>
  <c r="Y869" i="1"/>
  <c r="Y969" i="1"/>
  <c r="Y72" i="1"/>
  <c r="Y366" i="1"/>
  <c r="Y594" i="1"/>
  <c r="Y74" i="1"/>
  <c r="Y752" i="1"/>
  <c r="Y868" i="1"/>
  <c r="Y513" i="1"/>
  <c r="Y968" i="1"/>
  <c r="Y670" i="1"/>
  <c r="Y329" i="1"/>
  <c r="Y367" i="1"/>
  <c r="Y75" i="1"/>
  <c r="Y368" i="1"/>
  <c r="Y76" i="1"/>
  <c r="Y751" i="1"/>
  <c r="Y967" i="1"/>
  <c r="Y866" i="1"/>
  <c r="Y81" i="1"/>
  <c r="Y593" i="1"/>
  <c r="Y669" i="1"/>
  <c r="Y498" i="1"/>
  <c r="Y369" i="1"/>
  <c r="Y535" i="1"/>
  <c r="Y966" i="1"/>
  <c r="Y83" i="1"/>
  <c r="Y370" i="1"/>
  <c r="Y750" i="1"/>
  <c r="Y84" i="1"/>
  <c r="Y668" i="1"/>
  <c r="Y371" i="1"/>
  <c r="Y592" i="1"/>
  <c r="Y965" i="1"/>
  <c r="Y863" i="1"/>
  <c r="Y86" i="1"/>
  <c r="Y862" i="1"/>
  <c r="Y88" i="1"/>
  <c r="Y749" i="1"/>
  <c r="Y89" i="1"/>
  <c r="Y378" i="1"/>
  <c r="Y964" i="1"/>
  <c r="Y90" i="1"/>
  <c r="Y667" i="1"/>
  <c r="Y379" i="1"/>
  <c r="Y510" i="1"/>
  <c r="Y591" i="1"/>
  <c r="Y860" i="1"/>
  <c r="Y748" i="1"/>
  <c r="Y963" i="1"/>
  <c r="Y130" i="1"/>
  <c r="Y859" i="1"/>
  <c r="Y499" i="1"/>
  <c r="Y380" i="1"/>
  <c r="Y131" i="1"/>
  <c r="Y666" i="1"/>
  <c r="Y382" i="1"/>
  <c r="Y962" i="1"/>
  <c r="Y333" i="1"/>
  <c r="Y132" i="1"/>
  <c r="Y747" i="1"/>
  <c r="Y857" i="1"/>
  <c r="Y590" i="1"/>
  <c r="Y133" i="1"/>
  <c r="Y856" i="1"/>
  <c r="Y961" i="1"/>
  <c r="Y134" i="1"/>
  <c r="Y383" i="1"/>
  <c r="Y665" i="1"/>
  <c r="Y384" i="1"/>
  <c r="Y746" i="1"/>
  <c r="Y373" i="1"/>
  <c r="Y135" i="1"/>
  <c r="Y960" i="1"/>
  <c r="Y816" i="1"/>
  <c r="Y385" i="1"/>
  <c r="Y589" i="1"/>
  <c r="Y136" i="1"/>
  <c r="Y500" i="1"/>
  <c r="Y815" i="1"/>
  <c r="Y745" i="1"/>
  <c r="Y959" i="1"/>
  <c r="Y664" i="1"/>
  <c r="Y374" i="1"/>
  <c r="Y386" i="1"/>
  <c r="Y814" i="1"/>
  <c r="Y387" i="1"/>
  <c r="Y137" i="1"/>
  <c r="Y588" i="1"/>
  <c r="Y958" i="1"/>
  <c r="Y138" i="1"/>
  <c r="Y139" i="1"/>
  <c r="Y744" i="1"/>
  <c r="Y663" i="1"/>
  <c r="Y522" i="1"/>
  <c r="Y388" i="1"/>
  <c r="Y432" i="1"/>
  <c r="Y957" i="1"/>
  <c r="Y140" i="1"/>
  <c r="Y389" i="1"/>
  <c r="Y141" i="1"/>
  <c r="Y390" i="1"/>
  <c r="Y743" i="1"/>
  <c r="Y662" i="1"/>
  <c r="Y587" i="1"/>
  <c r="Y956" i="1"/>
  <c r="Y808" i="1"/>
  <c r="Y142" i="1"/>
  <c r="Y143" i="1"/>
  <c r="Y144" i="1"/>
  <c r="Y391" i="1"/>
  <c r="Y806" i="1"/>
  <c r="Y661" i="1"/>
  <c r="Y955" i="1"/>
  <c r="Y534" i="1"/>
  <c r="Y392" i="1"/>
  <c r="Y145" i="1"/>
  <c r="Y586" i="1"/>
  <c r="Y146" i="1"/>
  <c r="Y660" i="1"/>
  <c r="Y393" i="1"/>
  <c r="Y954" i="1"/>
  <c r="Y147" i="1"/>
  <c r="Y148" i="1"/>
  <c r="Y149" i="1"/>
  <c r="Y394" i="1"/>
  <c r="Y659" i="1"/>
  <c r="Y395" i="1"/>
  <c r="Y585" i="1"/>
  <c r="Y953" i="1"/>
  <c r="Y518" i="1"/>
  <c r="Y150" i="1"/>
  <c r="Y151" i="1"/>
  <c r="Y658" i="1"/>
  <c r="Y735" i="1"/>
  <c r="Y434" i="1"/>
  <c r="Y544" i="1"/>
  <c r="Y952" i="1"/>
  <c r="Y152" i="1"/>
  <c r="Y796" i="1"/>
  <c r="Y397" i="1"/>
  <c r="Y153" i="1"/>
  <c r="Y584" i="1"/>
  <c r="Y154" i="1"/>
  <c r="Y657" i="1"/>
  <c r="Y951" i="1"/>
  <c r="Y742" i="1"/>
  <c r="Y676" i="1"/>
  <c r="Y501" i="1"/>
  <c r="Y398" i="1"/>
  <c r="Y741" i="1"/>
  <c r="Y399" i="1"/>
  <c r="Y435" i="1"/>
  <c r="Y950" i="1"/>
  <c r="Y155" i="1"/>
  <c r="Y739" i="1"/>
  <c r="Y570" i="1"/>
  <c r="Y400" i="1"/>
  <c r="Y583" i="1"/>
  <c r="Y156" i="1"/>
  <c r="Y738" i="1"/>
  <c r="Y949" i="1"/>
  <c r="Y656" i="1"/>
  <c r="Y157" i="1"/>
  <c r="Y566" i="1"/>
  <c r="Y401" i="1"/>
  <c r="Y563" i="1"/>
  <c r="Y158" i="1"/>
  <c r="Y402" i="1"/>
  <c r="Y948" i="1"/>
  <c r="Y159" i="1"/>
  <c r="Y655" i="1"/>
  <c r="Y582" i="1"/>
  <c r="Y437" i="1"/>
  <c r="Y559" i="1"/>
  <c r="Y502" i="1"/>
  <c r="Y403" i="1"/>
  <c r="Y947" i="1"/>
  <c r="Y160" i="1"/>
  <c r="Y161" i="1"/>
  <c r="Y675" i="1"/>
  <c r="Y581" i="1"/>
  <c r="Y674" i="1"/>
  <c r="Y654" i="1"/>
  <c r="Y404" i="1"/>
  <c r="Y946" i="1"/>
  <c r="Y571" i="1"/>
  <c r="Y443" i="1"/>
  <c r="Y162" i="1"/>
  <c r="Y163" i="1"/>
  <c r="Y405" i="1"/>
  <c r="Y164" i="1"/>
  <c r="Y653" i="1"/>
  <c r="Y945" i="1"/>
  <c r="Y533" i="1"/>
  <c r="Y406" i="1"/>
  <c r="Y165" i="1"/>
  <c r="Y407" i="1"/>
  <c r="Y166" i="1"/>
  <c r="Y561" i="1"/>
  <c r="Y442" i="1"/>
  <c r="Y944" i="1"/>
  <c r="Y652" i="1"/>
  <c r="Y577" i="1"/>
  <c r="Y408" i="1"/>
  <c r="Y576" i="1"/>
  <c r="Y558" i="1"/>
  <c r="Y521" i="1"/>
  <c r="Y167" i="1"/>
  <c r="Y943" i="1"/>
  <c r="Y556" i="1"/>
  <c r="Y438" i="1"/>
  <c r="Y554" i="1"/>
  <c r="Y409" i="1"/>
  <c r="Y168" i="1"/>
  <c r="Y169" i="1"/>
  <c r="Y410" i="1"/>
  <c r="Y942" i="1"/>
  <c r="Y651" i="1"/>
  <c r="Y170" i="1"/>
  <c r="Y171" i="1"/>
  <c r="Y411" i="1"/>
  <c r="Y381" i="1"/>
  <c r="Y650" i="1"/>
  <c r="Y441" i="1"/>
  <c r="Y941" i="1"/>
  <c r="Y172" i="1"/>
  <c r="Y173" i="1"/>
  <c r="Y412" i="1"/>
  <c r="Y514" i="1"/>
  <c r="Y436" i="1"/>
  <c r="Y649" i="1"/>
  <c r="Y174" i="1"/>
  <c r="Y940" i="1"/>
  <c r="Y433" i="1"/>
  <c r="Y503" i="1"/>
  <c r="Y175" i="1"/>
  <c r="Y334" i="1"/>
  <c r="Y413" i="1"/>
  <c r="Y176" i="1"/>
  <c r="Y377" i="1"/>
  <c r="Y939" i="1"/>
  <c r="Y648" i="1"/>
  <c r="Y414" i="1"/>
  <c r="Y560" i="1"/>
  <c r="Y330" i="1"/>
  <c r="Y449" i="1"/>
  <c r="Y375" i="1"/>
  <c r="Y415" i="1"/>
  <c r="Y938" i="1"/>
  <c r="Y177" i="1"/>
  <c r="Y178" i="1"/>
  <c r="Y416" i="1"/>
  <c r="Y647" i="1"/>
  <c r="Y324" i="1"/>
  <c r="Y417" i="1"/>
  <c r="Y179" i="1"/>
  <c r="Y937" i="1"/>
  <c r="Y332" i="1"/>
  <c r="Y180" i="1"/>
  <c r="Y181" i="1"/>
  <c r="Y646" i="1"/>
  <c r="Y450" i="1"/>
  <c r="Y418" i="1"/>
  <c r="Y327" i="1"/>
  <c r="Y936" i="1"/>
  <c r="Y182" i="1"/>
  <c r="Y183" i="1"/>
  <c r="Y322" i="1"/>
  <c r="Y317" i="1"/>
  <c r="Y504" i="1"/>
  <c r="Y645" i="1"/>
  <c r="Y419" i="1"/>
  <c r="Y935" i="1"/>
  <c r="Y532" i="1"/>
  <c r="Y184" i="1"/>
  <c r="Y420" i="1"/>
  <c r="Y552" i="1"/>
  <c r="Y185" i="1"/>
  <c r="Y186" i="1"/>
  <c r="Y261" i="1"/>
  <c r="Y934" i="1"/>
  <c r="Y644" i="1"/>
  <c r="Y260" i="1"/>
  <c r="Y187" i="1"/>
  <c r="Y258" i="1"/>
  <c r="Y188" i="1"/>
  <c r="Y257" i="1"/>
  <c r="Y421" i="1"/>
  <c r="Y933" i="1"/>
  <c r="Y643" i="1"/>
  <c r="Y516" i="1"/>
  <c r="Y422" i="1"/>
  <c r="Y189" i="1"/>
  <c r="Y551" i="1"/>
  <c r="Y190" i="1"/>
  <c r="Y6" i="1"/>
  <c r="Y932" i="1"/>
  <c r="Y8" i="1"/>
  <c r="Y505" i="1"/>
  <c r="Y423" i="1"/>
  <c r="Y251" i="1"/>
  <c r="Y642" i="1"/>
  <c r="Y424" i="1"/>
  <c r="Y9" i="1"/>
  <c r="Y931" i="1"/>
  <c r="Y10" i="1"/>
  <c r="Y425" i="1"/>
  <c r="Y550" i="1"/>
  <c r="Y11" i="1"/>
  <c r="Y733" i="1"/>
  <c r="Y253" i="1"/>
  <c r="Y520" i="1"/>
  <c r="Y930" i="1"/>
  <c r="Y13" i="1"/>
  <c r="Y16" i="1"/>
  <c r="Y426" i="1"/>
  <c r="Y641" i="1"/>
  <c r="Y427" i="1"/>
  <c r="Y451" i="1"/>
  <c r="Y732" i="1"/>
  <c r="Y929" i="1"/>
  <c r="Y854" i="1"/>
  <c r="Y29" i="1"/>
  <c r="Y549" i="1"/>
  <c r="Y640" i="1"/>
  <c r="Y452" i="1"/>
  <c r="Y428" i="1"/>
  <c r="Y853" i="1"/>
  <c r="Y928" i="1"/>
  <c r="Y33" i="1"/>
  <c r="Y429" i="1"/>
  <c r="Y731" i="1"/>
  <c r="Y34" i="1"/>
  <c r="Y51" i="1"/>
  <c r="Y430" i="1"/>
  <c r="Y548" i="1"/>
  <c r="Y927" i="1"/>
  <c r="Y639" i="1"/>
  <c r="Y852" i="1"/>
  <c r="Y453" i="1"/>
  <c r="Y53" i="1"/>
  <c r="Y730" i="1"/>
  <c r="Y54" i="1"/>
  <c r="Y431" i="1"/>
  <c r="Y926" i="1"/>
  <c r="Y56" i="1"/>
  <c r="Y448" i="1"/>
  <c r="Y851" i="1"/>
  <c r="Y638" i="1"/>
  <c r="Y547" i="1"/>
  <c r="Y59" i="1"/>
  <c r="Y729" i="1"/>
  <c r="Y925" i="1"/>
  <c r="Y850" i="1"/>
  <c r="Y61" i="1"/>
  <c r="Y64" i="1"/>
  <c r="Y637" i="1"/>
  <c r="Y454" i="1"/>
  <c r="Y455" i="1"/>
  <c r="Y531" i="1"/>
  <c r="Y924" i="1"/>
  <c r="Y849" i="1"/>
  <c r="Y457" i="1"/>
  <c r="Y728" i="1"/>
  <c r="Y65" i="1"/>
  <c r="Y546" i="1"/>
  <c r="Y66" i="1"/>
  <c r="Y506" i="1"/>
  <c r="Y923" i="1"/>
  <c r="Y68" i="1"/>
  <c r="Y69" i="1"/>
  <c r="Y636" i="1"/>
  <c r="Y848" i="1"/>
  <c r="Y727" i="1"/>
  <c r="Y71" i="1"/>
  <c r="Y462" i="1"/>
  <c r="Y922" i="1"/>
  <c r="Y73" i="1"/>
  <c r="Y847" i="1"/>
  <c r="Y545" i="1"/>
  <c r="Y635" i="1"/>
  <c r="Y846" i="1"/>
  <c r="Y191" i="1"/>
  <c r="Y726" i="1"/>
  <c r="Y921" i="1"/>
  <c r="Y634" i="1"/>
  <c r="Y845" i="1"/>
  <c r="Y465" i="1"/>
  <c r="Y192" i="1"/>
  <c r="Y193" i="1"/>
  <c r="Y468" i="1"/>
  <c r="Y633" i="1"/>
  <c r="Y920" i="1"/>
  <c r="Y844" i="1"/>
  <c r="Y456" i="1"/>
  <c r="Y725" i="1"/>
  <c r="Y194" i="1"/>
  <c r="Y507" i="1"/>
  <c r="Y469" i="1"/>
  <c r="Y471" i="1"/>
  <c r="Y919" i="1"/>
  <c r="Y195" i="1"/>
  <c r="Y843" i="1"/>
  <c r="Y196" i="1"/>
  <c r="Y632" i="1"/>
  <c r="Y724" i="1"/>
  <c r="Y197" i="1"/>
  <c r="Y543" i="1"/>
  <c r="Y918" i="1"/>
  <c r="Y842" i="1"/>
  <c r="Y198" i="1"/>
  <c r="Y631" i="1"/>
  <c r="Y478" i="1"/>
  <c r="Y458" i="1"/>
  <c r="Y976" i="1"/>
  <c r="Y723" i="1"/>
  <c r="Y917" i="1"/>
  <c r="Y841" i="1"/>
  <c r="Y199" i="1"/>
  <c r="Y479" i="1"/>
  <c r="Y200" i="1"/>
  <c r="Y201" i="1"/>
  <c r="Y630" i="1"/>
  <c r="Y840" i="1"/>
  <c r="Y916" i="1"/>
  <c r="Y202" i="1"/>
  <c r="Y981" i="1"/>
  <c r="Y722" i="1"/>
  <c r="Y203" i="1"/>
  <c r="Y839" i="1"/>
  <c r="Y982" i="1"/>
  <c r="Y983" i="1"/>
  <c r="Y629" i="1"/>
  <c r="Y984" i="1"/>
  <c r="Y985" i="1"/>
  <c r="Y867" i="1"/>
  <c r="Y530" i="1"/>
  <c r="Y721" i="1"/>
  <c r="Y204" i="1"/>
  <c r="Y838" i="1"/>
  <c r="Y480" i="1"/>
  <c r="Y987" i="1"/>
  <c r="Y865" i="1"/>
  <c r="Y988" i="1"/>
  <c r="Y989" i="1"/>
  <c r="Y990" i="1"/>
  <c r="Y864" i="1"/>
  <c r="Y991" i="1"/>
  <c r="Y720" i="1"/>
  <c r="Y205" i="1"/>
  <c r="Y206" i="1"/>
  <c r="Y542" i="1"/>
  <c r="Y992" i="1"/>
  <c r="Y628" i="1"/>
  <c r="Y993" i="1"/>
  <c r="Y994" i="1"/>
  <c r="Y996" i="1"/>
  <c r="Y861" i="1"/>
  <c r="Y837" i="1"/>
  <c r="Y207" i="1"/>
  <c r="Y719" i="1"/>
  <c r="Y208" i="1"/>
  <c r="Y627" i="1"/>
  <c r="Y836" i="1"/>
  <c r="Y998" i="1"/>
  <c r="Y511" i="1"/>
  <c r="Y209" i="1"/>
  <c r="Y210" i="1"/>
  <c r="Y835" i="1"/>
  <c r="Y858" i="1"/>
  <c r="Y718" i="1"/>
  <c r="Y211" i="1"/>
  <c r="Y519" i="1"/>
  <c r="Y1003" i="1"/>
  <c r="Y1004" i="1"/>
  <c r="Y626" i="1"/>
  <c r="Y1005" i="1"/>
  <c r="Y459" i="1"/>
  <c r="Y212" i="1"/>
  <c r="Y717" i="1"/>
  <c r="Y834" i="1"/>
  <c r="Y855" i="1"/>
  <c r="Y817" i="1"/>
  <c r="Y213" i="1"/>
  <c r="Y625" i="1"/>
  <c r="Y1008" i="1"/>
  <c r="Y460" i="1"/>
  <c r="Y833" i="1"/>
  <c r="Y214" i="1"/>
  <c r="Y215" i="1"/>
  <c r="Y716" i="1"/>
  <c r="Y216" i="1"/>
  <c r="Y481" i="1"/>
  <c r="Y624" i="1"/>
  <c r="Y813" i="1"/>
  <c r="Y832" i="1"/>
  <c r="Y1014" i="1"/>
  <c r="Y461" i="1"/>
  <c r="Y812" i="1"/>
  <c r="Y217" i="1"/>
  <c r="Y715" i="1"/>
  <c r="Y218" i="1"/>
  <c r="Y831" i="1"/>
  <c r="Y623" i="1"/>
  <c r="Y219" i="1"/>
  <c r="Y810" i="1"/>
  <c r="Y977" i="1"/>
  <c r="Y978" i="1"/>
  <c r="Y809" i="1"/>
  <c r="Y979" i="1"/>
  <c r="Y714" i="1"/>
  <c r="Y830" i="1"/>
  <c r="Y220" i="1"/>
  <c r="Y482" i="1"/>
  <c r="Y807" i="1"/>
  <c r="Y980" i="1"/>
  <c r="Y221" i="1"/>
  <c r="Y622" i="1"/>
  <c r="Y463" i="1"/>
  <c r="Y805" i="1"/>
  <c r="Y829" i="1"/>
  <c r="Y713" i="1"/>
  <c r="Y222" i="1"/>
  <c r="Y223" i="1"/>
  <c r="Y621" i="1"/>
  <c r="Y986" i="1"/>
  <c r="Y828" i="1"/>
  <c r="Y529" i="1"/>
  <c r="Y224" i="1"/>
  <c r="Y802" i="1"/>
  <c r="Y712" i="1"/>
  <c r="Y225" i="1"/>
  <c r="Y801" i="1"/>
  <c r="Y541" i="1"/>
  <c r="Y827" i="1"/>
  <c r="Y800" i="1"/>
  <c r="Y226" i="1"/>
  <c r="Y620" i="1"/>
  <c r="Y227" i="1"/>
  <c r="Y799" i="1"/>
  <c r="Y826" i="1"/>
  <c r="Y711" i="1"/>
  <c r="Y798" i="1"/>
  <c r="Y228" i="1"/>
  <c r="Y619" i="1"/>
  <c r="Y825" i="1"/>
  <c r="Y229" i="1"/>
  <c r="Y995" i="1"/>
  <c r="Y230" i="1"/>
  <c r="Y231" i="1"/>
  <c r="Y997" i="1"/>
  <c r="Y795" i="1"/>
  <c r="Y618" i="1"/>
  <c r="Y710" i="1"/>
  <c r="Y824" i="1"/>
  <c r="Y464" i="1"/>
  <c r="Y999" i="1"/>
  <c r="Y740" i="1"/>
  <c r="Y1000" i="1"/>
  <c r="Y1001" i="1"/>
  <c r="Y232" i="1"/>
  <c r="Y1002" i="1"/>
  <c r="Y737" i="1"/>
  <c r="Y233" i="1"/>
  <c r="Y709" i="1"/>
  <c r="Y823" i="1"/>
  <c r="Y483" i="1"/>
  <c r="Y617" i="1"/>
  <c r="Y734" i="1"/>
  <c r="Y1006" i="1"/>
  <c r="Y679" i="1"/>
  <c r="Y1007" i="1"/>
  <c r="Y234" i="1"/>
  <c r="Y677" i="1"/>
  <c r="Y1009" i="1"/>
  <c r="Y822" i="1"/>
  <c r="Y708" i="1"/>
  <c r="Y235" i="1"/>
  <c r="Y236" i="1"/>
  <c r="Y616" i="1"/>
  <c r="Y1010" i="1"/>
  <c r="Y1011" i="1"/>
  <c r="Y1012" i="1"/>
  <c r="Y1013" i="1"/>
  <c r="Y569" i="1"/>
  <c r="Y466" i="1"/>
  <c r="Y821" i="1"/>
  <c r="Y707" i="1"/>
  <c r="Y237" i="1"/>
  <c r="Y484" i="1"/>
  <c r="Y1015" i="1"/>
  <c r="Y238" i="1"/>
  <c r="Y615" i="1"/>
  <c r="Y1016" i="1"/>
  <c r="Y820" i="1"/>
  <c r="Y1017" i="1"/>
  <c r="Y706" i="1"/>
  <c r="Y239" i="1"/>
  <c r="Y240" i="1"/>
  <c r="Y819" i="1"/>
  <c r="Y241" i="1"/>
  <c r="Y614" i="1"/>
  <c r="Y1018" i="1"/>
  <c r="Y467" i="1"/>
  <c r="Y447" i="1"/>
  <c r="Y1019" i="1"/>
  <c r="Y242" i="1"/>
  <c r="Y705" i="1"/>
  <c r="Y818" i="1"/>
  <c r="Y243" i="1"/>
  <c r="Y485" i="1"/>
  <c r="Y1020" i="1"/>
  <c r="Y244" i="1"/>
  <c r="Y245" i="1"/>
  <c r="Y1021" i="1"/>
  <c r="Y4" i="1"/>
  <c r="Y5" i="1"/>
  <c r="Y704" i="1"/>
  <c r="Y246" i="1"/>
  <c r="Y540" i="1"/>
  <c r="Y811" i="1"/>
  <c r="Y580" i="1"/>
  <c r="Y528" i="1"/>
  <c r="Y247" i="1"/>
  <c r="Y248" i="1"/>
  <c r="Y703" i="1"/>
  <c r="Y579" i="1"/>
  <c r="Y804" i="1"/>
  <c r="Y12" i="1"/>
  <c r="Y803" i="1"/>
  <c r="Y14" i="1"/>
  <c r="Y249" i="1"/>
  <c r="Y17" i="1"/>
  <c r="Y323" i="1"/>
  <c r="Y702" i="1"/>
  <c r="Y578" i="1"/>
  <c r="Y515" i="1"/>
  <c r="Y320" i="1"/>
  <c r="Y512" i="1"/>
  <c r="Y318" i="1"/>
  <c r="Y797" i="1"/>
  <c r="Y250" i="1"/>
  <c r="Y21" i="1"/>
  <c r="Y262" i="1"/>
  <c r="Y22" i="1"/>
  <c r="Y701" i="1"/>
  <c r="Y263" i="1"/>
  <c r="Y736" i="1"/>
  <c r="Y23" i="1"/>
  <c r="Y264" i="1"/>
  <c r="Y25" i="1"/>
  <c r="Y255" i="1"/>
  <c r="Y678" i="1"/>
  <c r="Y26" i="1"/>
  <c r="Y565" i="1"/>
  <c r="Y915" i="1"/>
  <c r="Y562" i="1"/>
  <c r="Y700" i="1"/>
  <c r="Y265" i="1"/>
  <c r="Y486" i="1"/>
  <c r="Y28" i="1"/>
  <c r="Y557" i="1"/>
  <c r="Y575" i="1"/>
  <c r="Y914" i="1"/>
  <c r="Y266" i="1"/>
  <c r="Y30" i="1"/>
  <c r="Y31" i="1"/>
  <c r="Y699" i="1"/>
  <c r="Y794" i="1"/>
  <c r="Y267" i="1"/>
  <c r="Y32" i="1"/>
  <c r="Y913" i="1"/>
  <c r="Y574" i="1"/>
  <c r="Y268" i="1"/>
  <c r="Y793" i="1"/>
  <c r="Y573" i="1"/>
  <c r="Y470" i="1"/>
  <c r="Y698" i="1"/>
  <c r="Y269" i="1"/>
  <c r="Y912" i="1"/>
  <c r="Y270" i="1"/>
  <c r="Y487" i="1"/>
  <c r="Y572" i="1"/>
  <c r="Y38" i="1"/>
  <c r="Y792" i="1"/>
  <c r="Y271" i="1"/>
  <c r="Y272" i="1"/>
  <c r="Y911" i="1"/>
  <c r="Y791" i="1"/>
  <c r="Y697" i="1"/>
  <c r="Y567" i="1"/>
  <c r="Y273" i="1"/>
  <c r="Y527" i="1"/>
  <c r="Y790" i="1"/>
  <c r="Y43" i="1"/>
  <c r="Y910" i="1"/>
  <c r="Y274" i="1"/>
  <c r="Y44" i="1"/>
  <c r="Y45" i="1"/>
  <c r="Y696" i="1"/>
  <c r="Y275" i="1"/>
  <c r="Y539" i="1"/>
  <c r="Y789" i="1"/>
  <c r="Y909" i="1"/>
  <c r="Y276" i="1"/>
  <c r="Y47" i="1"/>
  <c r="Y48" i="1"/>
  <c r="Y49" i="1"/>
  <c r="Y277" i="1"/>
  <c r="Y695" i="1"/>
  <c r="Y788" i="1"/>
  <c r="Y908" i="1"/>
  <c r="Y472" i="1"/>
  <c r="Y553" i="1"/>
  <c r="Y52" i="1"/>
  <c r="Y278" i="1"/>
  <c r="Y445" i="1"/>
  <c r="Y787" i="1"/>
  <c r="Y57" i="1"/>
  <c r="Y907" i="1"/>
  <c r="Y279" i="1"/>
  <c r="Y694" i="1"/>
  <c r="Y280" i="1"/>
  <c r="Y508" i="1"/>
  <c r="Y58" i="1"/>
  <c r="Y60" i="1"/>
  <c r="Y439" i="1"/>
  <c r="Y906" i="1"/>
  <c r="Y786" i="1"/>
  <c r="Y63" i="1"/>
  <c r="Y473" i="1"/>
  <c r="Y693" i="1"/>
  <c r="Y281" i="1"/>
  <c r="Y488" i="1"/>
  <c r="Y474" i="1"/>
  <c r="Y905" i="1"/>
  <c r="Y785" i="1"/>
  <c r="Y70" i="1"/>
  <c r="Y376" i="1"/>
  <c r="Y77" i="1"/>
  <c r="Y78" i="1"/>
  <c r="Y692" i="1"/>
  <c r="Y282" i="1"/>
  <c r="Y904" i="1"/>
  <c r="Y526" i="1"/>
  <c r="Y335" i="1"/>
  <c r="Y784" i="1"/>
  <c r="Y79" i="1"/>
  <c r="Y80" i="1"/>
  <c r="Y283" i="1"/>
  <c r="Y82" i="1"/>
  <c r="Y903" i="1"/>
  <c r="Y284" i="1"/>
  <c r="Y691" i="1"/>
  <c r="Y331" i="1"/>
  <c r="Y489" i="1"/>
  <c r="Y285" i="1"/>
  <c r="Y85" i="1"/>
  <c r="Y783" i="1"/>
  <c r="Y902" i="1"/>
  <c r="Y286" i="1"/>
  <c r="Y87" i="1"/>
  <c r="Y287" i="1"/>
  <c r="Y690" i="1"/>
  <c r="Y517" i="1"/>
  <c r="Y782" i="1"/>
  <c r="Y475" i="1"/>
  <c r="Y901" i="1"/>
  <c r="Y288" i="1"/>
  <c r="Y289" i="1"/>
  <c r="Y781" i="1"/>
  <c r="Y91" i="1"/>
  <c r="Y290" i="1"/>
  <c r="Y689" i="1"/>
  <c r="Y291" i="1"/>
  <c r="Y900" i="1"/>
  <c r="Y292" i="1"/>
  <c r="Y490" i="1"/>
  <c r="Y92" i="1"/>
  <c r="Y780" i="1"/>
  <c r="Y93" i="1"/>
  <c r="Y476" i="1"/>
  <c r="Y94" i="1"/>
  <c r="Y899" i="1"/>
  <c r="Y315" i="1"/>
  <c r="Y688" i="1"/>
  <c r="Y314" i="1"/>
  <c r="Y538" i="1"/>
  <c r="Y779" i="1"/>
  <c r="Y95" i="1"/>
  <c r="Y259" i="1"/>
  <c r="Y898" i="1"/>
  <c r="Y477" i="1"/>
  <c r="Y96" i="1"/>
  <c r="Y293" i="1"/>
  <c r="Y687" i="1"/>
  <c r="Y254" i="1"/>
  <c r="Y778" i="1"/>
  <c r="Y97" i="1"/>
  <c r="Y897" i="1"/>
  <c r="Y294" i="1"/>
  <c r="Y613" i="1"/>
  <c r="Y98" i="1"/>
  <c r="Y295" i="1"/>
  <c r="Y99" i="1"/>
  <c r="Y686" i="1"/>
  <c r="Y777" i="1"/>
  <c r="Y896" i="1"/>
  <c r="Y296" i="1"/>
  <c r="Y297" i="1"/>
  <c r="Y612" i="1"/>
  <c r="Y100" i="1"/>
  <c r="Y776" i="1"/>
  <c r="Y101" i="1"/>
  <c r="Y525" i="1"/>
  <c r="Y895" i="1"/>
  <c r="Y298" i="1"/>
  <c r="Y685" i="1"/>
  <c r="Y299" i="1"/>
  <c r="Y775" i="1"/>
  <c r="Y102" i="1"/>
  <c r="Y611" i="1"/>
  <c r="Y103" i="1"/>
  <c r="Y894" i="1"/>
  <c r="Y300" i="1"/>
  <c r="Y301" i="1"/>
  <c r="Y104" i="1"/>
  <c r="Y684" i="1"/>
  <c r="Y774" i="1"/>
  <c r="Y491" i="1"/>
  <c r="Y302" i="1"/>
  <c r="Y893" i="1"/>
  <c r="Y610" i="1"/>
  <c r="Y105" i="1"/>
  <c r="Y773" i="1"/>
  <c r="Y106" i="1"/>
  <c r="Y303" i="1"/>
  <c r="Y683" i="1"/>
  <c r="Y304" i="1"/>
  <c r="Y892" i="1"/>
  <c r="Y609" i="1"/>
  <c r="Y772" i="1"/>
  <c r="Y107" i="1"/>
  <c r="Y493" i="1"/>
  <c r="Y108" i="1"/>
  <c r="Y305" i="1"/>
  <c r="Y109" i="1"/>
  <c r="Y891" i="1"/>
  <c r="Y306" i="1"/>
  <c r="Y682" i="1"/>
  <c r="Y307" i="1"/>
  <c r="Y492" i="1"/>
  <c r="Y771" i="1"/>
  <c r="Y110" i="1"/>
  <c r="Y608" i="1"/>
  <c r="Y890" i="1"/>
  <c r="Y308" i="1"/>
  <c r="Y111" i="1"/>
  <c r="Y770" i="1"/>
  <c r="Y681" i="1"/>
  <c r="Y309" i="1"/>
  <c r="Y607" i="1"/>
  <c r="Y112" i="1"/>
  <c r="Y889" i="1"/>
  <c r="Y494" i="1"/>
  <c r="Y310" i="1"/>
  <c r="Y113" i="1"/>
  <c r="Y769" i="1"/>
  <c r="Y114" i="1"/>
  <c r="Y680" i="1"/>
  <c r="Y336" i="1"/>
  <c r="Y888" i="1"/>
  <c r="Y606" i="1"/>
  <c r="Y537" i="1"/>
  <c r="Y768" i="1"/>
  <c r="Y115" i="1"/>
  <c r="Y337" i="1"/>
  <c r="Y338" i="1"/>
  <c r="Y116" i="1"/>
  <c r="Y887" i="1"/>
  <c r="Y767" i="1"/>
  <c r="Y605" i="1"/>
  <c r="Y495" i="1"/>
  <c r="Y117" i="1"/>
  <c r="Y509" i="1"/>
  <c r="Y339" i="1"/>
  <c r="Y118" i="1"/>
  <c r="Y886" i="1"/>
  <c r="Y340" i="1"/>
  <c r="Y766" i="1"/>
  <c r="Y341" i="1"/>
  <c r="Y119" i="1"/>
  <c r="Y604" i="1"/>
  <c r="Y120" i="1"/>
  <c r="Y524" i="1"/>
  <c r="Y885" i="1"/>
  <c r="Y765" i="1"/>
  <c r="Y568" i="1"/>
  <c r="Y121" i="1"/>
  <c r="Y342" i="1"/>
  <c r="Y122" i="1"/>
  <c r="Y343" i="1"/>
  <c r="Y603" i="1"/>
  <c r="Y884" i="1"/>
  <c r="Y764" i="1"/>
  <c r="Y123" i="1"/>
  <c r="N2" i="1"/>
  <c r="X345" i="1"/>
  <c r="X346" i="1"/>
  <c r="AH17" i="1"/>
  <c r="X1029" i="1"/>
  <c r="X763" i="1"/>
  <c r="X602" i="1"/>
  <c r="X516" i="1"/>
  <c r="X347" i="1"/>
  <c r="X1028" i="1"/>
  <c r="X348" i="1"/>
  <c r="X762" i="1"/>
  <c r="X349" i="1"/>
  <c r="X1027" i="1"/>
  <c r="X601" i="1"/>
  <c r="X496" i="1"/>
  <c r="X761" i="1"/>
  <c r="X1026" i="1"/>
  <c r="X350" i="1"/>
  <c r="X351" i="1"/>
  <c r="X600" i="1"/>
  <c r="X1025" i="1"/>
  <c r="X760" i="1"/>
  <c r="X352" i="1"/>
  <c r="X353" i="1"/>
  <c r="X1024" i="1"/>
  <c r="X354" i="1"/>
  <c r="X759" i="1"/>
  <c r="X599" i="1"/>
  <c r="X1023" i="1"/>
  <c r="X497" i="1"/>
  <c r="X355" i="1"/>
  <c r="X758" i="1"/>
  <c r="X1022" i="1"/>
  <c r="X356" i="1"/>
  <c r="X598" i="1"/>
  <c r="X357" i="1"/>
  <c r="X975" i="1"/>
  <c r="X757" i="1"/>
  <c r="X358" i="1"/>
  <c r="X359" i="1"/>
  <c r="X974" i="1"/>
  <c r="X597" i="1"/>
  <c r="X756" i="1"/>
  <c r="X498" i="1"/>
  <c r="X360" i="1"/>
  <c r="X973" i="1"/>
  <c r="X361" i="1"/>
  <c r="X755" i="1"/>
  <c r="X972" i="1"/>
  <c r="X596" i="1"/>
  <c r="X362" i="1"/>
  <c r="X363" i="1"/>
  <c r="X971" i="1"/>
  <c r="X754" i="1"/>
  <c r="X364" i="1"/>
  <c r="X595" i="1"/>
  <c r="X523" i="1"/>
  <c r="X970" i="1"/>
  <c r="X753" i="1"/>
  <c r="X365" i="1"/>
  <c r="X366" i="1"/>
  <c r="X969" i="1"/>
  <c r="X594" i="1"/>
  <c r="X752" i="1"/>
  <c r="X968" i="1"/>
  <c r="X367" i="1"/>
  <c r="X368" i="1"/>
  <c r="X369" i="1"/>
  <c r="X967" i="1"/>
  <c r="X751" i="1"/>
  <c r="X593" i="1"/>
  <c r="X370" i="1"/>
  <c r="X966" i="1"/>
  <c r="X750" i="1"/>
  <c r="X371" i="1"/>
  <c r="X965" i="1"/>
  <c r="X592" i="1"/>
  <c r="X499" i="1"/>
  <c r="X378" i="1"/>
  <c r="X749" i="1"/>
  <c r="X964" i="1"/>
  <c r="X379" i="1"/>
  <c r="X380" i="1"/>
  <c r="X591" i="1"/>
  <c r="X963" i="1"/>
  <c r="X748" i="1"/>
  <c r="X381" i="1"/>
  <c r="X382" i="1"/>
  <c r="X962" i="1"/>
  <c r="X383" i="1"/>
  <c r="X747" i="1"/>
  <c r="X590" i="1"/>
  <c r="X500" i="1"/>
  <c r="X961" i="1"/>
  <c r="X384" i="1"/>
  <c r="X746" i="1"/>
  <c r="X385" i="1"/>
  <c r="X960" i="1"/>
  <c r="X589" i="1"/>
  <c r="X386" i="1"/>
  <c r="X959" i="1"/>
  <c r="X745" i="1"/>
  <c r="X387" i="1"/>
  <c r="X388" i="1"/>
  <c r="X958" i="1"/>
  <c r="X588" i="1"/>
  <c r="X744" i="1"/>
  <c r="X389" i="1"/>
  <c r="X957" i="1"/>
  <c r="X390" i="1"/>
  <c r="X743" i="1"/>
  <c r="X956" i="1"/>
  <c r="X587" i="1"/>
  <c r="X522" i="1"/>
  <c r="X391" i="1"/>
  <c r="X392" i="1"/>
  <c r="X742" i="1"/>
  <c r="X955" i="1"/>
  <c r="X393" i="1"/>
  <c r="X586" i="1"/>
  <c r="X514" i="1"/>
  <c r="X954" i="1"/>
  <c r="X739" i="1"/>
  <c r="X394" i="1"/>
  <c r="X395" i="1"/>
  <c r="X953" i="1"/>
  <c r="X585" i="1"/>
  <c r="X736" i="1"/>
  <c r="X501" i="1"/>
  <c r="X396" i="1"/>
  <c r="X952" i="1"/>
  <c r="X397" i="1"/>
  <c r="X398" i="1"/>
  <c r="X677" i="1"/>
  <c r="X584" i="1"/>
  <c r="X951" i="1"/>
  <c r="X399" i="1"/>
  <c r="X400" i="1"/>
  <c r="X950" i="1"/>
  <c r="X571" i="1"/>
  <c r="X583" i="1"/>
  <c r="X502" i="1"/>
  <c r="X949" i="1"/>
  <c r="X401" i="1"/>
  <c r="X402" i="1"/>
  <c r="X948" i="1"/>
  <c r="X403" i="1"/>
  <c r="X582" i="1"/>
  <c r="X947" i="1"/>
  <c r="X557" i="1"/>
  <c r="X404" i="1"/>
  <c r="X503" i="1"/>
  <c r="X554" i="1"/>
  <c r="X946" i="1"/>
  <c r="X405" i="1"/>
  <c r="X580" i="1"/>
  <c r="X447" i="1"/>
  <c r="X446" i="1"/>
  <c r="X406" i="1"/>
  <c r="X945" i="1"/>
  <c r="X407" i="1"/>
  <c r="X578" i="1"/>
  <c r="X408" i="1"/>
  <c r="X944" i="1"/>
  <c r="X440" i="1"/>
  <c r="X439" i="1"/>
  <c r="X943" i="1"/>
  <c r="X409" i="1"/>
  <c r="X410" i="1"/>
  <c r="X521" i="1"/>
  <c r="X942" i="1"/>
  <c r="X574" i="1"/>
  <c r="X411" i="1"/>
  <c r="X573" i="1"/>
  <c r="X377" i="1"/>
  <c r="X376" i="1"/>
  <c r="X941" i="1"/>
  <c r="X412" i="1"/>
  <c r="X373" i="1"/>
  <c r="X413" i="1"/>
  <c r="X372" i="1"/>
  <c r="X940" i="1"/>
  <c r="X335" i="1"/>
  <c r="X568" i="1"/>
  <c r="X414" i="1"/>
  <c r="X939" i="1"/>
  <c r="X329" i="1"/>
  <c r="X415" i="1"/>
  <c r="X938" i="1"/>
  <c r="X416" i="1"/>
  <c r="X417" i="1"/>
  <c r="X323" i="1"/>
  <c r="X937" i="1"/>
  <c r="X504" i="1"/>
  <c r="X328" i="1"/>
  <c r="X326" i="1"/>
  <c r="X418" i="1"/>
  <c r="X319" i="1"/>
  <c r="X936" i="1"/>
  <c r="X257" i="1"/>
  <c r="X318" i="1"/>
  <c r="X419" i="1"/>
  <c r="X935" i="1"/>
  <c r="X420" i="1"/>
  <c r="X552" i="1"/>
  <c r="X505" i="1"/>
  <c r="X934" i="1"/>
  <c r="X259" i="1"/>
  <c r="X421" i="1"/>
  <c r="X933" i="1"/>
  <c r="X422" i="1"/>
  <c r="X423" i="1"/>
  <c r="X551" i="1"/>
  <c r="X253" i="1"/>
  <c r="X932" i="1"/>
  <c r="X424" i="1"/>
  <c r="X425" i="1"/>
  <c r="X931" i="1"/>
  <c r="X550" i="1"/>
  <c r="X733" i="1"/>
  <c r="X930" i="1"/>
  <c r="X426" i="1"/>
  <c r="X427" i="1"/>
  <c r="X428" i="1"/>
  <c r="X929" i="1"/>
  <c r="X732" i="1"/>
  <c r="X549" i="1"/>
  <c r="X520" i="1"/>
  <c r="X429" i="1"/>
  <c r="X928" i="1"/>
  <c r="X731" i="1"/>
  <c r="X430" i="1"/>
  <c r="X927" i="1"/>
  <c r="X548" i="1"/>
  <c r="X515" i="1"/>
  <c r="X431" i="1"/>
  <c r="X730" i="1"/>
  <c r="X926" i="1"/>
  <c r="X449" i="1"/>
  <c r="X452" i="1"/>
  <c r="X547" i="1"/>
  <c r="X925" i="1"/>
  <c r="X729" i="1"/>
  <c r="X506" i="1"/>
  <c r="X453" i="1"/>
  <c r="X456" i="1"/>
  <c r="X924" i="1"/>
  <c r="X728" i="1"/>
  <c r="X546" i="1"/>
  <c r="X923" i="1"/>
  <c r="X458" i="1"/>
  <c r="X460" i="1"/>
  <c r="X461" i="1"/>
  <c r="X727" i="1"/>
  <c r="X922" i="1"/>
  <c r="X463" i="1"/>
  <c r="X545" i="1"/>
  <c r="X507" i="1"/>
  <c r="X464" i="1"/>
  <c r="X921" i="1"/>
  <c r="X726" i="1"/>
  <c r="X466" i="1"/>
  <c r="X468" i="1"/>
  <c r="X524" i="1"/>
  <c r="X920" i="1"/>
  <c r="X544" i="1"/>
  <c r="X725" i="1"/>
  <c r="X919" i="1"/>
  <c r="X474" i="1"/>
  <c r="X477" i="1"/>
  <c r="X478" i="1"/>
  <c r="X724" i="1"/>
  <c r="X918" i="1"/>
  <c r="X543" i="1"/>
  <c r="X508" i="1"/>
  <c r="X479" i="1"/>
  <c r="X917" i="1"/>
  <c r="X723" i="1"/>
  <c r="X977" i="1"/>
  <c r="X978" i="1"/>
  <c r="X979" i="1"/>
  <c r="X980" i="1"/>
  <c r="X916" i="1"/>
  <c r="X722" i="1"/>
  <c r="X480" i="1"/>
  <c r="X868" i="1"/>
  <c r="X986" i="1"/>
  <c r="X721" i="1"/>
  <c r="X866" i="1"/>
  <c r="X720" i="1"/>
  <c r="X863" i="1"/>
  <c r="X862" i="1"/>
  <c r="X861" i="1"/>
  <c r="X997" i="1"/>
  <c r="X719" i="1"/>
  <c r="X860" i="1"/>
  <c r="X542" i="1"/>
  <c r="X999" i="1"/>
  <c r="X1000" i="1"/>
  <c r="X1001" i="1"/>
  <c r="X1002" i="1"/>
  <c r="X718" i="1"/>
  <c r="X1005" i="1"/>
  <c r="X856" i="1"/>
  <c r="X1006" i="1"/>
  <c r="X717" i="1"/>
  <c r="X481" i="1"/>
  <c r="X1007" i="1"/>
  <c r="X1009" i="1"/>
  <c r="X1010" i="1"/>
  <c r="X815" i="1"/>
  <c r="X1011" i="1"/>
  <c r="X716" i="1"/>
  <c r="X1012" i="1"/>
  <c r="X1013" i="1"/>
  <c r="X1015" i="1"/>
  <c r="X330" i="1"/>
  <c r="X715" i="1"/>
  <c r="X482" i="1"/>
  <c r="X375" i="1"/>
  <c r="X976" i="1"/>
  <c r="X808" i="1"/>
  <c r="X714" i="1"/>
  <c r="X981" i="1"/>
  <c r="X982" i="1"/>
  <c r="X983" i="1"/>
  <c r="X984" i="1"/>
  <c r="X713" i="1"/>
  <c r="X483" i="1"/>
  <c r="X985" i="1"/>
  <c r="X987" i="1"/>
  <c r="X988" i="1"/>
  <c r="X989" i="1"/>
  <c r="X712" i="1"/>
  <c r="X990" i="1"/>
  <c r="X991" i="1"/>
  <c r="X992" i="1"/>
  <c r="X993" i="1"/>
  <c r="X994" i="1"/>
  <c r="X711" i="1"/>
  <c r="X541" i="1"/>
  <c r="X797" i="1"/>
  <c r="X995" i="1"/>
  <c r="X796" i="1"/>
  <c r="X996" i="1"/>
  <c r="X998" i="1"/>
  <c r="X710" i="1"/>
  <c r="X519" i="1"/>
  <c r="X738" i="1"/>
  <c r="X1003" i="1"/>
  <c r="X709" i="1"/>
  <c r="X1004" i="1"/>
  <c r="X1008" i="1"/>
  <c r="X676" i="1"/>
  <c r="X708" i="1"/>
  <c r="X675" i="1"/>
  <c r="X484" i="1"/>
  <c r="X1014" i="1"/>
  <c r="X567" i="1"/>
  <c r="X707" i="1"/>
  <c r="X564" i="1"/>
  <c r="X1016" i="1"/>
  <c r="X1017" i="1"/>
  <c r="X706" i="1"/>
  <c r="X558" i="1"/>
  <c r="X485" i="1"/>
  <c r="X1018" i="1"/>
  <c r="X555" i="1"/>
  <c r="X1019" i="1"/>
  <c r="X1020" i="1"/>
  <c r="X705" i="1"/>
  <c r="X441" i="1"/>
  <c r="X1021" i="1"/>
  <c r="X438" i="1"/>
  <c r="X704" i="1"/>
  <c r="X6" i="1"/>
  <c r="X7" i="1"/>
  <c r="X9" i="1"/>
  <c r="X10" i="1"/>
  <c r="X11" i="1"/>
  <c r="X703" i="1"/>
  <c r="X540" i="1"/>
  <c r="X13" i="1"/>
  <c r="X15" i="1"/>
  <c r="X702" i="1"/>
  <c r="X18" i="1"/>
  <c r="X19" i="1"/>
  <c r="X20" i="1"/>
  <c r="X316" i="1"/>
  <c r="X701" i="1"/>
  <c r="X486" i="1"/>
  <c r="X24" i="1"/>
  <c r="X254" i="1"/>
  <c r="X27" i="1"/>
  <c r="X915" i="1"/>
  <c r="X700" i="1"/>
  <c r="X29" i="1"/>
  <c r="X30" i="1"/>
  <c r="X914" i="1"/>
  <c r="X699" i="1"/>
  <c r="X487" i="1"/>
  <c r="X913" i="1"/>
  <c r="X33" i="1"/>
  <c r="X34" i="1"/>
  <c r="X35" i="1"/>
  <c r="X36" i="1"/>
  <c r="X698" i="1"/>
  <c r="X912" i="1"/>
  <c r="X38" i="1"/>
  <c r="X39" i="1"/>
  <c r="X40" i="1"/>
  <c r="X41" i="1"/>
  <c r="X911" i="1"/>
  <c r="X697" i="1"/>
  <c r="X488" i="1"/>
  <c r="X42" i="1"/>
  <c r="X43" i="1"/>
  <c r="X910" i="1"/>
  <c r="X696" i="1"/>
  <c r="X46" i="1"/>
  <c r="X909" i="1"/>
  <c r="X50" i="1"/>
  <c r="X695" i="1"/>
  <c r="X908" i="1"/>
  <c r="X539" i="1"/>
  <c r="X53" i="1"/>
  <c r="X54" i="1"/>
  <c r="X55" i="1"/>
  <c r="X907" i="1"/>
  <c r="X694" i="1"/>
  <c r="X62" i="1"/>
  <c r="X906" i="1"/>
  <c r="X66" i="1"/>
  <c r="X693" i="1"/>
  <c r="X67" i="1"/>
  <c r="X905" i="1"/>
  <c r="X73" i="1"/>
  <c r="X692" i="1"/>
  <c r="X904" i="1"/>
  <c r="X489" i="1"/>
  <c r="X79" i="1"/>
  <c r="X81" i="1"/>
  <c r="X903" i="1"/>
  <c r="X691" i="1"/>
  <c r="X85" i="1"/>
  <c r="X87" i="1"/>
  <c r="X902" i="1"/>
  <c r="X88" i="1"/>
  <c r="X690" i="1"/>
  <c r="X490" i="1"/>
  <c r="X89" i="1"/>
  <c r="X901" i="1"/>
  <c r="X90" i="1"/>
  <c r="X91" i="1"/>
  <c r="X92" i="1"/>
  <c r="X689" i="1"/>
  <c r="X900" i="1"/>
  <c r="X93" i="1"/>
  <c r="X94" i="1"/>
  <c r="X899" i="1"/>
  <c r="X688" i="1"/>
  <c r="X95" i="1"/>
  <c r="X96" i="1"/>
  <c r="X898" i="1"/>
  <c r="X97" i="1"/>
  <c r="X687" i="1"/>
  <c r="X538" i="1"/>
  <c r="X897" i="1"/>
  <c r="X98" i="1"/>
  <c r="X99" i="1"/>
  <c r="X686" i="1"/>
  <c r="X896" i="1"/>
  <c r="X509" i="1"/>
  <c r="X100" i="1"/>
  <c r="X101" i="1"/>
  <c r="X102" i="1"/>
  <c r="X895" i="1"/>
  <c r="X685" i="1"/>
  <c r="X491" i="1"/>
  <c r="X103" i="1"/>
  <c r="X894" i="1"/>
  <c r="X104" i="1"/>
  <c r="X684" i="1"/>
  <c r="X105" i="1"/>
  <c r="X893" i="1"/>
  <c r="X106" i="1"/>
  <c r="X107" i="1"/>
  <c r="X683" i="1"/>
  <c r="X892" i="1"/>
  <c r="X492" i="1"/>
  <c r="X108" i="1"/>
  <c r="X109" i="1"/>
  <c r="X891" i="1"/>
  <c r="X682" i="1"/>
  <c r="X110" i="1"/>
  <c r="X111" i="1"/>
  <c r="X890" i="1"/>
  <c r="X112" i="1"/>
  <c r="X681" i="1"/>
  <c r="X251" i="1"/>
  <c r="X889" i="1"/>
  <c r="X113" i="1"/>
  <c r="X114" i="1"/>
  <c r="X680" i="1"/>
  <c r="X888" i="1"/>
  <c r="X115" i="1"/>
  <c r="X679" i="1"/>
  <c r="X116" i="1"/>
  <c r="X887" i="1"/>
  <c r="X537" i="1"/>
  <c r="X117" i="1"/>
  <c r="X118" i="1"/>
  <c r="X886" i="1"/>
  <c r="X674" i="1"/>
  <c r="X119" i="1"/>
  <c r="X120" i="1"/>
  <c r="X121" i="1"/>
  <c r="X885" i="1"/>
  <c r="X122" i="1"/>
  <c r="X252" i="1"/>
  <c r="X123" i="1"/>
  <c r="X884" i="1"/>
  <c r="X195" i="1"/>
  <c r="X875" i="1"/>
  <c r="X196" i="1"/>
  <c r="X741" i="1"/>
  <c r="X843" i="1"/>
  <c r="X669" i="1"/>
  <c r="X155" i="1"/>
  <c r="X632" i="1"/>
  <c r="X457" i="1"/>
  <c r="X197" i="1"/>
  <c r="X5" i="1"/>
  <c r="X156" i="1"/>
  <c r="X842" i="1"/>
  <c r="X198" i="1"/>
  <c r="X865" i="1"/>
  <c r="X199" i="1"/>
  <c r="X82" i="1"/>
  <c r="X631" i="1"/>
  <c r="X157" i="1"/>
  <c r="X83" i="1"/>
  <c r="X841" i="1"/>
  <c r="X563" i="1"/>
  <c r="X200" i="1"/>
  <c r="X656" i="1"/>
  <c r="X201" i="1"/>
  <c r="X436" i="1"/>
  <c r="X864" i="1"/>
  <c r="X158" i="1"/>
  <c r="X840" i="1"/>
  <c r="X630" i="1"/>
  <c r="X459" i="1"/>
  <c r="X202" i="1"/>
  <c r="X84" i="1"/>
  <c r="X203" i="1"/>
  <c r="X159" i="1"/>
  <c r="X510" i="1"/>
  <c r="X839" i="1"/>
  <c r="X204" i="1"/>
  <c r="X734" i="1"/>
  <c r="X629" i="1"/>
  <c r="X879" i="1"/>
  <c r="X655" i="1"/>
  <c r="X205" i="1"/>
  <c r="X678" i="1"/>
  <c r="X838" i="1"/>
  <c r="X37" i="1"/>
  <c r="X206" i="1"/>
  <c r="X160" i="1"/>
  <c r="X668" i="1"/>
  <c r="X628" i="1"/>
  <c r="X530" i="1"/>
  <c r="X161" i="1"/>
  <c r="X837" i="1"/>
  <c r="X207" i="1"/>
  <c r="X535" i="1"/>
  <c r="X208" i="1"/>
  <c r="X86" i="1"/>
  <c r="X209" i="1"/>
  <c r="X162" i="1"/>
  <c r="X536" i="1"/>
  <c r="X836" i="1"/>
  <c r="X627" i="1"/>
  <c r="X883" i="1"/>
  <c r="X654" i="1"/>
  <c r="X210" i="1"/>
  <c r="X874" i="1"/>
  <c r="X211" i="1"/>
  <c r="X881" i="1"/>
  <c r="X835" i="1"/>
  <c r="X8" i="1"/>
  <c r="X163" i="1"/>
  <c r="X626" i="1"/>
  <c r="X569" i="1"/>
  <c r="X212" i="1"/>
  <c r="X12" i="1"/>
  <c r="X164" i="1"/>
  <c r="X834" i="1"/>
  <c r="X213" i="1"/>
  <c r="X667" i="1"/>
  <c r="X214" i="1"/>
  <c r="X566" i="1"/>
  <c r="X625" i="1"/>
  <c r="X14" i="1"/>
  <c r="X565" i="1"/>
  <c r="X833" i="1"/>
  <c r="X653" i="1"/>
  <c r="X215" i="1"/>
  <c r="X128" i="1"/>
  <c r="X216" i="1"/>
  <c r="X165" i="1"/>
  <c r="X130" i="1"/>
  <c r="X166" i="1"/>
  <c r="X832" i="1"/>
  <c r="X624" i="1"/>
  <c r="X878" i="1"/>
  <c r="X217" i="1"/>
  <c r="X131" i="1"/>
  <c r="X218" i="1"/>
  <c r="X167" i="1"/>
  <c r="X124" i="1"/>
  <c r="X831" i="1"/>
  <c r="X219" i="1"/>
  <c r="X859" i="1"/>
  <c r="X623" i="1"/>
  <c r="X462" i="1"/>
  <c r="X652" i="1"/>
  <c r="X220" i="1"/>
  <c r="X533" i="1"/>
  <c r="X830" i="1"/>
  <c r="X873" i="1"/>
  <c r="X221" i="1"/>
  <c r="X132" i="1"/>
  <c r="X556" i="1"/>
  <c r="X622" i="1"/>
  <c r="X168" i="1"/>
  <c r="X44" i="1"/>
  <c r="X829" i="1"/>
  <c r="X222" i="1"/>
  <c r="X858" i="1"/>
  <c r="X223" i="1"/>
  <c r="X553" i="1"/>
  <c r="X224" i="1"/>
  <c r="X169" i="1"/>
  <c r="X666" i="1"/>
  <c r="X828" i="1"/>
  <c r="X621" i="1"/>
  <c r="X45" i="1"/>
  <c r="X651" i="1"/>
  <c r="X225" i="1"/>
  <c r="X518" i="1"/>
  <c r="X226" i="1"/>
  <c r="X170" i="1"/>
  <c r="X827" i="1"/>
  <c r="X332" i="1"/>
  <c r="X171" i="1"/>
  <c r="X620" i="1"/>
  <c r="X529" i="1"/>
  <c r="X227" i="1"/>
  <c r="X47" i="1"/>
  <c r="X857" i="1"/>
  <c r="X826" i="1"/>
  <c r="X228" i="1"/>
  <c r="X133" i="1"/>
  <c r="X229" i="1"/>
  <c r="X442" i="1"/>
  <c r="X619" i="1"/>
  <c r="X512" i="1"/>
  <c r="X650" i="1"/>
  <c r="X825" i="1"/>
  <c r="X48" i="1"/>
  <c r="X230" i="1"/>
  <c r="X445" i="1"/>
  <c r="X231" i="1"/>
  <c r="X172" i="1"/>
  <c r="X49" i="1"/>
  <c r="X173" i="1"/>
  <c r="X824" i="1"/>
  <c r="X618" i="1"/>
  <c r="X134" i="1"/>
  <c r="X232" i="1"/>
  <c r="X174" i="1"/>
  <c r="X233" i="1"/>
  <c r="X331" i="1"/>
  <c r="X872" i="1"/>
  <c r="X823" i="1"/>
  <c r="X234" i="1"/>
  <c r="X649" i="1"/>
  <c r="X617" i="1"/>
  <c r="X465" i="1"/>
  <c r="X435" i="1"/>
  <c r="X235" i="1"/>
  <c r="X448" i="1"/>
  <c r="X822" i="1"/>
  <c r="X434" i="1"/>
  <c r="X236" i="1"/>
  <c r="X855" i="1"/>
  <c r="X175" i="1"/>
  <c r="X616" i="1"/>
  <c r="X665" i="1"/>
  <c r="X16" i="1"/>
  <c r="X821" i="1"/>
  <c r="X237" i="1"/>
  <c r="X176" i="1"/>
  <c r="X238" i="1"/>
  <c r="X135" i="1"/>
  <c r="X239" i="1"/>
  <c r="X673" i="1"/>
  <c r="X324" i="1"/>
  <c r="X820" i="1"/>
  <c r="X615" i="1"/>
  <c r="X467" i="1"/>
  <c r="X648" i="1"/>
  <c r="X240" i="1"/>
  <c r="X816" i="1"/>
  <c r="X241" i="1"/>
  <c r="X177" i="1"/>
  <c r="X819" i="1"/>
  <c r="X136" i="1"/>
  <c r="X882" i="1"/>
  <c r="X614" i="1"/>
  <c r="X178" i="1"/>
  <c r="X242" i="1"/>
  <c r="X374" i="1"/>
  <c r="X137" i="1"/>
  <c r="X818" i="1"/>
  <c r="X243" i="1"/>
  <c r="X179" i="1"/>
  <c r="X244" i="1"/>
  <c r="X51" i="1"/>
  <c r="X245" i="1"/>
  <c r="X817" i="1"/>
  <c r="X647" i="1"/>
  <c r="X581" i="1"/>
  <c r="X246" i="1"/>
  <c r="X450" i="1"/>
  <c r="X247" i="1"/>
  <c r="X812" i="1"/>
  <c r="X334" i="1"/>
  <c r="X444" i="1"/>
  <c r="X333" i="1"/>
  <c r="X664" i="1"/>
  <c r="X248" i="1"/>
  <c r="X180" i="1"/>
  <c r="X806" i="1"/>
  <c r="X129" i="1"/>
  <c r="X579" i="1"/>
  <c r="X181" i="1"/>
  <c r="X871" i="1"/>
  <c r="X528" i="1"/>
  <c r="X249" i="1"/>
  <c r="X814" i="1"/>
  <c r="X646" i="1"/>
  <c r="X800" i="1"/>
  <c r="X799" i="1"/>
  <c r="X56" i="1"/>
  <c r="X182" i="1"/>
  <c r="X250" i="1"/>
  <c r="X138" i="1"/>
  <c r="X262" i="1"/>
  <c r="X813" i="1"/>
  <c r="X577" i="1"/>
  <c r="X740" i="1"/>
  <c r="X469" i="1"/>
  <c r="X263" i="1"/>
  <c r="X183" i="1"/>
  <c r="X264" i="1"/>
  <c r="X737" i="1"/>
  <c r="X325" i="1"/>
  <c r="X735" i="1"/>
  <c r="X59" i="1"/>
  <c r="X184" i="1"/>
  <c r="X576" i="1"/>
  <c r="X139" i="1"/>
  <c r="X877" i="1"/>
  <c r="X265" i="1"/>
  <c r="X645" i="1"/>
  <c r="X320" i="1"/>
  <c r="X672" i="1"/>
  <c r="X575" i="1"/>
  <c r="X266" i="1"/>
  <c r="X663" i="1"/>
  <c r="X255" i="1"/>
  <c r="X267" i="1"/>
  <c r="X185" i="1"/>
  <c r="X794" i="1"/>
  <c r="X811" i="1"/>
  <c r="X186" i="1"/>
  <c r="X470" i="1"/>
  <c r="X268" i="1"/>
  <c r="X126" i="1"/>
  <c r="X269" i="1"/>
  <c r="X140" i="1"/>
  <c r="X793" i="1"/>
  <c r="X644" i="1"/>
  <c r="X532" i="1"/>
  <c r="X187" i="1"/>
  <c r="X270" i="1"/>
  <c r="X314" i="1"/>
  <c r="X810" i="1"/>
  <c r="X188" i="1"/>
  <c r="X792" i="1"/>
  <c r="X572" i="1"/>
  <c r="X271" i="1"/>
  <c r="X60" i="1"/>
  <c r="X570" i="1"/>
  <c r="X272" i="1"/>
  <c r="X189" i="1"/>
  <c r="X261" i="1"/>
  <c r="X791" i="1"/>
  <c r="X471" i="1"/>
  <c r="X141" i="1"/>
  <c r="X472" i="1"/>
  <c r="X273" i="1"/>
  <c r="X643" i="1"/>
  <c r="X562" i="1"/>
  <c r="X809" i="1"/>
  <c r="X790" i="1"/>
  <c r="X274" i="1"/>
  <c r="X190" i="1"/>
  <c r="X527" i="1"/>
  <c r="X561" i="1"/>
  <c r="X275" i="1"/>
  <c r="X142" i="1"/>
  <c r="X870" i="1"/>
  <c r="X789" i="1"/>
  <c r="X560" i="1"/>
  <c r="X276" i="1"/>
  <c r="X258" i="1"/>
  <c r="X513" i="1"/>
  <c r="X277" i="1"/>
  <c r="X662" i="1"/>
  <c r="X61" i="1"/>
  <c r="X788" i="1"/>
  <c r="X256" i="1"/>
  <c r="X278" i="1"/>
  <c r="X473" i="1"/>
  <c r="X642" i="1"/>
  <c r="X451" i="1"/>
  <c r="X433" i="1"/>
  <c r="X880" i="1"/>
  <c r="X787" i="1"/>
  <c r="X279" i="1"/>
  <c r="X443" i="1"/>
  <c r="X143" i="1"/>
  <c r="X280" i="1"/>
  <c r="X807" i="1"/>
  <c r="X64" i="1"/>
  <c r="X144" i="1"/>
  <c r="X786" i="1"/>
  <c r="X281" i="1"/>
  <c r="X322" i="1"/>
  <c r="X641" i="1"/>
  <c r="X321" i="1"/>
  <c r="X432" i="1"/>
  <c r="X282" i="1"/>
  <c r="X17" i="1"/>
  <c r="X785" i="1"/>
  <c r="X21" i="1"/>
  <c r="X671" i="1"/>
  <c r="X283" i="1"/>
  <c r="X475" i="1"/>
  <c r="X854" i="1"/>
  <c r="X22" i="1"/>
  <c r="X23" i="1"/>
  <c r="X784" i="1"/>
  <c r="X661" i="1"/>
  <c r="X284" i="1"/>
  <c r="X559" i="1"/>
  <c r="X285" i="1"/>
  <c r="X640" i="1"/>
  <c r="X805" i="1"/>
  <c r="X145" i="1"/>
  <c r="X783" i="1"/>
  <c r="X286" i="1"/>
  <c r="X853" i="1"/>
  <c r="X287" i="1"/>
  <c r="X31" i="1"/>
  <c r="X526" i="1"/>
  <c r="X32" i="1"/>
  <c r="X869" i="1"/>
  <c r="X782" i="1"/>
  <c r="X288" i="1"/>
  <c r="X804" i="1"/>
  <c r="X146" i="1"/>
  <c r="X289" i="1"/>
  <c r="X327" i="1"/>
  <c r="X290" i="1"/>
  <c r="X147" i="1"/>
  <c r="X781" i="1"/>
  <c r="X852" i="1"/>
  <c r="X291" i="1"/>
  <c r="X476" i="1"/>
  <c r="X639" i="1"/>
  <c r="X292" i="1"/>
  <c r="X803" i="1"/>
  <c r="X52" i="1"/>
  <c r="X780" i="1"/>
  <c r="X68" i="1"/>
  <c r="X660" i="1"/>
  <c r="X293" i="1"/>
  <c r="X802" i="1"/>
  <c r="X313" i="1"/>
  <c r="X312" i="1"/>
  <c r="X534" i="1"/>
  <c r="X779" i="1"/>
  <c r="X260" i="1"/>
  <c r="X851" i="1"/>
  <c r="X57" i="1"/>
  <c r="X69" i="1"/>
  <c r="X294" i="1"/>
  <c r="X638" i="1"/>
  <c r="X454" i="1"/>
  <c r="X778" i="1"/>
  <c r="X58" i="1"/>
  <c r="X295" i="1"/>
  <c r="X801" i="1"/>
  <c r="X613" i="1"/>
  <c r="X493" i="1"/>
  <c r="X148" i="1"/>
  <c r="X850" i="1"/>
  <c r="X777" i="1"/>
  <c r="X296" i="1"/>
  <c r="X71" i="1"/>
  <c r="X297" i="1"/>
  <c r="X63" i="1"/>
  <c r="X149" i="1"/>
  <c r="X612" i="1"/>
  <c r="X127" i="1"/>
  <c r="X776" i="1"/>
  <c r="X637" i="1"/>
  <c r="X298" i="1"/>
  <c r="X876" i="1"/>
  <c r="X299" i="1"/>
  <c r="X659" i="1"/>
  <c r="X300" i="1"/>
  <c r="X849" i="1"/>
  <c r="X775" i="1"/>
  <c r="X65" i="1"/>
  <c r="X611" i="1"/>
  <c r="X525" i="1"/>
  <c r="X317" i="1"/>
  <c r="X301" i="1"/>
  <c r="X150" i="1"/>
  <c r="X25" i="1"/>
  <c r="X774" i="1"/>
  <c r="X302" i="1"/>
  <c r="X151" i="1"/>
  <c r="X798" i="1"/>
  <c r="X610" i="1"/>
  <c r="X517" i="1"/>
  <c r="X303" i="1"/>
  <c r="X670" i="1"/>
  <c r="X773" i="1"/>
  <c r="X848" i="1"/>
  <c r="X304" i="1"/>
  <c r="X636" i="1"/>
  <c r="X305" i="1"/>
  <c r="X531" i="1"/>
  <c r="X609" i="1"/>
  <c r="X70" i="1"/>
  <c r="X772" i="1"/>
  <c r="X152" i="1"/>
  <c r="X72" i="1"/>
  <c r="X306" i="1"/>
  <c r="X4" i="1"/>
  <c r="X307" i="1"/>
  <c r="X658" i="1"/>
  <c r="X847" i="1"/>
  <c r="X771" i="1"/>
  <c r="X74" i="1"/>
  <c r="X608" i="1"/>
  <c r="X494" i="1"/>
  <c r="X308" i="1"/>
  <c r="X26" i="1"/>
  <c r="X309" i="1"/>
  <c r="X635" i="1"/>
  <c r="X770" i="1"/>
  <c r="X511" i="1"/>
  <c r="X310" i="1"/>
  <c r="X75" i="1"/>
  <c r="X607" i="1"/>
  <c r="X76" i="1"/>
  <c r="X867" i="1"/>
  <c r="X846" i="1"/>
  <c r="X769" i="1"/>
  <c r="X311" i="1"/>
  <c r="X315" i="1"/>
  <c r="X336" i="1"/>
  <c r="X78" i="1"/>
  <c r="X191" i="1"/>
  <c r="X606" i="1"/>
  <c r="X125" i="1"/>
  <c r="X768" i="1"/>
  <c r="X495" i="1"/>
  <c r="X337" i="1"/>
  <c r="X153" i="1"/>
  <c r="X338" i="1"/>
  <c r="X634" i="1"/>
  <c r="X339" i="1"/>
  <c r="X455" i="1"/>
  <c r="X767" i="1"/>
  <c r="X77" i="1"/>
  <c r="X605" i="1"/>
  <c r="X845" i="1"/>
  <c r="X192" i="1"/>
  <c r="X340" i="1"/>
  <c r="X154" i="1"/>
  <c r="X193" i="1"/>
  <c r="X766" i="1"/>
  <c r="X341" i="1"/>
  <c r="X795" i="1"/>
  <c r="X194" i="1"/>
  <c r="X604" i="1"/>
  <c r="X80" i="1"/>
  <c r="X342" i="1"/>
  <c r="X28" i="1"/>
  <c r="X765" i="1"/>
  <c r="X844" i="1"/>
  <c r="X343" i="1"/>
  <c r="X633" i="1"/>
  <c r="X344" i="1"/>
  <c r="X437" i="1"/>
  <c r="X603" i="1"/>
  <c r="X657" i="1"/>
  <c r="X764" i="1"/>
  <c r="L2" i="1"/>
  <c r="W764" i="1"/>
  <c r="W681" i="1"/>
  <c r="W680" i="1"/>
  <c r="W678" i="1"/>
  <c r="AG17" i="1"/>
  <c r="W676" i="1"/>
  <c r="W1029" i="1"/>
  <c r="W566" i="1"/>
  <c r="W561" i="1"/>
  <c r="W560" i="1"/>
  <c r="W557" i="1"/>
  <c r="W441" i="1"/>
  <c r="W1028" i="1"/>
  <c r="W439" i="1"/>
  <c r="W435" i="1"/>
  <c r="W261" i="1"/>
  <c r="W257" i="1"/>
  <c r="W673" i="1"/>
  <c r="W1027" i="1"/>
  <c r="W672" i="1"/>
  <c r="W671" i="1"/>
  <c r="W670" i="1"/>
  <c r="W669" i="1"/>
  <c r="W668" i="1"/>
  <c r="W1026" i="1"/>
  <c r="W376" i="1"/>
  <c r="W667" i="1"/>
  <c r="W375" i="1"/>
  <c r="W666" i="1"/>
  <c r="W665" i="1"/>
  <c r="W1025" i="1"/>
  <c r="W373" i="1"/>
  <c r="W664" i="1"/>
  <c r="W663" i="1"/>
  <c r="W662" i="1"/>
  <c r="W661" i="1"/>
  <c r="W1024" i="1"/>
  <c r="W332" i="1"/>
  <c r="W660" i="1"/>
  <c r="W659" i="1"/>
  <c r="W658" i="1"/>
  <c r="W657" i="1"/>
  <c r="W1023" i="1"/>
  <c r="W656" i="1"/>
  <c r="W655" i="1"/>
  <c r="W328" i="1"/>
  <c r="W654" i="1"/>
  <c r="W653" i="1"/>
  <c r="W1022" i="1"/>
  <c r="W652" i="1"/>
  <c r="W651" i="1"/>
  <c r="W650" i="1"/>
  <c r="W649" i="1"/>
  <c r="W648" i="1"/>
  <c r="W647" i="1"/>
  <c r="W975" i="1"/>
  <c r="W317" i="1"/>
  <c r="W646" i="1"/>
  <c r="W645" i="1"/>
  <c r="W644" i="1"/>
  <c r="W643" i="1"/>
  <c r="W974" i="1"/>
  <c r="W315" i="1"/>
  <c r="W642" i="1"/>
  <c r="W641" i="1"/>
  <c r="W640" i="1"/>
  <c r="W639" i="1"/>
  <c r="W973" i="1"/>
  <c r="W638" i="1"/>
  <c r="W637" i="1"/>
  <c r="W636" i="1"/>
  <c r="W635" i="1"/>
  <c r="W634" i="1"/>
  <c r="W972" i="1"/>
  <c r="W633" i="1"/>
  <c r="W632" i="1"/>
  <c r="W631" i="1"/>
  <c r="W630" i="1"/>
  <c r="W629" i="1"/>
  <c r="W971" i="1"/>
  <c r="W628" i="1"/>
  <c r="W627" i="1"/>
  <c r="W626" i="1"/>
  <c r="W625" i="1"/>
  <c r="W254" i="1"/>
  <c r="W970" i="1"/>
  <c r="W624" i="1"/>
  <c r="W623" i="1"/>
  <c r="W622" i="1"/>
  <c r="W621" i="1"/>
  <c r="W620" i="1"/>
  <c r="W969" i="1"/>
  <c r="W619" i="1"/>
  <c r="W618" i="1"/>
  <c r="W617" i="1"/>
  <c r="W854" i="1"/>
  <c r="W616" i="1"/>
  <c r="W968" i="1"/>
  <c r="W615" i="1"/>
  <c r="W614" i="1"/>
  <c r="W580" i="1"/>
  <c r="W579" i="1"/>
  <c r="W853" i="1"/>
  <c r="W967" i="1"/>
  <c r="W578" i="1"/>
  <c r="W577" i="1"/>
  <c r="W574" i="1"/>
  <c r="W573" i="1"/>
  <c r="W568" i="1"/>
  <c r="W966" i="1"/>
  <c r="W852" i="1"/>
  <c r="W567" i="1"/>
  <c r="W565" i="1"/>
  <c r="W563" i="1"/>
  <c r="W558" i="1"/>
  <c r="W965" i="1"/>
  <c r="W555" i="1"/>
  <c r="W851" i="1"/>
  <c r="W554" i="1"/>
  <c r="W437" i="1"/>
  <c r="W433" i="1"/>
  <c r="W964" i="1"/>
  <c r="W374" i="1"/>
  <c r="W372" i="1"/>
  <c r="W850" i="1"/>
  <c r="W327" i="1"/>
  <c r="W326" i="1"/>
  <c r="W963" i="1"/>
  <c r="W324" i="1"/>
  <c r="W319" i="1"/>
  <c r="W316" i="1"/>
  <c r="W849" i="1"/>
  <c r="W258" i="1"/>
  <c r="W962" i="1"/>
  <c r="W613" i="1"/>
  <c r="W612" i="1"/>
  <c r="W611" i="1"/>
  <c r="W610" i="1"/>
  <c r="W848" i="1"/>
  <c r="W961" i="1"/>
  <c r="W609" i="1"/>
  <c r="W608" i="1"/>
  <c r="W607" i="1"/>
  <c r="W606" i="1"/>
  <c r="W605" i="1"/>
  <c r="W960" i="1"/>
  <c r="W847" i="1"/>
  <c r="W604" i="1"/>
  <c r="W603" i="1"/>
  <c r="W602" i="1"/>
  <c r="W601" i="1"/>
  <c r="W959" i="1"/>
  <c r="W600" i="1"/>
  <c r="W846" i="1"/>
  <c r="W599" i="1"/>
  <c r="W598" i="1"/>
  <c r="W597" i="1"/>
  <c r="W958" i="1"/>
  <c r="W596" i="1"/>
  <c r="W595" i="1"/>
  <c r="W845" i="1"/>
  <c r="W594" i="1"/>
  <c r="W593" i="1"/>
  <c r="W957" i="1"/>
  <c r="W592" i="1"/>
  <c r="W591" i="1"/>
  <c r="W590" i="1"/>
  <c r="W844" i="1"/>
  <c r="W589" i="1"/>
  <c r="W956" i="1"/>
  <c r="W588" i="1"/>
  <c r="W587" i="1"/>
  <c r="W586" i="1"/>
  <c r="W585" i="1"/>
  <c r="W843" i="1"/>
  <c r="W955" i="1"/>
  <c r="W584" i="1"/>
  <c r="W583" i="1"/>
  <c r="W582" i="1"/>
  <c r="W581" i="1"/>
  <c r="W576" i="1"/>
  <c r="W954" i="1"/>
  <c r="W842" i="1"/>
  <c r="W575" i="1"/>
  <c r="W572" i="1"/>
  <c r="W571" i="1"/>
  <c r="W329" i="1"/>
  <c r="W953" i="1"/>
  <c r="W252" i="1"/>
  <c r="W841" i="1"/>
  <c r="W552" i="1"/>
  <c r="W551" i="1"/>
  <c r="W550" i="1"/>
  <c r="W952" i="1"/>
  <c r="W549" i="1"/>
  <c r="W548" i="1"/>
  <c r="W840" i="1"/>
  <c r="W547" i="1"/>
  <c r="W546" i="1"/>
  <c r="W951" i="1"/>
  <c r="W545" i="1"/>
  <c r="W544" i="1"/>
  <c r="W543" i="1"/>
  <c r="W839" i="1"/>
  <c r="W542" i="1"/>
  <c r="W950" i="1"/>
  <c r="W541" i="1"/>
  <c r="W540" i="1"/>
  <c r="W539" i="1"/>
  <c r="W538" i="1"/>
  <c r="W838" i="1"/>
  <c r="W949" i="1"/>
  <c r="W537" i="1"/>
  <c r="W536" i="1"/>
  <c r="W535" i="1"/>
  <c r="W534" i="1"/>
  <c r="W533" i="1"/>
  <c r="W948" i="1"/>
  <c r="W837" i="1"/>
  <c r="W532" i="1"/>
  <c r="W531" i="1"/>
  <c r="W530" i="1"/>
  <c r="W529" i="1"/>
  <c r="W947" i="1"/>
  <c r="W528" i="1"/>
  <c r="W836" i="1"/>
  <c r="W527" i="1"/>
  <c r="W526" i="1"/>
  <c r="W525" i="1"/>
  <c r="W946" i="1"/>
  <c r="W524" i="1"/>
  <c r="W523" i="1"/>
  <c r="W835" i="1"/>
  <c r="W522" i="1"/>
  <c r="W521" i="1"/>
  <c r="W945" i="1"/>
  <c r="W520" i="1"/>
  <c r="W519" i="1"/>
  <c r="W518" i="1"/>
  <c r="W834" i="1"/>
  <c r="W517" i="1"/>
  <c r="W944" i="1"/>
  <c r="W21" i="1"/>
  <c r="W515" i="1"/>
  <c r="W514" i="1"/>
  <c r="W513" i="1"/>
  <c r="W833" i="1"/>
  <c r="W943" i="1"/>
  <c r="W512" i="1"/>
  <c r="W511" i="1"/>
  <c r="W510" i="1"/>
  <c r="W509" i="1"/>
  <c r="W508" i="1"/>
  <c r="W942" i="1"/>
  <c r="W832" i="1"/>
  <c r="W507" i="1"/>
  <c r="W506" i="1"/>
  <c r="W505" i="1"/>
  <c r="W504" i="1"/>
  <c r="W941" i="1"/>
  <c r="W503" i="1"/>
  <c r="W831" i="1"/>
  <c r="W502" i="1"/>
  <c r="W501" i="1"/>
  <c r="W500" i="1"/>
  <c r="W940" i="1"/>
  <c r="W499" i="1"/>
  <c r="W498" i="1"/>
  <c r="W830" i="1"/>
  <c r="W497" i="1"/>
  <c r="W496" i="1"/>
  <c r="W939" i="1"/>
  <c r="W495" i="1"/>
  <c r="W494" i="1"/>
  <c r="W493" i="1"/>
  <c r="W829" i="1"/>
  <c r="W477" i="1"/>
  <c r="W938" i="1"/>
  <c r="W474" i="1"/>
  <c r="W471" i="1"/>
  <c r="W470" i="1"/>
  <c r="W469" i="1"/>
  <c r="W828" i="1"/>
  <c r="W937" i="1"/>
  <c r="W468" i="1"/>
  <c r="W466" i="1"/>
  <c r="W465" i="1"/>
  <c r="W464" i="1"/>
  <c r="W463" i="1"/>
  <c r="W936" i="1"/>
  <c r="W827" i="1"/>
  <c r="W462" i="1"/>
  <c r="W461" i="1"/>
  <c r="W460" i="1"/>
  <c r="W458" i="1"/>
  <c r="W935" i="1"/>
  <c r="W456" i="1"/>
  <c r="W826" i="1"/>
  <c r="W453" i="1"/>
  <c r="W452" i="1"/>
  <c r="W449" i="1"/>
  <c r="W934" i="1"/>
  <c r="W442" i="1"/>
  <c r="W335" i="1"/>
  <c r="W825" i="1"/>
  <c r="W330" i="1"/>
  <c r="W323" i="1"/>
  <c r="W933" i="1"/>
  <c r="W321" i="1"/>
  <c r="W314" i="1"/>
  <c r="W260" i="1"/>
  <c r="W824" i="1"/>
  <c r="W253" i="1"/>
  <c r="W932" i="1"/>
  <c r="W251" i="1"/>
  <c r="W492" i="1"/>
  <c r="W491" i="1"/>
  <c r="W490" i="1"/>
  <c r="W823" i="1"/>
  <c r="W931" i="1"/>
  <c r="W489" i="1"/>
  <c r="W488" i="1"/>
  <c r="W487" i="1"/>
  <c r="W486" i="1"/>
  <c r="W485" i="1"/>
  <c r="W930" i="1"/>
  <c r="W822" i="1"/>
  <c r="W484" i="1"/>
  <c r="W483" i="1"/>
  <c r="W482" i="1"/>
  <c r="W481" i="1"/>
  <c r="W929" i="1"/>
  <c r="W480" i="1"/>
  <c r="W821" i="1"/>
  <c r="W479" i="1"/>
  <c r="W478" i="1"/>
  <c r="W476" i="1"/>
  <c r="W928" i="1"/>
  <c r="W475" i="1"/>
  <c r="W473" i="1"/>
  <c r="W820" i="1"/>
  <c r="W472" i="1"/>
  <c r="W467" i="1"/>
  <c r="W927" i="1"/>
  <c r="W459" i="1"/>
  <c r="W457" i="1"/>
  <c r="W455" i="1"/>
  <c r="W819" i="1"/>
  <c r="W454" i="1"/>
  <c r="W926" i="1"/>
  <c r="W451" i="1"/>
  <c r="W450" i="1"/>
  <c r="W318" i="1"/>
  <c r="W432" i="1"/>
  <c r="W818" i="1"/>
  <c r="W925" i="1"/>
  <c r="W431" i="1"/>
  <c r="W430" i="1"/>
  <c r="W429" i="1"/>
  <c r="W428" i="1"/>
  <c r="W427" i="1"/>
  <c r="W924" i="1"/>
  <c r="W426" i="1"/>
  <c r="W425" i="1"/>
  <c r="W424" i="1"/>
  <c r="W423" i="1"/>
  <c r="W422" i="1"/>
  <c r="W923" i="1"/>
  <c r="W421" i="1"/>
  <c r="W420" i="1"/>
  <c r="W419" i="1"/>
  <c r="W418" i="1"/>
  <c r="W417" i="1"/>
  <c r="W922" i="1"/>
  <c r="W416" i="1"/>
  <c r="W415" i="1"/>
  <c r="W414" i="1"/>
  <c r="W413" i="1"/>
  <c r="W412" i="1"/>
  <c r="W921" i="1"/>
  <c r="W798" i="1"/>
  <c r="W411" i="1"/>
  <c r="W410" i="1"/>
  <c r="W795" i="1"/>
  <c r="W409" i="1"/>
  <c r="W920" i="1"/>
  <c r="W408" i="1"/>
  <c r="W407" i="1"/>
  <c r="W406" i="1"/>
  <c r="W738" i="1"/>
  <c r="W405" i="1"/>
  <c r="W919" i="1"/>
  <c r="W404" i="1"/>
  <c r="W403" i="1"/>
  <c r="W402" i="1"/>
  <c r="W401" i="1"/>
  <c r="W400" i="1"/>
  <c r="W918" i="1"/>
  <c r="W399" i="1"/>
  <c r="W440" i="1"/>
  <c r="W398" i="1"/>
  <c r="W397" i="1"/>
  <c r="W794" i="1"/>
  <c r="W917" i="1"/>
  <c r="W396" i="1"/>
  <c r="W395" i="1"/>
  <c r="W394" i="1"/>
  <c r="W393" i="1"/>
  <c r="W392" i="1"/>
  <c r="W916" i="1"/>
  <c r="W793" i="1"/>
  <c r="W391" i="1"/>
  <c r="W390" i="1"/>
  <c r="W389" i="1"/>
  <c r="W388" i="1"/>
  <c r="W387" i="1"/>
  <c r="W792" i="1"/>
  <c r="W386" i="1"/>
  <c r="W385" i="1"/>
  <c r="W384" i="1"/>
  <c r="W383" i="1"/>
  <c r="W382" i="1"/>
  <c r="W865" i="1"/>
  <c r="W791" i="1"/>
  <c r="W381" i="1"/>
  <c r="W864" i="1"/>
  <c r="W380" i="1"/>
  <c r="W379" i="1"/>
  <c r="W378" i="1"/>
  <c r="W371" i="1"/>
  <c r="W862" i="1"/>
  <c r="W790" i="1"/>
  <c r="W370" i="1"/>
  <c r="W369" i="1"/>
  <c r="W368" i="1"/>
  <c r="W367" i="1"/>
  <c r="W366" i="1"/>
  <c r="W789" i="1"/>
  <c r="W365" i="1"/>
  <c r="W859" i="1"/>
  <c r="W364" i="1"/>
  <c r="W363" i="1"/>
  <c r="W858" i="1"/>
  <c r="W362" i="1"/>
  <c r="W361" i="1"/>
  <c r="W857" i="1"/>
  <c r="W788" i="1"/>
  <c r="W360" i="1"/>
  <c r="W359" i="1"/>
  <c r="W358" i="1"/>
  <c r="W357" i="1"/>
  <c r="W356" i="1"/>
  <c r="W817" i="1"/>
  <c r="W787" i="1"/>
  <c r="W355" i="1"/>
  <c r="W816" i="1"/>
  <c r="W354" i="1"/>
  <c r="W353" i="1"/>
  <c r="W352" i="1"/>
  <c r="W814" i="1"/>
  <c r="W351" i="1"/>
  <c r="W786" i="1"/>
  <c r="W813" i="1"/>
  <c r="W350" i="1"/>
  <c r="W349" i="1"/>
  <c r="W348" i="1"/>
  <c r="W347" i="1"/>
  <c r="W346" i="1"/>
  <c r="W811" i="1"/>
  <c r="W785" i="1"/>
  <c r="W345" i="1"/>
  <c r="W344" i="1"/>
  <c r="W343" i="1"/>
  <c r="W809" i="1"/>
  <c r="W342" i="1"/>
  <c r="W341" i="1"/>
  <c r="W784" i="1"/>
  <c r="W340" i="1"/>
  <c r="W339" i="1"/>
  <c r="W338" i="1"/>
  <c r="W337" i="1"/>
  <c r="W805" i="1"/>
  <c r="W336" i="1"/>
  <c r="W783" i="1"/>
  <c r="W804" i="1"/>
  <c r="W259" i="1"/>
  <c r="W311" i="1"/>
  <c r="W803" i="1"/>
  <c r="W310" i="1"/>
  <c r="W309" i="1"/>
  <c r="W802" i="1"/>
  <c r="W308" i="1"/>
  <c r="W801" i="1"/>
  <c r="W782" i="1"/>
  <c r="W800" i="1"/>
  <c r="W307" i="1"/>
  <c r="W306" i="1"/>
  <c r="W305" i="1"/>
  <c r="W304" i="1"/>
  <c r="W303" i="1"/>
  <c r="W781" i="1"/>
  <c r="W302" i="1"/>
  <c r="W301" i="1"/>
  <c r="W300" i="1"/>
  <c r="W299" i="1"/>
  <c r="W298" i="1"/>
  <c r="W742" i="1"/>
  <c r="W780" i="1"/>
  <c r="W297" i="1"/>
  <c r="W296" i="1"/>
  <c r="W295" i="1"/>
  <c r="W294" i="1"/>
  <c r="W293" i="1"/>
  <c r="W779" i="1"/>
  <c r="W292" i="1"/>
  <c r="W291" i="1"/>
  <c r="W290" i="1"/>
  <c r="W289" i="1"/>
  <c r="W288" i="1"/>
  <c r="W778" i="1"/>
  <c r="W287" i="1"/>
  <c r="W286" i="1"/>
  <c r="W285" i="1"/>
  <c r="W284" i="1"/>
  <c r="W283" i="1"/>
  <c r="W777" i="1"/>
  <c r="W282" i="1"/>
  <c r="W281" i="1"/>
  <c r="W280" i="1"/>
  <c r="W279" i="1"/>
  <c r="W278" i="1"/>
  <c r="W776" i="1"/>
  <c r="W277" i="1"/>
  <c r="W276" i="1"/>
  <c r="W564" i="1"/>
  <c r="W275" i="1"/>
  <c r="W274" i="1"/>
  <c r="W273" i="1"/>
  <c r="W775" i="1"/>
  <c r="W272" i="1"/>
  <c r="W271" i="1"/>
  <c r="W556" i="1"/>
  <c r="W270" i="1"/>
  <c r="W553" i="1"/>
  <c r="W269" i="1"/>
  <c r="W268" i="1"/>
  <c r="W774" i="1"/>
  <c r="W267" i="1"/>
  <c r="W266" i="1"/>
  <c r="W265" i="1"/>
  <c r="W264" i="1"/>
  <c r="W263" i="1"/>
  <c r="W773" i="1"/>
  <c r="W262" i="1"/>
  <c r="W250" i="1"/>
  <c r="W249" i="1"/>
  <c r="W248" i="1"/>
  <c r="W247" i="1"/>
  <c r="W772" i="1"/>
  <c r="W377" i="1"/>
  <c r="W246" i="1"/>
  <c r="W245" i="1"/>
  <c r="W244" i="1"/>
  <c r="W243" i="1"/>
  <c r="W242" i="1"/>
  <c r="W334" i="1"/>
  <c r="W771" i="1"/>
  <c r="W241" i="1"/>
  <c r="W240" i="1"/>
  <c r="W239" i="1"/>
  <c r="W238" i="1"/>
  <c r="W237" i="1"/>
  <c r="W770" i="1"/>
  <c r="W236" i="1"/>
  <c r="W235" i="1"/>
  <c r="W234" i="1"/>
  <c r="W233" i="1"/>
  <c r="W232" i="1"/>
  <c r="W769" i="1"/>
  <c r="W312" i="1"/>
  <c r="W231" i="1"/>
  <c r="W230" i="1"/>
  <c r="W229" i="1"/>
  <c r="W228" i="1"/>
  <c r="W227" i="1"/>
  <c r="W768" i="1"/>
  <c r="W915" i="1"/>
  <c r="W226" i="1"/>
  <c r="W225" i="1"/>
  <c r="W224" i="1"/>
  <c r="W223" i="1"/>
  <c r="W222" i="1"/>
  <c r="W914" i="1"/>
  <c r="W767" i="1"/>
  <c r="W221" i="1"/>
  <c r="W220" i="1"/>
  <c r="W219" i="1"/>
  <c r="W218" i="1"/>
  <c r="W913" i="1"/>
  <c r="W217" i="1"/>
  <c r="W766" i="1"/>
  <c r="W216" i="1"/>
  <c r="W215" i="1"/>
  <c r="W214" i="1"/>
  <c r="W912" i="1"/>
  <c r="W213" i="1"/>
  <c r="W212" i="1"/>
  <c r="W765" i="1"/>
  <c r="W211" i="1"/>
  <c r="W210" i="1"/>
  <c r="W911" i="1"/>
  <c r="W209" i="1"/>
  <c r="W208" i="1"/>
  <c r="W207" i="1"/>
  <c r="W206" i="1"/>
  <c r="W205" i="1"/>
  <c r="W910" i="1"/>
  <c r="W204" i="1"/>
  <c r="W203" i="1"/>
  <c r="W202" i="1"/>
  <c r="W201" i="1"/>
  <c r="W763" i="1"/>
  <c r="W909" i="1"/>
  <c r="W200" i="1"/>
  <c r="W199" i="1"/>
  <c r="W198" i="1"/>
  <c r="W197" i="1"/>
  <c r="W196" i="1"/>
  <c r="W908" i="1"/>
  <c r="W762" i="1"/>
  <c r="W195" i="1"/>
  <c r="W194" i="1"/>
  <c r="W193" i="1"/>
  <c r="W192" i="1"/>
  <c r="W907" i="1"/>
  <c r="W191" i="1"/>
  <c r="W761" i="1"/>
  <c r="W67" i="1"/>
  <c r="W62" i="1"/>
  <c r="W60" i="1"/>
  <c r="W906" i="1"/>
  <c r="W56" i="1"/>
  <c r="W55" i="1"/>
  <c r="W760" i="1"/>
  <c r="W30" i="1"/>
  <c r="W28" i="1"/>
  <c r="W905" i="1"/>
  <c r="W26" i="1"/>
  <c r="W25" i="1"/>
  <c r="W20" i="1"/>
  <c r="W759" i="1"/>
  <c r="W19" i="1"/>
  <c r="W904" i="1"/>
  <c r="W15" i="1"/>
  <c r="W14" i="1"/>
  <c r="W7" i="1"/>
  <c r="W190" i="1"/>
  <c r="W758" i="1"/>
  <c r="W903" i="1"/>
  <c r="W189" i="1"/>
  <c r="W188" i="1"/>
  <c r="W187" i="1"/>
  <c r="W186" i="1"/>
  <c r="W185" i="1"/>
  <c r="W902" i="1"/>
  <c r="W757" i="1"/>
  <c r="W184" i="1"/>
  <c r="W183" i="1"/>
  <c r="W182" i="1"/>
  <c r="W181" i="1"/>
  <c r="W901" i="1"/>
  <c r="W180" i="1"/>
  <c r="W756" i="1"/>
  <c r="W179" i="1"/>
  <c r="W178" i="1"/>
  <c r="W177" i="1"/>
  <c r="W900" i="1"/>
  <c r="W176" i="1"/>
  <c r="W175" i="1"/>
  <c r="W755" i="1"/>
  <c r="W174" i="1"/>
  <c r="W173" i="1"/>
  <c r="W899" i="1"/>
  <c r="W172" i="1"/>
  <c r="W171" i="1"/>
  <c r="W170" i="1"/>
  <c r="W754" i="1"/>
  <c r="W169" i="1"/>
  <c r="W898" i="1"/>
  <c r="W168" i="1"/>
  <c r="W167" i="1"/>
  <c r="W166" i="1"/>
  <c r="W165" i="1"/>
  <c r="W753" i="1"/>
  <c r="W897" i="1"/>
  <c r="W164" i="1"/>
  <c r="W163" i="1"/>
  <c r="W162" i="1"/>
  <c r="W161" i="1"/>
  <c r="W160" i="1"/>
  <c r="W896" i="1"/>
  <c r="W752" i="1"/>
  <c r="W159" i="1"/>
  <c r="W158" i="1"/>
  <c r="W157" i="1"/>
  <c r="W156" i="1"/>
  <c r="W895" i="1"/>
  <c r="W155" i="1"/>
  <c r="W751" i="1"/>
  <c r="W154" i="1"/>
  <c r="W153" i="1"/>
  <c r="W152" i="1"/>
  <c r="W894" i="1"/>
  <c r="W151" i="1"/>
  <c r="W150" i="1"/>
  <c r="W750" i="1"/>
  <c r="W149" i="1"/>
  <c r="W148" i="1"/>
  <c r="W893" i="1"/>
  <c r="W147" i="1"/>
  <c r="W146" i="1"/>
  <c r="W145" i="1"/>
  <c r="W749" i="1"/>
  <c r="W144" i="1"/>
  <c r="W892" i="1"/>
  <c r="W143" i="1"/>
  <c r="W142" i="1"/>
  <c r="W141" i="1"/>
  <c r="W140" i="1"/>
  <c r="W748" i="1"/>
  <c r="W891" i="1"/>
  <c r="W139" i="1"/>
  <c r="W138" i="1"/>
  <c r="W137" i="1"/>
  <c r="W136" i="1"/>
  <c r="W135" i="1"/>
  <c r="W890" i="1"/>
  <c r="W747" i="1"/>
  <c r="W134" i="1"/>
  <c r="W133" i="1"/>
  <c r="W132" i="1"/>
  <c r="W131" i="1"/>
  <c r="W889" i="1"/>
  <c r="W90" i="1"/>
  <c r="W746" i="1"/>
  <c r="W89" i="1"/>
  <c r="W88" i="1"/>
  <c r="W87" i="1"/>
  <c r="W888" i="1"/>
  <c r="W85" i="1"/>
  <c r="W83" i="1"/>
  <c r="W745" i="1"/>
  <c r="W81" i="1"/>
  <c r="W79" i="1"/>
  <c r="W887" i="1"/>
  <c r="W78" i="1"/>
  <c r="W75" i="1"/>
  <c r="W73" i="1"/>
  <c r="W744" i="1"/>
  <c r="W66" i="1"/>
  <c r="W886" i="1"/>
  <c r="W65" i="1"/>
  <c r="W63" i="1"/>
  <c r="W58" i="1"/>
  <c r="W57" i="1"/>
  <c r="W743" i="1"/>
  <c r="W885" i="1"/>
  <c r="W54" i="1"/>
  <c r="W53" i="1"/>
  <c r="W52" i="1"/>
  <c r="W46" i="1"/>
  <c r="W43" i="1"/>
  <c r="W884" i="1"/>
  <c r="W516" i="1"/>
  <c r="W42" i="1"/>
  <c r="W41" i="1"/>
  <c r="W741" i="1"/>
  <c r="W40" i="1"/>
  <c r="W883" i="1"/>
  <c r="W39" i="1"/>
  <c r="W38" i="1"/>
  <c r="W36" i="1"/>
  <c r="W35" i="1"/>
  <c r="W34" i="1"/>
  <c r="W882" i="1"/>
  <c r="W27" i="1"/>
  <c r="W24" i="1"/>
  <c r="W23" i="1"/>
  <c r="W22" i="1"/>
  <c r="W735" i="1"/>
  <c r="W881" i="1"/>
  <c r="W18" i="1"/>
  <c r="W17" i="1"/>
  <c r="W679" i="1"/>
  <c r="W13" i="1"/>
  <c r="W11" i="1"/>
  <c r="W880" i="1"/>
  <c r="W10" i="1"/>
  <c r="W9" i="1"/>
  <c r="W675" i="1"/>
  <c r="W6" i="1"/>
  <c r="W674" i="1"/>
  <c r="W879" i="1"/>
  <c r="W130" i="1"/>
  <c r="W129" i="1"/>
  <c r="W128" i="1"/>
  <c r="W127" i="1"/>
  <c r="W126" i="1"/>
  <c r="W878" i="1"/>
  <c r="W125" i="1"/>
  <c r="W124" i="1"/>
  <c r="W123" i="1"/>
  <c r="W122" i="1"/>
  <c r="W121" i="1"/>
  <c r="W877" i="1"/>
  <c r="W120" i="1"/>
  <c r="W119" i="1"/>
  <c r="W559" i="1"/>
  <c r="W118" i="1"/>
  <c r="W117" i="1"/>
  <c r="W876" i="1"/>
  <c r="W116" i="1"/>
  <c r="W115" i="1"/>
  <c r="W114" i="1"/>
  <c r="W113" i="1"/>
  <c r="W112" i="1"/>
  <c r="W875" i="1"/>
  <c r="W111" i="1"/>
  <c r="W445" i="1"/>
  <c r="W110" i="1"/>
  <c r="W444" i="1"/>
  <c r="W109" i="1"/>
  <c r="W874" i="1"/>
  <c r="W443" i="1"/>
  <c r="W108" i="1"/>
  <c r="W107" i="1"/>
  <c r="W106" i="1"/>
  <c r="W105" i="1"/>
  <c r="W873" i="1"/>
  <c r="W104" i="1"/>
  <c r="W438" i="1"/>
  <c r="W103" i="1"/>
  <c r="W102" i="1"/>
  <c r="W101" i="1"/>
  <c r="W872" i="1"/>
  <c r="W434" i="1"/>
  <c r="W100" i="1"/>
  <c r="W99" i="1"/>
  <c r="W98" i="1"/>
  <c r="W97" i="1"/>
  <c r="W871" i="1"/>
  <c r="W96" i="1"/>
  <c r="W95" i="1"/>
  <c r="W94" i="1"/>
  <c r="W93" i="1"/>
  <c r="W92" i="1"/>
  <c r="W870" i="1"/>
  <c r="W91" i="1"/>
  <c r="W333" i="1"/>
  <c r="W86" i="1"/>
  <c r="W331" i="1"/>
  <c r="W84" i="1"/>
  <c r="W869" i="1"/>
  <c r="W82" i="1"/>
  <c r="W80" i="1"/>
  <c r="W77" i="1"/>
  <c r="W76" i="1"/>
  <c r="W325" i="1"/>
  <c r="W868" i="1"/>
  <c r="W74" i="1"/>
  <c r="W322" i="1"/>
  <c r="W72" i="1"/>
  <c r="W867" i="1"/>
  <c r="W71" i="1"/>
  <c r="W70" i="1"/>
  <c r="W866" i="1"/>
  <c r="W320" i="1"/>
  <c r="W69" i="1"/>
  <c r="W68" i="1"/>
  <c r="W64" i="1"/>
  <c r="W61" i="1"/>
  <c r="W313" i="1"/>
  <c r="W59" i="1"/>
  <c r="W51" i="1"/>
  <c r="W50" i="1"/>
  <c r="W863" i="1"/>
  <c r="W49" i="1"/>
  <c r="W48" i="1"/>
  <c r="W47" i="1"/>
  <c r="W256" i="1"/>
  <c r="W45" i="1"/>
  <c r="W44" i="1"/>
  <c r="W861" i="1"/>
  <c r="W255" i="1"/>
  <c r="W37" i="1"/>
  <c r="W860" i="1"/>
  <c r="W33" i="1"/>
  <c r="W32" i="1"/>
  <c r="W734" i="1"/>
  <c r="W31" i="1"/>
  <c r="W29" i="1"/>
  <c r="W16" i="1"/>
  <c r="W12" i="1"/>
  <c r="W8" i="1"/>
  <c r="W733" i="1"/>
  <c r="W5" i="1"/>
  <c r="W856" i="1"/>
  <c r="W4" i="1"/>
  <c r="W1021" i="1"/>
  <c r="W855" i="1"/>
  <c r="W1020" i="1"/>
  <c r="W1019" i="1"/>
  <c r="W732" i="1"/>
  <c r="W1018" i="1"/>
  <c r="W1016" i="1"/>
  <c r="W1015" i="1"/>
  <c r="W815" i="1"/>
  <c r="W1013" i="1"/>
  <c r="W1012" i="1"/>
  <c r="W731" i="1"/>
  <c r="W1011" i="1"/>
  <c r="W1010" i="1"/>
  <c r="W1009" i="1"/>
  <c r="W812" i="1"/>
  <c r="W1007" i="1"/>
  <c r="W1005" i="1"/>
  <c r="W730" i="1"/>
  <c r="W1002" i="1"/>
  <c r="W810" i="1"/>
  <c r="W1001" i="1"/>
  <c r="W1000" i="1"/>
  <c r="W995" i="1"/>
  <c r="W980" i="1"/>
  <c r="W729" i="1"/>
  <c r="W808" i="1"/>
  <c r="W978" i="1"/>
  <c r="W977" i="1"/>
  <c r="W807" i="1"/>
  <c r="W436" i="1"/>
  <c r="W1017" i="1"/>
  <c r="W806" i="1"/>
  <c r="W1014" i="1"/>
  <c r="W728" i="1"/>
  <c r="W1008" i="1"/>
  <c r="W1006" i="1"/>
  <c r="W1004" i="1"/>
  <c r="W1003" i="1"/>
  <c r="W999" i="1"/>
  <c r="W727" i="1"/>
  <c r="W998" i="1"/>
  <c r="W997" i="1"/>
  <c r="W996" i="1"/>
  <c r="W994" i="1"/>
  <c r="W993" i="1"/>
  <c r="W726" i="1"/>
  <c r="W992" i="1"/>
  <c r="W991" i="1"/>
  <c r="W990" i="1"/>
  <c r="W799" i="1"/>
  <c r="W989" i="1"/>
  <c r="W988" i="1"/>
  <c r="W725" i="1"/>
  <c r="W987" i="1"/>
  <c r="W986" i="1"/>
  <c r="W985" i="1"/>
  <c r="W797" i="1"/>
  <c r="W984" i="1"/>
  <c r="W983" i="1"/>
  <c r="W796" i="1"/>
  <c r="W724" i="1"/>
  <c r="W982" i="1"/>
  <c r="W981" i="1"/>
  <c r="W979" i="1"/>
  <c r="W976" i="1"/>
  <c r="W723" i="1"/>
  <c r="W722" i="1"/>
  <c r="W740" i="1"/>
  <c r="W721" i="1"/>
  <c r="W739" i="1"/>
  <c r="W720" i="1"/>
  <c r="W719" i="1"/>
  <c r="W737" i="1"/>
  <c r="W718" i="1"/>
  <c r="W717" i="1"/>
  <c r="W736" i="1"/>
  <c r="W716" i="1"/>
  <c r="W715" i="1"/>
  <c r="W714" i="1"/>
  <c r="W713" i="1"/>
  <c r="W712" i="1"/>
  <c r="W711" i="1"/>
  <c r="W710" i="1"/>
  <c r="W677" i="1"/>
  <c r="W709" i="1"/>
  <c r="W708" i="1"/>
  <c r="W707" i="1"/>
  <c r="W706" i="1"/>
  <c r="W705" i="1"/>
  <c r="W704" i="1"/>
  <c r="W570" i="1"/>
  <c r="W703" i="1"/>
  <c r="W569" i="1"/>
  <c r="W702" i="1"/>
  <c r="W701" i="1"/>
  <c r="W700" i="1"/>
  <c r="W699" i="1"/>
  <c r="W698" i="1"/>
  <c r="W697" i="1"/>
  <c r="W696" i="1"/>
  <c r="W562" i="1"/>
  <c r="W695" i="1"/>
  <c r="W694" i="1"/>
  <c r="W693" i="1"/>
  <c r="W692" i="1"/>
  <c r="W691" i="1"/>
  <c r="W690" i="1"/>
  <c r="W689" i="1"/>
  <c r="W688" i="1"/>
  <c r="W448" i="1"/>
  <c r="W687" i="1"/>
  <c r="W686" i="1"/>
  <c r="W447" i="1"/>
  <c r="W446" i="1"/>
  <c r="W685" i="1"/>
  <c r="W684" i="1"/>
  <c r="W683" i="1"/>
  <c r="W682" i="1"/>
  <c r="J2" i="1"/>
  <c r="V885" i="1"/>
  <c r="V702" i="1"/>
  <c r="AF17" i="1"/>
  <c r="V407" i="1"/>
  <c r="V1029" i="1"/>
  <c r="V225" i="1"/>
  <c r="V19" i="1"/>
  <c r="V833" i="1"/>
  <c r="V21" i="1"/>
  <c r="V1028" i="1"/>
  <c r="V22" i="1"/>
  <c r="V579" i="1"/>
  <c r="V23" i="1"/>
  <c r="V832" i="1"/>
  <c r="V1027" i="1"/>
  <c r="V701" i="1"/>
  <c r="V406" i="1"/>
  <c r="V517" i="1"/>
  <c r="V24" i="1"/>
  <c r="V1026" i="1"/>
  <c r="V831" i="1"/>
  <c r="V26" i="1"/>
  <c r="V700" i="1"/>
  <c r="V580" i="1"/>
  <c r="V1025" i="1"/>
  <c r="V30" i="1"/>
  <c r="V830" i="1"/>
  <c r="V503" i="1"/>
  <c r="V405" i="1"/>
  <c r="V1024" i="1"/>
  <c r="V305" i="1"/>
  <c r="V31" i="1"/>
  <c r="V829" i="1"/>
  <c r="V486" i="1"/>
  <c r="V1023" i="1"/>
  <c r="V699" i="1"/>
  <c r="V509" i="1"/>
  <c r="V37" i="1"/>
  <c r="V828" i="1"/>
  <c r="V1022" i="1"/>
  <c r="V286" i="1"/>
  <c r="V404" i="1"/>
  <c r="V226" i="1"/>
  <c r="V540" i="1"/>
  <c r="V827" i="1"/>
  <c r="V975" i="1"/>
  <c r="V38" i="1"/>
  <c r="V698" i="1"/>
  <c r="V582" i="1"/>
  <c r="V41" i="1"/>
  <c r="V974" i="1"/>
  <c r="V826" i="1"/>
  <c r="V42" i="1"/>
  <c r="V403" i="1"/>
  <c r="V227" i="1"/>
  <c r="V973" i="1"/>
  <c r="V697" i="1"/>
  <c r="V825" i="1"/>
  <c r="V43" i="1"/>
  <c r="V46" i="1"/>
  <c r="V972" i="1"/>
  <c r="V696" i="1"/>
  <c r="V487" i="1"/>
  <c r="V824" i="1"/>
  <c r="V52" i="1"/>
  <c r="V971" i="1"/>
  <c r="V402" i="1"/>
  <c r="V467" i="1"/>
  <c r="V695" i="1"/>
  <c r="V823" i="1"/>
  <c r="V970" i="1"/>
  <c r="V54" i="1"/>
  <c r="V694" i="1"/>
  <c r="V620" i="1"/>
  <c r="V583" i="1"/>
  <c r="V969" i="1"/>
  <c r="V822" i="1"/>
  <c r="V62" i="1"/>
  <c r="V401" i="1"/>
  <c r="V228" i="1"/>
  <c r="V968" i="1"/>
  <c r="V63" i="1"/>
  <c r="V821" i="1"/>
  <c r="V65" i="1"/>
  <c r="V66" i="1"/>
  <c r="V967" i="1"/>
  <c r="V693" i="1"/>
  <c r="V71" i="1"/>
  <c r="V820" i="1"/>
  <c r="V488" i="1"/>
  <c r="V966" i="1"/>
  <c r="V400" i="1"/>
  <c r="V494" i="1"/>
  <c r="V72" i="1"/>
  <c r="V819" i="1"/>
  <c r="V965" i="1"/>
  <c r="V73" i="1"/>
  <c r="V75" i="1"/>
  <c r="V539" i="1"/>
  <c r="V304" i="1"/>
  <c r="V964" i="1"/>
  <c r="V818" i="1"/>
  <c r="V78" i="1"/>
  <c r="V399" i="1"/>
  <c r="V278" i="1"/>
  <c r="V963" i="1"/>
  <c r="V79" i="1"/>
  <c r="V692" i="1"/>
  <c r="V80" i="1"/>
  <c r="V584" i="1"/>
  <c r="V962" i="1"/>
  <c r="V813" i="1"/>
  <c r="V691" i="1"/>
  <c r="V489" i="1"/>
  <c r="V398" i="1"/>
  <c r="V961" i="1"/>
  <c r="V229" i="1"/>
  <c r="V807" i="1"/>
  <c r="V88" i="1"/>
  <c r="V89" i="1"/>
  <c r="V960" i="1"/>
  <c r="V690" i="1"/>
  <c r="V802" i="1"/>
  <c r="V619" i="1"/>
  <c r="V91" i="1"/>
  <c r="V959" i="1"/>
  <c r="V502" i="1"/>
  <c r="V796" i="1"/>
  <c r="V397" i="1"/>
  <c r="V230" i="1"/>
  <c r="V958" i="1"/>
  <c r="V92" i="1"/>
  <c r="V689" i="1"/>
  <c r="V93" i="1"/>
  <c r="V279" i="1"/>
  <c r="V957" i="1"/>
  <c r="V585" i="1"/>
  <c r="V610" i="1"/>
  <c r="V560" i="1"/>
  <c r="V396" i="1"/>
  <c r="V956" i="1"/>
  <c r="V280" i="1"/>
  <c r="V94" i="1"/>
  <c r="V95" i="1"/>
  <c r="V794" i="1"/>
  <c r="V955" i="1"/>
  <c r="V688" i="1"/>
  <c r="V96" i="1"/>
  <c r="V97" i="1"/>
  <c r="V687" i="1"/>
  <c r="V954" i="1"/>
  <c r="V793" i="1"/>
  <c r="V395" i="1"/>
  <c r="V303" i="1"/>
  <c r="V98" i="1"/>
  <c r="V953" i="1"/>
  <c r="V490" i="1"/>
  <c r="V792" i="1"/>
  <c r="V99" i="1"/>
  <c r="V100" i="1"/>
  <c r="V952" i="1"/>
  <c r="V320" i="1"/>
  <c r="V686" i="1"/>
  <c r="V791" i="1"/>
  <c r="V394" i="1"/>
  <c r="V951" i="1"/>
  <c r="V231" i="1"/>
  <c r="V101" i="1"/>
  <c r="V102" i="1"/>
  <c r="V790" i="1"/>
  <c r="V950" i="1"/>
  <c r="V685" i="1"/>
  <c r="V586" i="1"/>
  <c r="V103" i="1"/>
  <c r="V104" i="1"/>
  <c r="V949" i="1"/>
  <c r="V789" i="1"/>
  <c r="V393" i="1"/>
  <c r="V232" i="1"/>
  <c r="V105" i="1"/>
  <c r="V948" i="1"/>
  <c r="V684" i="1"/>
  <c r="V788" i="1"/>
  <c r="V106" i="1"/>
  <c r="V491" i="1"/>
  <c r="V947" i="1"/>
  <c r="V107" i="1"/>
  <c r="V468" i="1"/>
  <c r="V787" i="1"/>
  <c r="V392" i="1"/>
  <c r="V946" i="1"/>
  <c r="V618" i="1"/>
  <c r="V683" i="1"/>
  <c r="V108" i="1"/>
  <c r="V786" i="1"/>
  <c r="V945" i="1"/>
  <c r="V538" i="1"/>
  <c r="V233" i="1"/>
  <c r="V587" i="1"/>
  <c r="V522" i="1"/>
  <c r="V944" i="1"/>
  <c r="V785" i="1"/>
  <c r="V391" i="1"/>
  <c r="V234" i="1"/>
  <c r="V109" i="1"/>
  <c r="V943" i="1"/>
  <c r="V110" i="1"/>
  <c r="V784" i="1"/>
  <c r="V682" i="1"/>
  <c r="V111" i="1"/>
  <c r="V942" i="1"/>
  <c r="V112" i="1"/>
  <c r="V302" i="1"/>
  <c r="V783" i="1"/>
  <c r="V390" i="1"/>
  <c r="V941" i="1"/>
  <c r="V321" i="1"/>
  <c r="V681" i="1"/>
  <c r="V113" i="1"/>
  <c r="V782" i="1"/>
  <c r="V940" i="1"/>
  <c r="V114" i="1"/>
  <c r="V492" i="1"/>
  <c r="V617" i="1"/>
  <c r="V501" i="1"/>
  <c r="V939" i="1"/>
  <c r="V781" i="1"/>
  <c r="V389" i="1"/>
  <c r="V235" i="1"/>
  <c r="V115" i="1"/>
  <c r="V938" i="1"/>
  <c r="V680" i="1"/>
  <c r="V780" i="1"/>
  <c r="V116" i="1"/>
  <c r="V588" i="1"/>
  <c r="V937" i="1"/>
  <c r="V117" i="1"/>
  <c r="V236" i="1"/>
  <c r="V779" i="1"/>
  <c r="V388" i="1"/>
  <c r="V936" i="1"/>
  <c r="V237" i="1"/>
  <c r="V118" i="1"/>
  <c r="V119" i="1"/>
  <c r="V778" i="1"/>
  <c r="V935" i="1"/>
  <c r="V120" i="1"/>
  <c r="V569" i="1"/>
  <c r="V121" i="1"/>
  <c r="V537" i="1"/>
  <c r="V934" i="1"/>
  <c r="V777" i="1"/>
  <c r="V387" i="1"/>
  <c r="V477" i="1"/>
  <c r="V122" i="1"/>
  <c r="V933" i="1"/>
  <c r="V510" i="1"/>
  <c r="V776" i="1"/>
  <c r="V567" i="1"/>
  <c r="V469" i="1"/>
  <c r="V932" i="1"/>
  <c r="V589" i="1"/>
  <c r="V123" i="1"/>
  <c r="V775" i="1"/>
  <c r="V386" i="1"/>
  <c r="V931" i="1"/>
  <c r="V301" i="1"/>
  <c r="V124" i="1"/>
  <c r="V564" i="1"/>
  <c r="V774" i="1"/>
  <c r="V930" i="1"/>
  <c r="V125" i="1"/>
  <c r="V256" i="1"/>
  <c r="V126" i="1"/>
  <c r="V127" i="1"/>
  <c r="V929" i="1"/>
  <c r="V773" i="1"/>
  <c r="V385" i="1"/>
  <c r="V290" i="1"/>
  <c r="V554" i="1"/>
  <c r="V928" i="1"/>
  <c r="V128" i="1"/>
  <c r="V772" i="1"/>
  <c r="V129" i="1"/>
  <c r="V130" i="1"/>
  <c r="V927" i="1"/>
  <c r="V616" i="1"/>
  <c r="V440" i="1"/>
  <c r="V771" i="1"/>
  <c r="V384" i="1"/>
  <c r="V926" i="1"/>
  <c r="V238" i="1"/>
  <c r="V436" i="1"/>
  <c r="V334" i="1"/>
  <c r="V770" i="1"/>
  <c r="V925" i="1"/>
  <c r="V9" i="1"/>
  <c r="V590" i="1"/>
  <c r="V11" i="1"/>
  <c r="V333" i="1"/>
  <c r="V924" i="1"/>
  <c r="V769" i="1"/>
  <c r="V383" i="1"/>
  <c r="V239" i="1"/>
  <c r="V15" i="1"/>
  <c r="V923" i="1"/>
  <c r="V16" i="1"/>
  <c r="V768" i="1"/>
  <c r="V319" i="1"/>
  <c r="V325" i="1"/>
  <c r="V922" i="1"/>
  <c r="V20" i="1"/>
  <c r="V611" i="1"/>
  <c r="V767" i="1"/>
  <c r="V382" i="1"/>
  <c r="V921" i="1"/>
  <c r="V528" i="1"/>
  <c r="V884" i="1"/>
  <c r="V25" i="1"/>
  <c r="V766" i="1"/>
  <c r="V920" i="1"/>
  <c r="V314" i="1"/>
  <c r="V27" i="1"/>
  <c r="V615" i="1"/>
  <c r="V500" i="1"/>
  <c r="V919" i="1"/>
  <c r="V765" i="1"/>
  <c r="V381" i="1"/>
  <c r="V300" i="1"/>
  <c r="V536" i="1"/>
  <c r="V918" i="1"/>
  <c r="V28" i="1"/>
  <c r="V313" i="1"/>
  <c r="V764" i="1"/>
  <c r="V591" i="1"/>
  <c r="V917" i="1"/>
  <c r="V34" i="1"/>
  <c r="V287" i="1"/>
  <c r="V380" i="1"/>
  <c r="V763" i="1"/>
  <c r="V916" i="1"/>
  <c r="V240" i="1"/>
  <c r="V322" i="1"/>
  <c r="V35" i="1"/>
  <c r="V36" i="1"/>
  <c r="V762" i="1"/>
  <c r="V39" i="1"/>
  <c r="V867" i="1"/>
  <c r="V40" i="1"/>
  <c r="V44" i="1"/>
  <c r="V866" i="1"/>
  <c r="V379" i="1"/>
  <c r="V761" i="1"/>
  <c r="V241" i="1"/>
  <c r="V45" i="1"/>
  <c r="V251" i="1"/>
  <c r="V47" i="1"/>
  <c r="V760" i="1"/>
  <c r="V242" i="1"/>
  <c r="V592" i="1"/>
  <c r="V861" i="1"/>
  <c r="V48" i="1"/>
  <c r="V49" i="1"/>
  <c r="V759" i="1"/>
  <c r="V50" i="1"/>
  <c r="V673" i="1"/>
  <c r="V859" i="1"/>
  <c r="V373" i="1"/>
  <c r="V55" i="1"/>
  <c r="V758" i="1"/>
  <c r="V56" i="1"/>
  <c r="V59" i="1"/>
  <c r="V60" i="1"/>
  <c r="V856" i="1"/>
  <c r="V672" i="1"/>
  <c r="V757" i="1"/>
  <c r="V817" i="1"/>
  <c r="V64" i="1"/>
  <c r="V371" i="1"/>
  <c r="V614" i="1"/>
  <c r="V332" i="1"/>
  <c r="V756" i="1"/>
  <c r="V67" i="1"/>
  <c r="V671" i="1"/>
  <c r="V70" i="1"/>
  <c r="V812" i="1"/>
  <c r="V243" i="1"/>
  <c r="V755" i="1"/>
  <c r="V535" i="1"/>
  <c r="V370" i="1"/>
  <c r="V525" i="1"/>
  <c r="V74" i="1"/>
  <c r="V754" i="1"/>
  <c r="V670" i="1"/>
  <c r="V76" i="1"/>
  <c r="V593" i="1"/>
  <c r="V81" i="1"/>
  <c r="V806" i="1"/>
  <c r="V753" i="1"/>
  <c r="V299" i="1"/>
  <c r="V369" i="1"/>
  <c r="V475" i="1"/>
  <c r="V82" i="1"/>
  <c r="V803" i="1"/>
  <c r="V752" i="1"/>
  <c r="V669" i="1"/>
  <c r="V83" i="1"/>
  <c r="V84" i="1"/>
  <c r="V85" i="1"/>
  <c r="V751" i="1"/>
  <c r="V514" i="1"/>
  <c r="V368" i="1"/>
  <c r="V244" i="1"/>
  <c r="V797" i="1"/>
  <c r="V374" i="1"/>
  <c r="V750" i="1"/>
  <c r="V86" i="1"/>
  <c r="V795" i="1"/>
  <c r="V668" i="1"/>
  <c r="V245" i="1"/>
  <c r="V741" i="1"/>
  <c r="V594" i="1"/>
  <c r="V749" i="1"/>
  <c r="V499" i="1"/>
  <c r="V367" i="1"/>
  <c r="V736" i="1"/>
  <c r="V246" i="1"/>
  <c r="V377" i="1"/>
  <c r="V748" i="1"/>
  <c r="V90" i="1"/>
  <c r="V679" i="1"/>
  <c r="V678" i="1"/>
  <c r="V667" i="1"/>
  <c r="V131" i="1"/>
  <c r="V132" i="1"/>
  <c r="V747" i="1"/>
  <c r="V281" i="1"/>
  <c r="V366" i="1"/>
  <c r="V612" i="1"/>
  <c r="V434" i="1"/>
  <c r="V568" i="1"/>
  <c r="V746" i="1"/>
  <c r="V566" i="1"/>
  <c r="V666" i="1"/>
  <c r="V565" i="1"/>
  <c r="V133" i="1"/>
  <c r="V534" i="1"/>
  <c r="V561" i="1"/>
  <c r="V581" i="1"/>
  <c r="V745" i="1"/>
  <c r="V557" i="1"/>
  <c r="V134" i="1"/>
  <c r="V447" i="1"/>
  <c r="V365" i="1"/>
  <c r="V298" i="1"/>
  <c r="V87" i="1"/>
  <c r="V744" i="1"/>
  <c r="V135" i="1"/>
  <c r="V439" i="1"/>
  <c r="V665" i="1"/>
  <c r="V595" i="1"/>
  <c r="V136" i="1"/>
  <c r="V743" i="1"/>
  <c r="V137" i="1"/>
  <c r="V364" i="1"/>
  <c r="V282" i="1"/>
  <c r="V664" i="1"/>
  <c r="V742" i="1"/>
  <c r="V138" i="1"/>
  <c r="V139" i="1"/>
  <c r="V740" i="1"/>
  <c r="V438" i="1"/>
  <c r="V140" i="1"/>
  <c r="V663" i="1"/>
  <c r="V331" i="1"/>
  <c r="V324" i="1"/>
  <c r="V738" i="1"/>
  <c r="V363" i="1"/>
  <c r="V737" i="1"/>
  <c r="V247" i="1"/>
  <c r="V141" i="1"/>
  <c r="V142" i="1"/>
  <c r="V662" i="1"/>
  <c r="V248" i="1"/>
  <c r="V596" i="1"/>
  <c r="V677" i="1"/>
  <c r="V258" i="1"/>
  <c r="V523" i="1"/>
  <c r="V362" i="1"/>
  <c r="V471" i="1"/>
  <c r="V252" i="1"/>
  <c r="V915" i="1"/>
  <c r="V143" i="1"/>
  <c r="V443" i="1"/>
  <c r="V144" i="1"/>
  <c r="V145" i="1"/>
  <c r="V914" i="1"/>
  <c r="V533" i="1"/>
  <c r="V661" i="1"/>
  <c r="V361" i="1"/>
  <c r="V249" i="1"/>
  <c r="V913" i="1"/>
  <c r="V146" i="1"/>
  <c r="V147" i="1"/>
  <c r="V660" i="1"/>
  <c r="V148" i="1"/>
  <c r="V912" i="1"/>
  <c r="V250" i="1"/>
  <c r="V578" i="1"/>
  <c r="V555" i="1"/>
  <c r="V360" i="1"/>
  <c r="V911" i="1"/>
  <c r="V553" i="1"/>
  <c r="V297" i="1"/>
  <c r="V149" i="1"/>
  <c r="V150" i="1"/>
  <c r="V910" i="1"/>
  <c r="V659" i="1"/>
  <c r="V597" i="1"/>
  <c r="V442" i="1"/>
  <c r="V151" i="1"/>
  <c r="V909" i="1"/>
  <c r="V498" i="1"/>
  <c r="V359" i="1"/>
  <c r="V526" i="1"/>
  <c r="V152" i="1"/>
  <c r="V908" i="1"/>
  <c r="V658" i="1"/>
  <c r="V153" i="1"/>
  <c r="V433" i="1"/>
  <c r="V154" i="1"/>
  <c r="V907" i="1"/>
  <c r="V511" i="1"/>
  <c r="V375" i="1"/>
  <c r="V261" i="1"/>
  <c r="V358" i="1"/>
  <c r="V906" i="1"/>
  <c r="V262" i="1"/>
  <c r="V155" i="1"/>
  <c r="V657" i="1"/>
  <c r="V156" i="1"/>
  <c r="V905" i="1"/>
  <c r="V263" i="1"/>
  <c r="V327" i="1"/>
  <c r="V598" i="1"/>
  <c r="V326" i="1"/>
  <c r="V904" i="1"/>
  <c r="V157" i="1"/>
  <c r="V357" i="1"/>
  <c r="V264" i="1"/>
  <c r="V656" i="1"/>
  <c r="V903" i="1"/>
  <c r="V158" i="1"/>
  <c r="V159" i="1"/>
  <c r="V317" i="1"/>
  <c r="V160" i="1"/>
  <c r="V902" i="1"/>
  <c r="V655" i="1"/>
  <c r="V161" i="1"/>
  <c r="V312" i="1"/>
  <c r="V356" i="1"/>
  <c r="V901" i="1"/>
  <c r="V323" i="1"/>
  <c r="V162" i="1"/>
  <c r="V451" i="1"/>
  <c r="V654" i="1"/>
  <c r="V900" i="1"/>
  <c r="V163" i="1"/>
  <c r="V493" i="1"/>
  <c r="V532" i="1"/>
  <c r="V355" i="1"/>
  <c r="V899" i="1"/>
  <c r="V734" i="1"/>
  <c r="V296" i="1"/>
  <c r="V164" i="1"/>
  <c r="V165" i="1"/>
  <c r="V898" i="1"/>
  <c r="V653" i="1"/>
  <c r="V733" i="1"/>
  <c r="V599" i="1"/>
  <c r="V166" i="1"/>
  <c r="V897" i="1"/>
  <c r="V167" i="1"/>
  <c r="V354" i="1"/>
  <c r="V732" i="1"/>
  <c r="V283" i="1"/>
  <c r="V896" i="1"/>
  <c r="V652" i="1"/>
  <c r="V168" i="1"/>
  <c r="V169" i="1"/>
  <c r="V731" i="1"/>
  <c r="V895" i="1"/>
  <c r="V170" i="1"/>
  <c r="V651" i="1"/>
  <c r="V171" i="1"/>
  <c r="V353" i="1"/>
  <c r="V894" i="1"/>
  <c r="V730" i="1"/>
  <c r="V265" i="1"/>
  <c r="V172" i="1"/>
  <c r="V453" i="1"/>
  <c r="V893" i="1"/>
  <c r="V650" i="1"/>
  <c r="V729" i="1"/>
  <c r="V472" i="1"/>
  <c r="V600" i="1"/>
  <c r="V892" i="1"/>
  <c r="V173" i="1"/>
  <c r="V352" i="1"/>
  <c r="V728" i="1"/>
  <c r="V576" i="1"/>
  <c r="V891" i="1"/>
  <c r="V518" i="1"/>
  <c r="V174" i="1"/>
  <c r="V649" i="1"/>
  <c r="V727" i="1"/>
  <c r="V890" i="1"/>
  <c r="V175" i="1"/>
  <c r="V176" i="1"/>
  <c r="V497" i="1"/>
  <c r="V351" i="1"/>
  <c r="V889" i="1"/>
  <c r="V726" i="1"/>
  <c r="V613" i="1"/>
  <c r="V177" i="1"/>
  <c r="V648" i="1"/>
  <c r="V888" i="1"/>
  <c r="V178" i="1"/>
  <c r="V725" i="1"/>
  <c r="V179" i="1"/>
  <c r="V266" i="1"/>
  <c r="V887" i="1"/>
  <c r="V289" i="1"/>
  <c r="V350" i="1"/>
  <c r="V724" i="1"/>
  <c r="V295" i="1"/>
  <c r="V886" i="1"/>
  <c r="V647" i="1"/>
  <c r="V180" i="1"/>
  <c r="V516" i="1"/>
  <c r="V479" i="1"/>
  <c r="V455" i="1"/>
  <c r="V601" i="1"/>
  <c r="V181" i="1"/>
  <c r="V531" i="1"/>
  <c r="V543" i="1"/>
  <c r="V349" i="1"/>
  <c r="V508" i="1"/>
  <c r="V478" i="1"/>
  <c r="V288" i="1"/>
  <c r="V883" i="1"/>
  <c r="V182" i="1"/>
  <c r="V646" i="1"/>
  <c r="V183" i="1"/>
  <c r="V184" i="1"/>
  <c r="V882" i="1"/>
  <c r="V645" i="1"/>
  <c r="V185" i="1"/>
  <c r="V348" i="1"/>
  <c r="V575" i="1"/>
  <c r="V881" i="1"/>
  <c r="V186" i="1"/>
  <c r="V456" i="1"/>
  <c r="V187" i="1"/>
  <c r="V267" i="1"/>
  <c r="V880" i="1"/>
  <c r="V602" i="1"/>
  <c r="V644" i="1"/>
  <c r="V347" i="1"/>
  <c r="V527" i="1"/>
  <c r="V879" i="1"/>
  <c r="V188" i="1"/>
  <c r="V189" i="1"/>
  <c r="V643" i="1"/>
  <c r="V190" i="1"/>
  <c r="V878" i="1"/>
  <c r="V4" i="1"/>
  <c r="V268" i="1"/>
  <c r="V346" i="1"/>
  <c r="V470" i="1"/>
  <c r="V877" i="1"/>
  <c r="V284" i="1"/>
  <c r="V544" i="1"/>
  <c r="V5" i="1"/>
  <c r="V6" i="1"/>
  <c r="V876" i="1"/>
  <c r="V457" i="1"/>
  <c r="V8" i="1"/>
  <c r="V269" i="1"/>
  <c r="V524" i="1"/>
  <c r="V875" i="1"/>
  <c r="V345" i="1"/>
  <c r="V294" i="1"/>
  <c r="V466" i="1"/>
  <c r="V642" i="1"/>
  <c r="V874" i="1"/>
  <c r="V641" i="1"/>
  <c r="V465" i="1"/>
  <c r="V18" i="1"/>
  <c r="V545" i="1"/>
  <c r="V873" i="1"/>
  <c r="V603" i="1"/>
  <c r="V458" i="1"/>
  <c r="V29" i="1"/>
  <c r="V463" i="1"/>
  <c r="V872" i="1"/>
  <c r="V344" i="1"/>
  <c r="V285" i="1"/>
  <c r="V459" i="1"/>
  <c r="V640" i="1"/>
  <c r="V871" i="1"/>
  <c r="V32" i="1"/>
  <c r="V33" i="1"/>
  <c r="V51" i="1"/>
  <c r="V496" i="1"/>
  <c r="V870" i="1"/>
  <c r="V460" i="1"/>
  <c r="V343" i="1"/>
  <c r="V573" i="1"/>
  <c r="V639" i="1"/>
  <c r="V869" i="1"/>
  <c r="V53" i="1"/>
  <c r="V546" i="1"/>
  <c r="V530" i="1"/>
  <c r="V270" i="1"/>
  <c r="V868" i="1"/>
  <c r="V604" i="1"/>
  <c r="V515" i="1"/>
  <c r="V473" i="1"/>
  <c r="V342" i="1"/>
  <c r="V271" i="1"/>
  <c r="V57" i="1"/>
  <c r="V507" i="1"/>
  <c r="V865" i="1"/>
  <c r="V58" i="1"/>
  <c r="V638" i="1"/>
  <c r="V864" i="1"/>
  <c r="V61" i="1"/>
  <c r="V637" i="1"/>
  <c r="V863" i="1"/>
  <c r="V454" i="1"/>
  <c r="V68" i="1"/>
  <c r="V862" i="1"/>
  <c r="V341" i="1"/>
  <c r="V547" i="1"/>
  <c r="V315" i="1"/>
  <c r="V69" i="1"/>
  <c r="V860" i="1"/>
  <c r="V636" i="1"/>
  <c r="V452" i="1"/>
  <c r="V635" i="1"/>
  <c r="V77" i="1"/>
  <c r="V858" i="1"/>
  <c r="V572" i="1"/>
  <c r="V191" i="1"/>
  <c r="V857" i="1"/>
  <c r="V340" i="1"/>
  <c r="V450" i="1"/>
  <c r="V293" i="1"/>
  <c r="V192" i="1"/>
  <c r="V634" i="1"/>
  <c r="V449" i="1"/>
  <c r="V816" i="1"/>
  <c r="V193" i="1"/>
  <c r="V605" i="1"/>
  <c r="V815" i="1"/>
  <c r="V194" i="1"/>
  <c r="V814" i="1"/>
  <c r="V448" i="1"/>
  <c r="V441" i="1"/>
  <c r="V633" i="1"/>
  <c r="V339" i="1"/>
  <c r="V254" i="1"/>
  <c r="V811" i="1"/>
  <c r="V476" i="1"/>
  <c r="V810" i="1"/>
  <c r="V432" i="1"/>
  <c r="V809" i="1"/>
  <c r="V195" i="1"/>
  <c r="V196" i="1"/>
  <c r="V808" i="1"/>
  <c r="V197" i="1"/>
  <c r="V461" i="1"/>
  <c r="V632" i="1"/>
  <c r="V548" i="1"/>
  <c r="V520" i="1"/>
  <c r="V805" i="1"/>
  <c r="V431" i="1"/>
  <c r="V804" i="1"/>
  <c r="V198" i="1"/>
  <c r="V338" i="1"/>
  <c r="V571" i="1"/>
  <c r="V199" i="1"/>
  <c r="V631" i="1"/>
  <c r="V200" i="1"/>
  <c r="V801" i="1"/>
  <c r="V272" i="1"/>
  <c r="V430" i="1"/>
  <c r="V800" i="1"/>
  <c r="V606" i="1"/>
  <c r="V201" i="1"/>
  <c r="V799" i="1"/>
  <c r="V337" i="1"/>
  <c r="V273" i="1"/>
  <c r="V798" i="1"/>
  <c r="V462" i="1"/>
  <c r="V202" i="1"/>
  <c r="V506" i="1"/>
  <c r="V429" i="1"/>
  <c r="V630" i="1"/>
  <c r="V203" i="1"/>
  <c r="V204" i="1"/>
  <c r="V629" i="1"/>
  <c r="V549" i="1"/>
  <c r="V336" i="1"/>
  <c r="V274" i="1"/>
  <c r="V428" i="1"/>
  <c r="V739" i="1"/>
  <c r="V205" i="1"/>
  <c r="V206" i="1"/>
  <c r="V335" i="1"/>
  <c r="V328" i="1"/>
  <c r="V735" i="1"/>
  <c r="V207" i="1"/>
  <c r="V495" i="1"/>
  <c r="V275" i="1"/>
  <c r="V427" i="1"/>
  <c r="V474" i="1"/>
  <c r="V311" i="1"/>
  <c r="V676" i="1"/>
  <c r="V675" i="1"/>
  <c r="V674" i="1"/>
  <c r="V292" i="1"/>
  <c r="V512" i="1"/>
  <c r="V570" i="1"/>
  <c r="V628" i="1"/>
  <c r="V550" i="1"/>
  <c r="V208" i="1"/>
  <c r="V426" i="1"/>
  <c r="V607" i="1"/>
  <c r="V209" i="1"/>
  <c r="V563" i="1"/>
  <c r="V627" i="1"/>
  <c r="V310" i="1"/>
  <c r="V330" i="1"/>
  <c r="V210" i="1"/>
  <c r="V211" i="1"/>
  <c r="V425" i="1"/>
  <c r="V464" i="1"/>
  <c r="V212" i="1"/>
  <c r="V626" i="1"/>
  <c r="V213" i="1"/>
  <c r="V446" i="1"/>
  <c r="V309" i="1"/>
  <c r="V445" i="1"/>
  <c r="V276" i="1"/>
  <c r="V444" i="1"/>
  <c r="V529" i="1"/>
  <c r="V424" i="1"/>
  <c r="V214" i="1"/>
  <c r="V625" i="1"/>
  <c r="V513" i="1"/>
  <c r="V977" i="1"/>
  <c r="V437" i="1"/>
  <c r="V551" i="1"/>
  <c r="V723" i="1"/>
  <c r="V978" i="1"/>
  <c r="V435" i="1"/>
  <c r="V423" i="1"/>
  <c r="V608" i="1"/>
  <c r="V980" i="1"/>
  <c r="V722" i="1"/>
  <c r="V378" i="1"/>
  <c r="V984" i="1"/>
  <c r="V480" i="1"/>
  <c r="V376" i="1"/>
  <c r="V721" i="1"/>
  <c r="V720" i="1"/>
  <c r="V422" i="1"/>
  <c r="V372" i="1"/>
  <c r="V215" i="1"/>
  <c r="V481" i="1"/>
  <c r="V519" i="1"/>
  <c r="V542" i="1"/>
  <c r="V308" i="1"/>
  <c r="V329" i="1"/>
  <c r="V552" i="1"/>
  <c r="V505" i="1"/>
  <c r="V421" i="1"/>
  <c r="V559" i="1"/>
  <c r="V719" i="1"/>
  <c r="V1000" i="1"/>
  <c r="V1001" i="1"/>
  <c r="V1002" i="1"/>
  <c r="V718" i="1"/>
  <c r="V216" i="1"/>
  <c r="V420" i="1"/>
  <c r="V316" i="1"/>
  <c r="V217" i="1"/>
  <c r="V1005" i="1"/>
  <c r="V1006" i="1"/>
  <c r="V482" i="1"/>
  <c r="V1007" i="1"/>
  <c r="V624" i="1"/>
  <c r="V717" i="1"/>
  <c r="V419" i="1"/>
  <c r="V218" i="1"/>
  <c r="V1008" i="1"/>
  <c r="V260" i="1"/>
  <c r="V1009" i="1"/>
  <c r="V1010" i="1"/>
  <c r="V259" i="1"/>
  <c r="V1011" i="1"/>
  <c r="V257" i="1"/>
  <c r="V716" i="1"/>
  <c r="V255" i="1"/>
  <c r="V1013" i="1"/>
  <c r="V418" i="1"/>
  <c r="V219" i="1"/>
  <c r="V253" i="1"/>
  <c r="V1015" i="1"/>
  <c r="V855" i="1"/>
  <c r="V715" i="1"/>
  <c r="V976" i="1"/>
  <c r="V979" i="1"/>
  <c r="V714" i="1"/>
  <c r="V854" i="1"/>
  <c r="V981" i="1"/>
  <c r="V417" i="1"/>
  <c r="V623" i="1"/>
  <c r="V982" i="1"/>
  <c r="V853" i="1"/>
  <c r="V983" i="1"/>
  <c r="V985" i="1"/>
  <c r="V713" i="1"/>
  <c r="V986" i="1"/>
  <c r="V852" i="1"/>
  <c r="V987" i="1"/>
  <c r="V416" i="1"/>
  <c r="V307" i="1"/>
  <c r="V988" i="1"/>
  <c r="V851" i="1"/>
  <c r="V989" i="1"/>
  <c r="V990" i="1"/>
  <c r="V558" i="1"/>
  <c r="V712" i="1"/>
  <c r="V850" i="1"/>
  <c r="V318" i="1"/>
  <c r="V415" i="1"/>
  <c r="V220" i="1"/>
  <c r="V991" i="1"/>
  <c r="V849" i="1"/>
  <c r="V992" i="1"/>
  <c r="V993" i="1"/>
  <c r="V994" i="1"/>
  <c r="V562" i="1"/>
  <c r="V848" i="1"/>
  <c r="V995" i="1"/>
  <c r="V414" i="1"/>
  <c r="V221" i="1"/>
  <c r="V483" i="1"/>
  <c r="V847" i="1"/>
  <c r="V711" i="1"/>
  <c r="V996" i="1"/>
  <c r="V997" i="1"/>
  <c r="V998" i="1"/>
  <c r="V846" i="1"/>
  <c r="V504" i="1"/>
  <c r="V413" i="1"/>
  <c r="V222" i="1"/>
  <c r="V999" i="1"/>
  <c r="V845" i="1"/>
  <c r="V710" i="1"/>
  <c r="V541" i="1"/>
  <c r="V1003" i="1"/>
  <c r="V1004" i="1"/>
  <c r="V844" i="1"/>
  <c r="V622" i="1"/>
  <c r="V412" i="1"/>
  <c r="V277" i="1"/>
  <c r="V709" i="1"/>
  <c r="V843" i="1"/>
  <c r="V708" i="1"/>
  <c r="V484" i="1"/>
  <c r="V1012" i="1"/>
  <c r="V574" i="1"/>
  <c r="V842" i="1"/>
  <c r="V1014" i="1"/>
  <c r="V411" i="1"/>
  <c r="V556" i="1"/>
  <c r="V707" i="1"/>
  <c r="V841" i="1"/>
  <c r="V1016" i="1"/>
  <c r="V1017" i="1"/>
  <c r="V1018" i="1"/>
  <c r="V706" i="1"/>
  <c r="V840" i="1"/>
  <c r="V1019" i="1"/>
  <c r="V410" i="1"/>
  <c r="V306" i="1"/>
  <c r="V1020" i="1"/>
  <c r="V839" i="1"/>
  <c r="V705" i="1"/>
  <c r="V1021" i="1"/>
  <c r="V485" i="1"/>
  <c r="V291" i="1"/>
  <c r="V838" i="1"/>
  <c r="V704" i="1"/>
  <c r="V409" i="1"/>
  <c r="V223" i="1"/>
  <c r="V7" i="1"/>
  <c r="V837" i="1"/>
  <c r="V10" i="1"/>
  <c r="V12" i="1"/>
  <c r="V577" i="1"/>
  <c r="V224" i="1"/>
  <c r="V836" i="1"/>
  <c r="V521" i="1"/>
  <c r="V408" i="1"/>
  <c r="V621" i="1"/>
  <c r="V703" i="1"/>
  <c r="V835" i="1"/>
  <c r="V13" i="1"/>
  <c r="V14" i="1"/>
  <c r="V17" i="1"/>
  <c r="V609" i="1"/>
  <c r="V834" i="1"/>
  <c r="H2" i="1"/>
  <c r="AE17" i="1"/>
  <c r="U138" i="1"/>
  <c r="U1029" i="1"/>
  <c r="U137" i="1"/>
  <c r="U136" i="1"/>
  <c r="U765" i="1"/>
  <c r="U1028" i="1"/>
  <c r="U665" i="1"/>
  <c r="U135" i="1"/>
  <c r="U134" i="1"/>
  <c r="U1027" i="1"/>
  <c r="U666" i="1"/>
  <c r="U764" i="1"/>
  <c r="U133" i="1"/>
  <c r="U1026" i="1"/>
  <c r="U132" i="1"/>
  <c r="U131" i="1"/>
  <c r="U763" i="1"/>
  <c r="U1025" i="1"/>
  <c r="U667" i="1"/>
  <c r="U89" i="1"/>
  <c r="U88" i="1"/>
  <c r="U1024" i="1"/>
  <c r="U762" i="1"/>
  <c r="U87" i="1"/>
  <c r="U668" i="1"/>
  <c r="U1023" i="1"/>
  <c r="U84" i="1"/>
  <c r="U761" i="1"/>
  <c r="U669" i="1"/>
  <c r="U1022" i="1"/>
  <c r="U535" i="1"/>
  <c r="U83" i="1"/>
  <c r="U760" i="1"/>
  <c r="U80" i="1"/>
  <c r="U975" i="1"/>
  <c r="U79" i="1"/>
  <c r="U670" i="1"/>
  <c r="U759" i="1"/>
  <c r="U974" i="1"/>
  <c r="U73" i="1"/>
  <c r="U72" i="1"/>
  <c r="U71" i="1"/>
  <c r="U973" i="1"/>
  <c r="U758" i="1"/>
  <c r="U671" i="1"/>
  <c r="U69" i="1"/>
  <c r="U972" i="1"/>
  <c r="U66" i="1"/>
  <c r="U757" i="1"/>
  <c r="U332" i="1"/>
  <c r="U971" i="1"/>
  <c r="U62" i="1"/>
  <c r="U672" i="1"/>
  <c r="U756" i="1"/>
  <c r="U970" i="1"/>
  <c r="U61" i="1"/>
  <c r="U60" i="1"/>
  <c r="U54" i="1"/>
  <c r="U969" i="1"/>
  <c r="U755" i="1"/>
  <c r="U328" i="1"/>
  <c r="U53" i="1"/>
  <c r="U968" i="1"/>
  <c r="U52" i="1"/>
  <c r="U754" i="1"/>
  <c r="U673" i="1"/>
  <c r="U967" i="1"/>
  <c r="U45" i="1"/>
  <c r="U252" i="1"/>
  <c r="U753" i="1"/>
  <c r="U966" i="1"/>
  <c r="U43" i="1"/>
  <c r="U254" i="1"/>
  <c r="U42" i="1"/>
  <c r="U965" i="1"/>
  <c r="U752" i="1"/>
  <c r="U325" i="1"/>
  <c r="U41" i="1"/>
  <c r="U964" i="1"/>
  <c r="U536" i="1"/>
  <c r="U751" i="1"/>
  <c r="U324" i="1"/>
  <c r="U963" i="1"/>
  <c r="U38" i="1"/>
  <c r="U258" i="1"/>
  <c r="U750" i="1"/>
  <c r="U962" i="1"/>
  <c r="U37" i="1"/>
  <c r="U314" i="1"/>
  <c r="U26" i="1"/>
  <c r="U961" i="1"/>
  <c r="U749" i="1"/>
  <c r="U317" i="1"/>
  <c r="U320" i="1"/>
  <c r="U960" i="1"/>
  <c r="U19" i="1"/>
  <c r="U748" i="1"/>
  <c r="U330" i="1"/>
  <c r="U959" i="1"/>
  <c r="U14" i="1"/>
  <c r="U13" i="1"/>
  <c r="U747" i="1"/>
  <c r="U958" i="1"/>
  <c r="U12" i="1"/>
  <c r="U8" i="1"/>
  <c r="U335" i="1"/>
  <c r="U957" i="1"/>
  <c r="U746" i="1"/>
  <c r="U7" i="1"/>
  <c r="U6" i="1"/>
  <c r="U956" i="1"/>
  <c r="U5" i="1"/>
  <c r="U745" i="1"/>
  <c r="U4" i="1"/>
  <c r="U955" i="1"/>
  <c r="U130" i="1"/>
  <c r="U129" i="1"/>
  <c r="U744" i="1"/>
  <c r="U954" i="1"/>
  <c r="U445" i="1"/>
  <c r="U446" i="1"/>
  <c r="U128" i="1"/>
  <c r="U953" i="1"/>
  <c r="U743" i="1"/>
  <c r="U259" i="1"/>
  <c r="U127" i="1"/>
  <c r="U952" i="1"/>
  <c r="U537" i="1"/>
  <c r="U126" i="1"/>
  <c r="U125" i="1"/>
  <c r="U951" i="1"/>
  <c r="U740" i="1"/>
  <c r="U124" i="1"/>
  <c r="U123" i="1"/>
  <c r="U950" i="1"/>
  <c r="U122" i="1"/>
  <c r="U121" i="1"/>
  <c r="U736" i="1"/>
  <c r="U949" i="1"/>
  <c r="U570" i="1"/>
  <c r="U120" i="1"/>
  <c r="U510" i="1"/>
  <c r="U948" i="1"/>
  <c r="U678" i="1"/>
  <c r="U676" i="1"/>
  <c r="U119" i="1"/>
  <c r="U947" i="1"/>
  <c r="U675" i="1"/>
  <c r="U118" i="1"/>
  <c r="U117" i="1"/>
  <c r="U946" i="1"/>
  <c r="U568" i="1"/>
  <c r="U679" i="1"/>
  <c r="U567" i="1"/>
  <c r="U945" i="1"/>
  <c r="U565" i="1"/>
  <c r="U563" i="1"/>
  <c r="U116" i="1"/>
  <c r="U944" i="1"/>
  <c r="U115" i="1"/>
  <c r="U114" i="1"/>
  <c r="U681" i="1"/>
  <c r="U943" i="1"/>
  <c r="U492" i="1"/>
  <c r="U113" i="1"/>
  <c r="U112" i="1"/>
  <c r="U942" i="1"/>
  <c r="U111" i="1"/>
  <c r="U682" i="1"/>
  <c r="U447" i="1"/>
  <c r="U941" i="1"/>
  <c r="U110" i="1"/>
  <c r="U538" i="1"/>
  <c r="U109" i="1"/>
  <c r="U940" i="1"/>
  <c r="U683" i="1"/>
  <c r="U108" i="1"/>
  <c r="U107" i="1"/>
  <c r="U939" i="1"/>
  <c r="U106" i="1"/>
  <c r="U684" i="1"/>
  <c r="U491" i="1"/>
  <c r="U938" i="1"/>
  <c r="U105" i="1"/>
  <c r="U104" i="1"/>
  <c r="U378" i="1"/>
  <c r="U937" i="1"/>
  <c r="U374" i="1"/>
  <c r="U685" i="1"/>
  <c r="U103" i="1"/>
  <c r="U936" i="1"/>
  <c r="U372" i="1"/>
  <c r="U102" i="1"/>
  <c r="U101" i="1"/>
  <c r="U935" i="1"/>
  <c r="U686" i="1"/>
  <c r="U100" i="1"/>
  <c r="U326" i="1"/>
  <c r="U934" i="1"/>
  <c r="U99" i="1"/>
  <c r="U322" i="1"/>
  <c r="U687" i="1"/>
  <c r="U933" i="1"/>
  <c r="U98" i="1"/>
  <c r="U490" i="1"/>
  <c r="U316" i="1"/>
  <c r="U932" i="1"/>
  <c r="U97" i="1"/>
  <c r="U96" i="1"/>
  <c r="U688" i="1"/>
  <c r="U931" i="1"/>
  <c r="U95" i="1"/>
  <c r="U94" i="1"/>
  <c r="U689" i="1"/>
  <c r="U930" i="1"/>
  <c r="U93" i="1"/>
  <c r="U539" i="1"/>
  <c r="U92" i="1"/>
  <c r="U929" i="1"/>
  <c r="U91" i="1"/>
  <c r="U690" i="1"/>
  <c r="U734" i="1"/>
  <c r="U928" i="1"/>
  <c r="U90" i="1"/>
  <c r="U86" i="1"/>
  <c r="U691" i="1"/>
  <c r="U927" i="1"/>
  <c r="U733" i="1"/>
  <c r="U85" i="1"/>
  <c r="U489" i="1"/>
  <c r="U926" i="1"/>
  <c r="U82" i="1"/>
  <c r="U732" i="1"/>
  <c r="U81" i="1"/>
  <c r="U925" i="1"/>
  <c r="U692" i="1"/>
  <c r="U77" i="1"/>
  <c r="U731" i="1"/>
  <c r="U924" i="1"/>
  <c r="U74" i="1"/>
  <c r="U519" i="1"/>
  <c r="U693" i="1"/>
  <c r="U923" i="1"/>
  <c r="U730" i="1"/>
  <c r="U488" i="1"/>
  <c r="U64" i="1"/>
  <c r="U922" i="1"/>
  <c r="U694" i="1"/>
  <c r="U729" i="1"/>
  <c r="U59" i="1"/>
  <c r="U921" i="1"/>
  <c r="U58" i="1"/>
  <c r="U57" i="1"/>
  <c r="U728" i="1"/>
  <c r="U920" i="1"/>
  <c r="U56" i="1"/>
  <c r="U55" i="1"/>
  <c r="U695" i="1"/>
  <c r="U919" i="1"/>
  <c r="U727" i="1"/>
  <c r="U51" i="1"/>
  <c r="U50" i="1"/>
  <c r="U918" i="1"/>
  <c r="U487" i="1"/>
  <c r="U726" i="1"/>
  <c r="U49" i="1"/>
  <c r="U917" i="1"/>
  <c r="U48" i="1"/>
  <c r="U696" i="1"/>
  <c r="U725" i="1"/>
  <c r="U916" i="1"/>
  <c r="U47" i="1"/>
  <c r="U46" i="1"/>
  <c r="U540" i="1"/>
  <c r="U868" i="1"/>
  <c r="U724" i="1"/>
  <c r="U44" i="1"/>
  <c r="U697" i="1"/>
  <c r="U479" i="1"/>
  <c r="U865" i="1"/>
  <c r="U40" i="1"/>
  <c r="U864" i="1"/>
  <c r="U39" i="1"/>
  <c r="U698" i="1"/>
  <c r="U36" i="1"/>
  <c r="U862" i="1"/>
  <c r="U478" i="1"/>
  <c r="U35" i="1"/>
  <c r="U34" i="1"/>
  <c r="U860" i="1"/>
  <c r="U699" i="1"/>
  <c r="U33" i="1"/>
  <c r="U477" i="1"/>
  <c r="U858" i="1"/>
  <c r="U32" i="1"/>
  <c r="U857" i="1"/>
  <c r="U508" i="1"/>
  <c r="U486" i="1"/>
  <c r="U700" i="1"/>
  <c r="U29" i="1"/>
  <c r="U28" i="1"/>
  <c r="U816" i="1"/>
  <c r="U27" i="1"/>
  <c r="U25" i="1"/>
  <c r="U814" i="1"/>
  <c r="U474" i="1"/>
  <c r="U813" i="1"/>
  <c r="U701" i="1"/>
  <c r="U20" i="1"/>
  <c r="U473" i="1"/>
  <c r="U811" i="1"/>
  <c r="U702" i="1"/>
  <c r="U810" i="1"/>
  <c r="U18" i="1"/>
  <c r="U472" i="1"/>
  <c r="U808" i="1"/>
  <c r="U544" i="1"/>
  <c r="U807" i="1"/>
  <c r="U471" i="1"/>
  <c r="U15" i="1"/>
  <c r="U805" i="1"/>
  <c r="U703" i="1"/>
  <c r="U804" i="1"/>
  <c r="U469" i="1"/>
  <c r="U11" i="1"/>
  <c r="U704" i="1"/>
  <c r="U468" i="1"/>
  <c r="U509" i="1"/>
  <c r="U705" i="1"/>
  <c r="U799" i="1"/>
  <c r="U1021" i="1"/>
  <c r="U798" i="1"/>
  <c r="U485" i="1"/>
  <c r="U1020" i="1"/>
  <c r="U796" i="1"/>
  <c r="U545" i="1"/>
  <c r="U1019" i="1"/>
  <c r="U464" i="1"/>
  <c r="U706" i="1"/>
  <c r="U739" i="1"/>
  <c r="U738" i="1"/>
  <c r="U1018" i="1"/>
  <c r="U1017" i="1"/>
  <c r="U707" i="1"/>
  <c r="U462" i="1"/>
  <c r="U1016" i="1"/>
  <c r="U1015" i="1"/>
  <c r="U541" i="1"/>
  <c r="U461" i="1"/>
  <c r="U546" i="1"/>
  <c r="U1013" i="1"/>
  <c r="U674" i="1"/>
  <c r="U571" i="1"/>
  <c r="U459" i="1"/>
  <c r="U708" i="1"/>
  <c r="U1011" i="1"/>
  <c r="U458" i="1"/>
  <c r="U484" i="1"/>
  <c r="U560" i="1"/>
  <c r="U1010" i="1"/>
  <c r="U555" i="1"/>
  <c r="U457" i="1"/>
  <c r="U1007" i="1"/>
  <c r="U709" i="1"/>
  <c r="U1002" i="1"/>
  <c r="U455" i="1"/>
  <c r="U438" i="1"/>
  <c r="U1001" i="1"/>
  <c r="U437" i="1"/>
  <c r="U547" i="1"/>
  <c r="U435" i="1"/>
  <c r="U507" i="1"/>
  <c r="U710" i="1"/>
  <c r="U433" i="1"/>
  <c r="U1000" i="1"/>
  <c r="U453" i="1"/>
  <c r="U711" i="1"/>
  <c r="U712" i="1"/>
  <c r="U373" i="1"/>
  <c r="U333" i="1"/>
  <c r="U713" i="1"/>
  <c r="U714" i="1"/>
  <c r="U483" i="1"/>
  <c r="U980" i="1"/>
  <c r="U978" i="1"/>
  <c r="U318" i="1"/>
  <c r="U977" i="1"/>
  <c r="U715" i="1"/>
  <c r="U1014" i="1"/>
  <c r="U313" i="1"/>
  <c r="U449" i="1"/>
  <c r="U716" i="1"/>
  <c r="U257" i="1"/>
  <c r="U253" i="1"/>
  <c r="U915" i="1"/>
  <c r="U1012" i="1"/>
  <c r="U1009" i="1"/>
  <c r="U717" i="1"/>
  <c r="U914" i="1"/>
  <c r="U520" i="1"/>
  <c r="U432" i="1"/>
  <c r="U1008" i="1"/>
  <c r="U913" i="1"/>
  <c r="U1006" i="1"/>
  <c r="U1005" i="1"/>
  <c r="U548" i="1"/>
  <c r="U912" i="1"/>
  <c r="U431" i="1"/>
  <c r="U718" i="1"/>
  <c r="U482" i="1"/>
  <c r="U911" i="1"/>
  <c r="U1004" i="1"/>
  <c r="U1003" i="1"/>
  <c r="U719" i="1"/>
  <c r="U910" i="1"/>
  <c r="U515" i="1"/>
  <c r="U430" i="1"/>
  <c r="U999" i="1"/>
  <c r="U909" i="1"/>
  <c r="U998" i="1"/>
  <c r="U542" i="1"/>
  <c r="U997" i="1"/>
  <c r="U908" i="1"/>
  <c r="U549" i="1"/>
  <c r="U429" i="1"/>
  <c r="U996" i="1"/>
  <c r="U907" i="1"/>
  <c r="U995" i="1"/>
  <c r="U994" i="1"/>
  <c r="U720" i="1"/>
  <c r="U906" i="1"/>
  <c r="U506" i="1"/>
  <c r="U428" i="1"/>
  <c r="U993" i="1"/>
  <c r="U905" i="1"/>
  <c r="U481" i="1"/>
  <c r="U992" i="1"/>
  <c r="U991" i="1"/>
  <c r="U904" i="1"/>
  <c r="U990" i="1"/>
  <c r="U989" i="1"/>
  <c r="U427" i="1"/>
  <c r="U903" i="1"/>
  <c r="U721" i="1"/>
  <c r="U988" i="1"/>
  <c r="U987" i="1"/>
  <c r="U902" i="1"/>
  <c r="U550" i="1"/>
  <c r="U986" i="1"/>
  <c r="U426" i="1"/>
  <c r="U901" i="1"/>
  <c r="U985" i="1"/>
  <c r="U480" i="1"/>
  <c r="U984" i="1"/>
  <c r="U900" i="1"/>
  <c r="U722" i="1"/>
  <c r="U983" i="1"/>
  <c r="U982" i="1"/>
  <c r="U899" i="1"/>
  <c r="U425" i="1"/>
  <c r="U981" i="1"/>
  <c r="U979" i="1"/>
  <c r="U898" i="1"/>
  <c r="U723" i="1"/>
  <c r="U543" i="1"/>
  <c r="U551" i="1"/>
  <c r="U897" i="1"/>
  <c r="U976" i="1"/>
  <c r="U424" i="1"/>
  <c r="U376" i="1"/>
  <c r="U896" i="1"/>
  <c r="U375" i="1"/>
  <c r="U423" i="1"/>
  <c r="U422" i="1"/>
  <c r="U895" i="1"/>
  <c r="U552" i="1"/>
  <c r="U421" i="1"/>
  <c r="U505" i="1"/>
  <c r="U894" i="1"/>
  <c r="U420" i="1"/>
  <c r="U553" i="1"/>
  <c r="U419" i="1"/>
  <c r="U893" i="1"/>
  <c r="U418" i="1"/>
  <c r="U417" i="1"/>
  <c r="U416" i="1"/>
  <c r="U892" i="1"/>
  <c r="U521" i="1"/>
  <c r="U415" i="1"/>
  <c r="U414" i="1"/>
  <c r="U891" i="1"/>
  <c r="U413" i="1"/>
  <c r="U504" i="1"/>
  <c r="U412" i="1"/>
  <c r="U890" i="1"/>
  <c r="U411" i="1"/>
  <c r="U410" i="1"/>
  <c r="U576" i="1"/>
  <c r="U889" i="1"/>
  <c r="U409" i="1"/>
  <c r="U578" i="1"/>
  <c r="U408" i="1"/>
  <c r="U888" i="1"/>
  <c r="U579" i="1"/>
  <c r="U407" i="1"/>
  <c r="U406" i="1"/>
  <c r="U887" i="1"/>
  <c r="U405" i="1"/>
  <c r="U503" i="1"/>
  <c r="U404" i="1"/>
  <c r="U886" i="1"/>
  <c r="U403" i="1"/>
  <c r="U402" i="1"/>
  <c r="U583" i="1"/>
  <c r="U766" i="1"/>
  <c r="U885" i="1"/>
  <c r="U401" i="1"/>
  <c r="U400" i="1"/>
  <c r="U584" i="1"/>
  <c r="U884" i="1"/>
  <c r="U399" i="1"/>
  <c r="U398" i="1"/>
  <c r="U632" i="1"/>
  <c r="U883" i="1"/>
  <c r="U397" i="1"/>
  <c r="U585" i="1"/>
  <c r="U502" i="1"/>
  <c r="U882" i="1"/>
  <c r="U396" i="1"/>
  <c r="U395" i="1"/>
  <c r="U586" i="1"/>
  <c r="U881" i="1"/>
  <c r="U394" i="1"/>
  <c r="U393" i="1"/>
  <c r="U522" i="1"/>
  <c r="U880" i="1"/>
  <c r="U392" i="1"/>
  <c r="U587" i="1"/>
  <c r="U391" i="1"/>
  <c r="U879" i="1"/>
  <c r="U517" i="1"/>
  <c r="U390" i="1"/>
  <c r="U588" i="1"/>
  <c r="U878" i="1"/>
  <c r="U389" i="1"/>
  <c r="U501" i="1"/>
  <c r="U388" i="1"/>
  <c r="U877" i="1"/>
  <c r="U387" i="1"/>
  <c r="U589" i="1"/>
  <c r="U386" i="1"/>
  <c r="U876" i="1"/>
  <c r="U385" i="1"/>
  <c r="U590" i="1"/>
  <c r="U384" i="1"/>
  <c r="U875" i="1"/>
  <c r="U383" i="1"/>
  <c r="U516" i="1"/>
  <c r="U382" i="1"/>
  <c r="U874" i="1"/>
  <c r="U591" i="1"/>
  <c r="U381" i="1"/>
  <c r="U500" i="1"/>
  <c r="U873" i="1"/>
  <c r="U380" i="1"/>
  <c r="U379" i="1"/>
  <c r="U592" i="1"/>
  <c r="U872" i="1"/>
  <c r="U371" i="1"/>
  <c r="U593" i="1"/>
  <c r="U370" i="1"/>
  <c r="U871" i="1"/>
  <c r="U523" i="1"/>
  <c r="U369" i="1"/>
  <c r="U368" i="1"/>
  <c r="U870" i="1"/>
  <c r="U594" i="1"/>
  <c r="U367" i="1"/>
  <c r="U499" i="1"/>
  <c r="U869" i="1"/>
  <c r="U366" i="1"/>
  <c r="U595" i="1"/>
  <c r="U365" i="1"/>
  <c r="U364" i="1"/>
  <c r="U363" i="1"/>
  <c r="U867" i="1"/>
  <c r="U596" i="1"/>
  <c r="U866" i="1"/>
  <c r="U362" i="1"/>
  <c r="U361" i="1"/>
  <c r="U597" i="1"/>
  <c r="U514" i="1"/>
  <c r="U360" i="1"/>
  <c r="U359" i="1"/>
  <c r="U863" i="1"/>
  <c r="U498" i="1"/>
  <c r="U358" i="1"/>
  <c r="U598" i="1"/>
  <c r="U861" i="1"/>
  <c r="U357" i="1"/>
  <c r="U356" i="1"/>
  <c r="U859" i="1"/>
  <c r="U599" i="1"/>
  <c r="U355" i="1"/>
  <c r="U354" i="1"/>
  <c r="U353" i="1"/>
  <c r="U600" i="1"/>
  <c r="U856" i="1"/>
  <c r="U352" i="1"/>
  <c r="U351" i="1"/>
  <c r="U817" i="1"/>
  <c r="U601" i="1"/>
  <c r="U497" i="1"/>
  <c r="U350" i="1"/>
  <c r="U349" i="1"/>
  <c r="U348" i="1"/>
  <c r="U602" i="1"/>
  <c r="U347" i="1"/>
  <c r="U812" i="1"/>
  <c r="U524" i="1"/>
  <c r="U346" i="1"/>
  <c r="U603" i="1"/>
  <c r="U809" i="1"/>
  <c r="U345" i="1"/>
  <c r="U344" i="1"/>
  <c r="U343" i="1"/>
  <c r="U604" i="1"/>
  <c r="U806" i="1"/>
  <c r="U496" i="1"/>
  <c r="U342" i="1"/>
  <c r="U341" i="1"/>
  <c r="U605" i="1"/>
  <c r="U803" i="1"/>
  <c r="U340" i="1"/>
  <c r="U802" i="1"/>
  <c r="U339" i="1"/>
  <c r="U338" i="1"/>
  <c r="U606" i="1"/>
  <c r="U800" i="1"/>
  <c r="U337" i="1"/>
  <c r="U336" i="1"/>
  <c r="U607" i="1"/>
  <c r="U495" i="1"/>
  <c r="U311" i="1"/>
  <c r="U797" i="1"/>
  <c r="U310" i="1"/>
  <c r="U309" i="1"/>
  <c r="U608" i="1"/>
  <c r="U795" i="1"/>
  <c r="U308" i="1"/>
  <c r="U742" i="1"/>
  <c r="U307" i="1"/>
  <c r="U609" i="1"/>
  <c r="U525" i="1"/>
  <c r="U306" i="1"/>
  <c r="U737" i="1"/>
  <c r="U305" i="1"/>
  <c r="U304" i="1"/>
  <c r="U610" i="1"/>
  <c r="U680" i="1"/>
  <c r="U494" i="1"/>
  <c r="U303" i="1"/>
  <c r="U302" i="1"/>
  <c r="U611" i="1"/>
  <c r="U572" i="1"/>
  <c r="U301" i="1"/>
  <c r="U300" i="1"/>
  <c r="U299" i="1"/>
  <c r="U612" i="1"/>
  <c r="U298" i="1"/>
  <c r="U564" i="1"/>
  <c r="U297" i="1"/>
  <c r="U562" i="1"/>
  <c r="U613" i="1"/>
  <c r="U559" i="1"/>
  <c r="U558" i="1"/>
  <c r="U557" i="1"/>
  <c r="U296" i="1"/>
  <c r="U493" i="1"/>
  <c r="U295" i="1"/>
  <c r="U256" i="1"/>
  <c r="U294" i="1"/>
  <c r="U293" i="1"/>
  <c r="U292" i="1"/>
  <c r="U291" i="1"/>
  <c r="U442" i="1"/>
  <c r="U290" i="1"/>
  <c r="U440" i="1"/>
  <c r="U439" i="1"/>
  <c r="U289" i="1"/>
  <c r="U288" i="1"/>
  <c r="U436" i="1"/>
  <c r="U534" i="1"/>
  <c r="U434" i="1"/>
  <c r="U329" i="1"/>
  <c r="U287" i="1"/>
  <c r="U526" i="1"/>
  <c r="U377" i="1"/>
  <c r="U286" i="1"/>
  <c r="U285" i="1"/>
  <c r="U476" i="1"/>
  <c r="U284" i="1"/>
  <c r="U283" i="1"/>
  <c r="U334" i="1"/>
  <c r="U331" i="1"/>
  <c r="U282" i="1"/>
  <c r="U281" i="1"/>
  <c r="U441" i="1"/>
  <c r="U280" i="1"/>
  <c r="U443" i="1"/>
  <c r="U444" i="1"/>
  <c r="U323" i="1"/>
  <c r="U475" i="1"/>
  <c r="U279" i="1"/>
  <c r="U321" i="1"/>
  <c r="U319" i="1"/>
  <c r="U278" i="1"/>
  <c r="U277" i="1"/>
  <c r="U276" i="1"/>
  <c r="U561" i="1"/>
  <c r="U315" i="1"/>
  <c r="U275" i="1"/>
  <c r="U274" i="1"/>
  <c r="U566" i="1"/>
  <c r="U312" i="1"/>
  <c r="U273" i="1"/>
  <c r="U261" i="1"/>
  <c r="U569" i="1"/>
  <c r="U260" i="1"/>
  <c r="U272" i="1"/>
  <c r="U527" i="1"/>
  <c r="U271" i="1"/>
  <c r="U255" i="1"/>
  <c r="U573" i="1"/>
  <c r="U270" i="1"/>
  <c r="U269" i="1"/>
  <c r="U855" i="1"/>
  <c r="U574" i="1"/>
  <c r="U268" i="1"/>
  <c r="U267" i="1"/>
  <c r="U854" i="1"/>
  <c r="U575" i="1"/>
  <c r="U266" i="1"/>
  <c r="U265" i="1"/>
  <c r="U853" i="1"/>
  <c r="U264" i="1"/>
  <c r="U577" i="1"/>
  <c r="U263" i="1"/>
  <c r="U852" i="1"/>
  <c r="U262" i="1"/>
  <c r="U251" i="1"/>
  <c r="U250" i="1"/>
  <c r="U851" i="1"/>
  <c r="U513" i="1"/>
  <c r="U249" i="1"/>
  <c r="U248" i="1"/>
  <c r="U850" i="1"/>
  <c r="U580" i="1"/>
  <c r="U247" i="1"/>
  <c r="U581" i="1"/>
  <c r="U849" i="1"/>
  <c r="U246" i="1"/>
  <c r="U245" i="1"/>
  <c r="U582" i="1"/>
  <c r="U848" i="1"/>
  <c r="U528" i="1"/>
  <c r="U244" i="1"/>
  <c r="U243" i="1"/>
  <c r="U847" i="1"/>
  <c r="U614" i="1"/>
  <c r="U470" i="1"/>
  <c r="U242" i="1"/>
  <c r="U846" i="1"/>
  <c r="U241" i="1"/>
  <c r="U615" i="1"/>
  <c r="U240" i="1"/>
  <c r="U845" i="1"/>
  <c r="U239" i="1"/>
  <c r="U238" i="1"/>
  <c r="U616" i="1"/>
  <c r="U844" i="1"/>
  <c r="U237" i="1"/>
  <c r="U236" i="1"/>
  <c r="U617" i="1"/>
  <c r="U843" i="1"/>
  <c r="U235" i="1"/>
  <c r="U234" i="1"/>
  <c r="U233" i="1"/>
  <c r="U842" i="1"/>
  <c r="U618" i="1"/>
  <c r="U232" i="1"/>
  <c r="U231" i="1"/>
  <c r="U841" i="1"/>
  <c r="U619" i="1"/>
  <c r="U230" i="1"/>
  <c r="U229" i="1"/>
  <c r="U840" i="1"/>
  <c r="U228" i="1"/>
  <c r="U620" i="1"/>
  <c r="U227" i="1"/>
  <c r="U839" i="1"/>
  <c r="U467" i="1"/>
  <c r="U226" i="1"/>
  <c r="U621" i="1"/>
  <c r="U838" i="1"/>
  <c r="U225" i="1"/>
  <c r="U224" i="1"/>
  <c r="U223" i="1"/>
  <c r="U837" i="1"/>
  <c r="U622" i="1"/>
  <c r="U222" i="1"/>
  <c r="U466" i="1"/>
  <c r="U836" i="1"/>
  <c r="U221" i="1"/>
  <c r="U623" i="1"/>
  <c r="U220" i="1"/>
  <c r="U835" i="1"/>
  <c r="U219" i="1"/>
  <c r="U529" i="1"/>
  <c r="U218" i="1"/>
  <c r="U834" i="1"/>
  <c r="U624" i="1"/>
  <c r="U217" i="1"/>
  <c r="U465" i="1"/>
  <c r="U833" i="1"/>
  <c r="U216" i="1"/>
  <c r="U625" i="1"/>
  <c r="U215" i="1"/>
  <c r="U832" i="1"/>
  <c r="U214" i="1"/>
  <c r="U213" i="1"/>
  <c r="U626" i="1"/>
  <c r="U831" i="1"/>
  <c r="U212" i="1"/>
  <c r="U211" i="1"/>
  <c r="U627" i="1"/>
  <c r="U830" i="1"/>
  <c r="U210" i="1"/>
  <c r="U209" i="1"/>
  <c r="U208" i="1"/>
  <c r="U829" i="1"/>
  <c r="U628" i="1"/>
  <c r="U207" i="1"/>
  <c r="U463" i="1"/>
  <c r="U828" i="1"/>
  <c r="U206" i="1"/>
  <c r="U629" i="1"/>
  <c r="U205" i="1"/>
  <c r="U827" i="1"/>
  <c r="U204" i="1"/>
  <c r="U203" i="1"/>
  <c r="U630" i="1"/>
  <c r="U826" i="1"/>
  <c r="U512" i="1"/>
  <c r="U202" i="1"/>
  <c r="U201" i="1"/>
  <c r="U825" i="1"/>
  <c r="U631" i="1"/>
  <c r="U200" i="1"/>
  <c r="U199" i="1"/>
  <c r="U824" i="1"/>
  <c r="U198" i="1"/>
  <c r="U197" i="1"/>
  <c r="U196" i="1"/>
  <c r="U823" i="1"/>
  <c r="U633" i="1"/>
  <c r="U195" i="1"/>
  <c r="U194" i="1"/>
  <c r="U822" i="1"/>
  <c r="U530" i="1"/>
  <c r="U193" i="1"/>
  <c r="U634" i="1"/>
  <c r="U821" i="1"/>
  <c r="U192" i="1"/>
  <c r="U460" i="1"/>
  <c r="U191" i="1"/>
  <c r="U820" i="1"/>
  <c r="U78" i="1"/>
  <c r="U635" i="1"/>
  <c r="U76" i="1"/>
  <c r="U819" i="1"/>
  <c r="U75" i="1"/>
  <c r="U636" i="1"/>
  <c r="U70" i="1"/>
  <c r="U818" i="1"/>
  <c r="U68" i="1"/>
  <c r="U67" i="1"/>
  <c r="U637" i="1"/>
  <c r="U65" i="1"/>
  <c r="U815" i="1"/>
  <c r="U63" i="1"/>
  <c r="U638" i="1"/>
  <c r="U639" i="1"/>
  <c r="U640" i="1"/>
  <c r="U31" i="1"/>
  <c r="U30" i="1"/>
  <c r="U24" i="1"/>
  <c r="U23" i="1"/>
  <c r="U22" i="1"/>
  <c r="U801" i="1"/>
  <c r="U641" i="1"/>
  <c r="U21" i="1"/>
  <c r="U741" i="1"/>
  <c r="U17" i="1"/>
  <c r="U16" i="1"/>
  <c r="U642" i="1"/>
  <c r="U735" i="1"/>
  <c r="U677" i="1"/>
  <c r="U10" i="1"/>
  <c r="U556" i="1"/>
  <c r="U554" i="1"/>
  <c r="U327" i="1"/>
  <c r="U9" i="1"/>
  <c r="U794" i="1"/>
  <c r="U643" i="1"/>
  <c r="U190" i="1"/>
  <c r="U189" i="1"/>
  <c r="U793" i="1"/>
  <c r="U531" i="1"/>
  <c r="U188" i="1"/>
  <c r="U644" i="1"/>
  <c r="U792" i="1"/>
  <c r="U518" i="1"/>
  <c r="U187" i="1"/>
  <c r="U186" i="1"/>
  <c r="U791" i="1"/>
  <c r="U645" i="1"/>
  <c r="U456" i="1"/>
  <c r="U185" i="1"/>
  <c r="U790" i="1"/>
  <c r="U184" i="1"/>
  <c r="U183" i="1"/>
  <c r="U646" i="1"/>
  <c r="U789" i="1"/>
  <c r="U182" i="1"/>
  <c r="U181" i="1"/>
  <c r="U647" i="1"/>
  <c r="U788" i="1"/>
  <c r="U180" i="1"/>
  <c r="U179" i="1"/>
  <c r="U178" i="1"/>
  <c r="U787" i="1"/>
  <c r="U648" i="1"/>
  <c r="U177" i="1"/>
  <c r="U454" i="1"/>
  <c r="U786" i="1"/>
  <c r="U176" i="1"/>
  <c r="U649" i="1"/>
  <c r="U175" i="1"/>
  <c r="U785" i="1"/>
  <c r="U174" i="1"/>
  <c r="U173" i="1"/>
  <c r="U650" i="1"/>
  <c r="U784" i="1"/>
  <c r="U172" i="1"/>
  <c r="U171" i="1"/>
  <c r="U651" i="1"/>
  <c r="U783" i="1"/>
  <c r="U170" i="1"/>
  <c r="U169" i="1"/>
  <c r="U652" i="1"/>
  <c r="U782" i="1"/>
  <c r="U168" i="1"/>
  <c r="U452" i="1"/>
  <c r="U167" i="1"/>
  <c r="U781" i="1"/>
  <c r="U166" i="1"/>
  <c r="U653" i="1"/>
  <c r="U165" i="1"/>
  <c r="U780" i="1"/>
  <c r="U532" i="1"/>
  <c r="U164" i="1"/>
  <c r="U654" i="1"/>
  <c r="U779" i="1"/>
  <c r="U163" i="1"/>
  <c r="U162" i="1"/>
  <c r="U451" i="1"/>
  <c r="U778" i="1"/>
  <c r="U161" i="1"/>
  <c r="U655" i="1"/>
  <c r="U160" i="1"/>
  <c r="U777" i="1"/>
  <c r="U159" i="1"/>
  <c r="U656" i="1"/>
  <c r="U158" i="1"/>
  <c r="U776" i="1"/>
  <c r="U450" i="1"/>
  <c r="U157" i="1"/>
  <c r="U156" i="1"/>
  <c r="U775" i="1"/>
  <c r="U657" i="1"/>
  <c r="U155" i="1"/>
  <c r="U154" i="1"/>
  <c r="U774" i="1"/>
  <c r="U658" i="1"/>
  <c r="U153" i="1"/>
  <c r="U152" i="1"/>
  <c r="U773" i="1"/>
  <c r="U533" i="1"/>
  <c r="U151" i="1"/>
  <c r="U659" i="1"/>
  <c r="U772" i="1"/>
  <c r="U448" i="1"/>
  <c r="U150" i="1"/>
  <c r="U149" i="1"/>
  <c r="U771" i="1"/>
  <c r="U660" i="1"/>
  <c r="U148" i="1"/>
  <c r="U147" i="1"/>
  <c r="U770" i="1"/>
  <c r="U146" i="1"/>
  <c r="U661" i="1"/>
  <c r="U145" i="1"/>
  <c r="U769" i="1"/>
  <c r="U144" i="1"/>
  <c r="U662" i="1"/>
  <c r="U143" i="1"/>
  <c r="U768" i="1"/>
  <c r="U511" i="1"/>
  <c r="U142" i="1"/>
  <c r="U141" i="1"/>
  <c r="U767" i="1"/>
  <c r="U663" i="1"/>
  <c r="U140" i="1"/>
  <c r="U139" i="1"/>
  <c r="U664" i="1"/>
  <c r="F2" i="1"/>
  <c r="T352" i="1"/>
  <c r="T1029" i="1"/>
  <c r="T214" i="1"/>
  <c r="T980" i="1"/>
  <c r="T1028" i="1"/>
  <c r="T347" i="1"/>
  <c r="T423" i="1"/>
  <c r="T1027" i="1"/>
  <c r="T261" i="1"/>
  <c r="T465" i="1"/>
  <c r="T1026" i="1"/>
  <c r="T661" i="1"/>
  <c r="T480" i="1"/>
  <c r="T1025" i="1"/>
  <c r="T626" i="1"/>
  <c r="T984" i="1"/>
  <c r="T1024" i="1"/>
  <c r="T309" i="1"/>
  <c r="T625" i="1"/>
  <c r="T1023" i="1"/>
  <c r="T188" i="1"/>
  <c r="T722" i="1"/>
  <c r="T1022" i="1"/>
  <c r="T976" i="1"/>
  <c r="T318" i="1"/>
  <c r="T216" i="1"/>
  <c r="T975" i="1"/>
  <c r="T213" i="1"/>
  <c r="T552" i="1"/>
  <c r="T974" i="1"/>
  <c r="T514" i="1"/>
  <c r="T308" i="1"/>
  <c r="T973" i="1"/>
  <c r="T615" i="1"/>
  <c r="T721" i="1"/>
  <c r="T972" i="1"/>
  <c r="T241" i="1"/>
  <c r="T481" i="1"/>
  <c r="T971" i="1"/>
  <c r="T608" i="1"/>
  <c r="T217" i="1"/>
  <c r="T970" i="1"/>
  <c r="T147" i="1"/>
  <c r="T515" i="1"/>
  <c r="T969" i="1"/>
  <c r="T267" i="1"/>
  <c r="T276" i="1"/>
  <c r="T968" i="1"/>
  <c r="T275" i="1"/>
  <c r="T422" i="1"/>
  <c r="T967" i="1"/>
  <c r="T212" i="1"/>
  <c r="T518" i="1"/>
  <c r="T966" i="1"/>
  <c r="T580" i="1"/>
  <c r="T720" i="1"/>
  <c r="T965" i="1"/>
  <c r="T39" i="1"/>
  <c r="T998" i="1"/>
  <c r="T964" i="1"/>
  <c r="T440" i="1"/>
  <c r="T218" i="1"/>
  <c r="T963" i="1"/>
  <c r="T477" i="1"/>
  <c r="T421" i="1"/>
  <c r="T962" i="1"/>
  <c r="T257" i="1"/>
  <c r="T292" i="1"/>
  <c r="T961" i="1"/>
  <c r="T446" i="1"/>
  <c r="T1000" i="1"/>
  <c r="T960" i="1"/>
  <c r="T148" i="1"/>
  <c r="T719" i="1"/>
  <c r="T959" i="1"/>
  <c r="T211" i="1"/>
  <c r="T1001" i="1"/>
  <c r="T958" i="1"/>
  <c r="T187" i="1"/>
  <c r="T1002" i="1"/>
  <c r="T957" i="1"/>
  <c r="T592" i="1"/>
  <c r="T482" i="1"/>
  <c r="T956" i="1"/>
  <c r="T627" i="1"/>
  <c r="T624" i="1"/>
  <c r="T955" i="1"/>
  <c r="T470" i="1"/>
  <c r="T420" i="1"/>
  <c r="T954" i="1"/>
  <c r="T464" i="1"/>
  <c r="T718" i="1"/>
  <c r="T953" i="1"/>
  <c r="T310" i="1"/>
  <c r="T1006" i="1"/>
  <c r="T952" i="1"/>
  <c r="T173" i="1"/>
  <c r="T219" i="1"/>
  <c r="T951" i="1"/>
  <c r="T210" i="1"/>
  <c r="T1007" i="1"/>
  <c r="T950" i="1"/>
  <c r="T597" i="1"/>
  <c r="T553" i="1"/>
  <c r="T949" i="1"/>
  <c r="T255" i="1"/>
  <c r="T505" i="1"/>
  <c r="T948" i="1"/>
  <c r="T495" i="1"/>
  <c r="T419" i="1"/>
  <c r="T947" i="1"/>
  <c r="T536" i="1"/>
  <c r="T717" i="1"/>
  <c r="T946" i="1"/>
  <c r="T44" i="1"/>
  <c r="T1010" i="1"/>
  <c r="T945" i="1"/>
  <c r="T500" i="1"/>
  <c r="T1011" i="1"/>
  <c r="T944" i="1"/>
  <c r="T242" i="1"/>
  <c r="T1012" i="1"/>
  <c r="T943" i="1"/>
  <c r="T209" i="1"/>
  <c r="T1013" i="1"/>
  <c r="T942" i="1"/>
  <c r="T660" i="1"/>
  <c r="T525" i="1"/>
  <c r="T941" i="1"/>
  <c r="T379" i="1"/>
  <c r="T542" i="1"/>
  <c r="T940" i="1"/>
  <c r="T652" i="1"/>
  <c r="T716" i="1"/>
  <c r="T939" i="1"/>
  <c r="T628" i="1"/>
  <c r="T418" i="1"/>
  <c r="T938" i="1"/>
  <c r="T46" i="1"/>
  <c r="T220" i="1"/>
  <c r="T937" i="1"/>
  <c r="T47" i="1"/>
  <c r="T715" i="1"/>
  <c r="T936" i="1"/>
  <c r="T474" i="1"/>
  <c r="T483" i="1"/>
  <c r="T935" i="1"/>
  <c r="T208" i="1"/>
  <c r="T979" i="1"/>
  <c r="T934" i="1"/>
  <c r="T161" i="1"/>
  <c r="T307" i="1"/>
  <c r="T933" i="1"/>
  <c r="T674" i="1"/>
  <c r="T466" i="1"/>
  <c r="T932" i="1"/>
  <c r="T317" i="1"/>
  <c r="T981" i="1"/>
  <c r="T931" i="1"/>
  <c r="T348" i="1"/>
  <c r="T982" i="1"/>
  <c r="T930" i="1"/>
  <c r="T311" i="1"/>
  <c r="T417" i="1"/>
  <c r="T929" i="1"/>
  <c r="T607" i="1"/>
  <c r="T714" i="1"/>
  <c r="T928" i="1"/>
  <c r="T335" i="1"/>
  <c r="T983" i="1"/>
  <c r="T927" i="1"/>
  <c r="T207" i="1"/>
  <c r="T985" i="1"/>
  <c r="T926" i="1"/>
  <c r="T186" i="1"/>
  <c r="T556" i="1"/>
  <c r="T925" i="1"/>
  <c r="T48" i="1"/>
  <c r="T986" i="1"/>
  <c r="T924" i="1"/>
  <c r="T49" i="1"/>
  <c r="T623" i="1"/>
  <c r="T923" i="1"/>
  <c r="T264" i="1"/>
  <c r="T987" i="1"/>
  <c r="T922" i="1"/>
  <c r="T274" i="1"/>
  <c r="T521" i="1"/>
  <c r="T921" i="1"/>
  <c r="T149" i="1"/>
  <c r="T713" i="1"/>
  <c r="T920" i="1"/>
  <c r="T645" i="1"/>
  <c r="T988" i="1"/>
  <c r="T919" i="1"/>
  <c r="T206" i="1"/>
  <c r="T416" i="1"/>
  <c r="T918" i="1"/>
  <c r="T295" i="1"/>
  <c r="T989" i="1"/>
  <c r="T917" i="1"/>
  <c r="T378" i="1"/>
  <c r="T990" i="1"/>
  <c r="T916" i="1"/>
  <c r="T629" i="1"/>
  <c r="T991" i="1"/>
  <c r="T50" i="1"/>
  <c r="T463" i="1"/>
  <c r="T415" i="1"/>
  <c r="T336" i="1"/>
  <c r="T526" i="1"/>
  <c r="T205" i="1"/>
  <c r="T863" i="1"/>
  <c r="T992" i="1"/>
  <c r="T360" i="1"/>
  <c r="T861" i="1"/>
  <c r="T712" i="1"/>
  <c r="T51" i="1"/>
  <c r="T993" i="1"/>
  <c r="T281" i="1"/>
  <c r="T994" i="1"/>
  <c r="T329" i="1"/>
  <c r="T995" i="1"/>
  <c r="T856" i="1"/>
  <c r="T414" i="1"/>
  <c r="T996" i="1"/>
  <c r="T815" i="1"/>
  <c r="T711" i="1"/>
  <c r="T997" i="1"/>
  <c r="T372" i="1"/>
  <c r="T812" i="1"/>
  <c r="T999" i="1"/>
  <c r="T297" i="1"/>
  <c r="T252" i="1"/>
  <c r="T413" i="1"/>
  <c r="T221" i="1"/>
  <c r="T204" i="1"/>
  <c r="T806" i="1"/>
  <c r="T710" i="1"/>
  <c r="T804" i="1"/>
  <c r="T185" i="1"/>
  <c r="T673" i="1"/>
  <c r="T801" i="1"/>
  <c r="T800" i="1"/>
  <c r="T355" i="1"/>
  <c r="T630" i="1"/>
  <c r="T277" i="1"/>
  <c r="T447" i="1"/>
  <c r="T58" i="1"/>
  <c r="T742" i="1"/>
  <c r="T1003" i="1"/>
  <c r="T1004" i="1"/>
  <c r="T602" i="1"/>
  <c r="T203" i="1"/>
  <c r="T573" i="1"/>
  <c r="T735" i="1"/>
  <c r="T680" i="1"/>
  <c r="T150" i="1"/>
  <c r="T676" i="1"/>
  <c r="T243" i="1"/>
  <c r="T675" i="1"/>
  <c r="T412" i="1"/>
  <c r="T570" i="1"/>
  <c r="T1005" i="1"/>
  <c r="T566" i="1"/>
  <c r="T564" i="1"/>
  <c r="T709" i="1"/>
  <c r="T559" i="1"/>
  <c r="T672" i="1"/>
  <c r="T1008" i="1"/>
  <c r="T65" i="1"/>
  <c r="T1009" i="1"/>
  <c r="T484" i="1"/>
  <c r="T222" i="1"/>
  <c r="T285" i="1"/>
  <c r="T574" i="1"/>
  <c r="T434" i="1"/>
  <c r="T456" i="1"/>
  <c r="T376" i="1"/>
  <c r="T273" i="1"/>
  <c r="T509" i="1"/>
  <c r="T332" i="1"/>
  <c r="T323" i="1"/>
  <c r="T322" i="1"/>
  <c r="T202" i="1"/>
  <c r="T708" i="1"/>
  <c r="T353" i="1"/>
  <c r="T612" i="1"/>
  <c r="T315" i="1"/>
  <c r="T259" i="1"/>
  <c r="T1014" i="1"/>
  <c r="T915" i="1"/>
  <c r="T513" i="1"/>
  <c r="T504" i="1"/>
  <c r="T914" i="1"/>
  <c r="T375" i="1"/>
  <c r="T1015" i="1"/>
  <c r="T913" i="1"/>
  <c r="T337" i="1"/>
  <c r="T609" i="1"/>
  <c r="T912" i="1"/>
  <c r="T184" i="1"/>
  <c r="T541" i="1"/>
  <c r="T911" i="1"/>
  <c r="T165" i="1"/>
  <c r="T411" i="1"/>
  <c r="T910" i="1"/>
  <c r="T201" i="1"/>
  <c r="T1016" i="1"/>
  <c r="T909" i="1"/>
  <c r="T249" i="1"/>
  <c r="T707" i="1"/>
  <c r="T908" i="1"/>
  <c r="T371" i="1"/>
  <c r="T1017" i="1"/>
  <c r="T907" i="1"/>
  <c r="T631" i="1"/>
  <c r="T1018" i="1"/>
  <c r="T906" i="1"/>
  <c r="T68" i="1"/>
  <c r="T223" i="1"/>
  <c r="T905" i="1"/>
  <c r="T172" i="1"/>
  <c r="T575" i="1"/>
  <c r="T904" i="1"/>
  <c r="T614" i="1"/>
  <c r="T1019" i="1"/>
  <c r="T903" i="1"/>
  <c r="T646" i="1"/>
  <c r="T306" i="1"/>
  <c r="T902" i="1"/>
  <c r="T200" i="1"/>
  <c r="T485" i="1"/>
  <c r="T901" i="1"/>
  <c r="T167" i="1"/>
  <c r="T706" i="1"/>
  <c r="T900" i="1"/>
  <c r="T593" i="1"/>
  <c r="T1020" i="1"/>
  <c r="T899" i="1"/>
  <c r="T151" i="1"/>
  <c r="T529" i="1"/>
  <c r="T898" i="1"/>
  <c r="T671" i="1"/>
  <c r="T410" i="1"/>
  <c r="T897" i="1"/>
  <c r="T530" i="1"/>
  <c r="T622" i="1"/>
  <c r="T896" i="1"/>
  <c r="T338" i="1"/>
  <c r="T1021" i="1"/>
  <c r="T895" i="1"/>
  <c r="T72" i="1"/>
  <c r="T705" i="1"/>
  <c r="T894" i="1"/>
  <c r="T199" i="1"/>
  <c r="T4" i="1"/>
  <c r="T893" i="1"/>
  <c r="T266" i="1"/>
  <c r="T6" i="1"/>
  <c r="T892" i="1"/>
  <c r="T244" i="1"/>
  <c r="T7" i="1"/>
  <c r="T891" i="1"/>
  <c r="T183" i="1"/>
  <c r="T224" i="1"/>
  <c r="T890" i="1"/>
  <c r="T632" i="1"/>
  <c r="T8" i="1"/>
  <c r="T889" i="1"/>
  <c r="T512" i="1"/>
  <c r="T9" i="1"/>
  <c r="T888" i="1"/>
  <c r="T523" i="1"/>
  <c r="T704" i="1"/>
  <c r="T887" i="1"/>
  <c r="T527" i="1"/>
  <c r="T408" i="1"/>
  <c r="T886" i="1"/>
  <c r="T198" i="1"/>
  <c r="T703" i="1"/>
  <c r="T885" i="1"/>
  <c r="T655" i="1"/>
  <c r="T16" i="1"/>
  <c r="T884" i="1"/>
  <c r="T409" i="1"/>
  <c r="T17" i="1"/>
  <c r="T883" i="1"/>
  <c r="T370" i="1"/>
  <c r="T407" i="1"/>
  <c r="T882" i="1"/>
  <c r="T377" i="1"/>
  <c r="T702" i="1"/>
  <c r="T881" i="1"/>
  <c r="T606" i="1"/>
  <c r="T23" i="1"/>
  <c r="T880" i="1"/>
  <c r="T283" i="1"/>
  <c r="T406" i="1"/>
  <c r="T879" i="1"/>
  <c r="T75" i="1"/>
  <c r="T25" i="1"/>
  <c r="T878" i="1"/>
  <c r="T651" i="1"/>
  <c r="T225" i="1"/>
  <c r="T877" i="1"/>
  <c r="T197" i="1"/>
  <c r="T701" i="1"/>
  <c r="T876" i="1"/>
  <c r="T579" i="1"/>
  <c r="T516" i="1"/>
  <c r="T875" i="1"/>
  <c r="T334" i="1"/>
  <c r="T486" i="1"/>
  <c r="T874" i="1"/>
  <c r="T77" i="1"/>
  <c r="T30" i="1"/>
  <c r="T873" i="1"/>
  <c r="T349" i="1"/>
  <c r="T700" i="1"/>
  <c r="T872" i="1"/>
  <c r="T461" i="1"/>
  <c r="T31" i="1"/>
  <c r="T871" i="1"/>
  <c r="T659" i="1"/>
  <c r="T405" i="1"/>
  <c r="T870" i="1"/>
  <c r="T670" i="1"/>
  <c r="T621" i="1"/>
  <c r="T869" i="1"/>
  <c r="T196" i="1"/>
  <c r="T581" i="1"/>
  <c r="T868" i="1"/>
  <c r="T226" i="1"/>
  <c r="T867" i="1"/>
  <c r="T866" i="1"/>
  <c r="T699" i="1"/>
  <c r="T865" i="1"/>
  <c r="T305" i="1"/>
  <c r="T864" i="1"/>
  <c r="T36" i="1"/>
  <c r="T182" i="1"/>
  <c r="T862" i="1"/>
  <c r="T278" i="1"/>
  <c r="T299" i="1"/>
  <c r="T860" i="1"/>
  <c r="T859" i="1"/>
  <c r="T37" i="1"/>
  <c r="T858" i="1"/>
  <c r="T633" i="1"/>
  <c r="T857" i="1"/>
  <c r="T272" i="1"/>
  <c r="T404" i="1"/>
  <c r="T453" i="1"/>
  <c r="T816" i="1"/>
  <c r="T38" i="1"/>
  <c r="T339" i="1"/>
  <c r="T152" i="1"/>
  <c r="T813" i="1"/>
  <c r="T698" i="1"/>
  <c r="T195" i="1"/>
  <c r="T811" i="1"/>
  <c r="T810" i="1"/>
  <c r="T809" i="1"/>
  <c r="T359" i="1"/>
  <c r="T807" i="1"/>
  <c r="T40" i="1"/>
  <c r="T511" i="1"/>
  <c r="T81" i="1"/>
  <c r="T82" i="1"/>
  <c r="T41" i="1"/>
  <c r="T42" i="1"/>
  <c r="T802" i="1"/>
  <c r="T369" i="1"/>
  <c r="T503" i="1"/>
  <c r="T403" i="1"/>
  <c r="T799" i="1"/>
  <c r="T43" i="1"/>
  <c r="T798" i="1"/>
  <c r="T83" i="1"/>
  <c r="T697" i="1"/>
  <c r="T796" i="1"/>
  <c r="T227" i="1"/>
  <c r="T795" i="1"/>
  <c r="T741" i="1"/>
  <c r="T438" i="1"/>
  <c r="T194" i="1"/>
  <c r="T738" i="1"/>
  <c r="T45" i="1"/>
  <c r="T736" i="1"/>
  <c r="T291" i="1"/>
  <c r="T524" i="1"/>
  <c r="T678" i="1"/>
  <c r="T669" i="1"/>
  <c r="T487" i="1"/>
  <c r="T497" i="1"/>
  <c r="T696" i="1"/>
  <c r="T568" i="1"/>
  <c r="T228" i="1"/>
  <c r="T634" i="1"/>
  <c r="T583" i="1"/>
  <c r="T293" i="1"/>
  <c r="T84" i="1"/>
  <c r="T153" i="1"/>
  <c r="T402" i="1"/>
  <c r="T448" i="1"/>
  <c r="T53" i="1"/>
  <c r="T193" i="1"/>
  <c r="T445" i="1"/>
  <c r="T610" i="1"/>
  <c r="T441" i="1"/>
  <c r="T54" i="1"/>
  <c r="T576" i="1"/>
  <c r="T695" i="1"/>
  <c r="T85" i="1"/>
  <c r="T433" i="1"/>
  <c r="T620" i="1"/>
  <c r="T540" i="1"/>
  <c r="T60" i="1"/>
  <c r="T374" i="1"/>
  <c r="T333" i="1"/>
  <c r="T229" i="1"/>
  <c r="T61" i="1"/>
  <c r="T330" i="1"/>
  <c r="T181" i="1"/>
  <c r="T694" i="1"/>
  <c r="T326" i="1"/>
  <c r="T63" i="1"/>
  <c r="T162" i="1"/>
  <c r="T340" i="1"/>
  <c r="T401" i="1"/>
  <c r="T67" i="1"/>
  <c r="T316" i="1"/>
  <c r="T449" i="1"/>
  <c r="T192" i="1"/>
  <c r="T647" i="1"/>
  <c r="T69" i="1"/>
  <c r="T594" i="1"/>
  <c r="T368" i="1"/>
  <c r="T488" i="1"/>
  <c r="T70" i="1"/>
  <c r="T658" i="1"/>
  <c r="T304" i="1"/>
  <c r="T254" i="1"/>
  <c r="T253" i="1"/>
  <c r="T855" i="1"/>
  <c r="T245" i="1"/>
  <c r="T71" i="1"/>
  <c r="T854" i="1"/>
  <c r="T154" i="1"/>
  <c r="T400" i="1"/>
  <c r="T853" i="1"/>
  <c r="T271" i="1"/>
  <c r="T693" i="1"/>
  <c r="T852" i="1"/>
  <c r="T191" i="1"/>
  <c r="T76" i="1"/>
  <c r="T851" i="1"/>
  <c r="T171" i="1"/>
  <c r="T584" i="1"/>
  <c r="T850" i="1"/>
  <c r="T79" i="1"/>
  <c r="T78" i="1"/>
  <c r="T849" i="1"/>
  <c r="T635" i="1"/>
  <c r="T522" i="1"/>
  <c r="T848" i="1"/>
  <c r="T168" i="1"/>
  <c r="T399" i="1"/>
  <c r="T847" i="1"/>
  <c r="T180" i="1"/>
  <c r="T80" i="1"/>
  <c r="T846" i="1"/>
  <c r="T605" i="1"/>
  <c r="T692" i="1"/>
  <c r="T845" i="1"/>
  <c r="T356" i="1"/>
  <c r="T230" i="1"/>
  <c r="T844" i="1"/>
  <c r="T535" i="1"/>
  <c r="T489" i="1"/>
  <c r="T843" i="1"/>
  <c r="T250" i="1"/>
  <c r="T86" i="1"/>
  <c r="T842" i="1"/>
  <c r="T350" i="1"/>
  <c r="T619" i="1"/>
  <c r="T841" i="1"/>
  <c r="T88" i="1"/>
  <c r="T517" i="1"/>
  <c r="T840" i="1"/>
  <c r="T598" i="1"/>
  <c r="T87" i="1"/>
  <c r="T839" i="1"/>
  <c r="T367" i="1"/>
  <c r="T288" i="1"/>
  <c r="T838" i="1"/>
  <c r="T74" i="1"/>
  <c r="T691" i="1"/>
  <c r="T837" i="1"/>
  <c r="T455" i="1"/>
  <c r="T398" i="1"/>
  <c r="T836" i="1"/>
  <c r="T73" i="1"/>
  <c r="T89" i="1"/>
  <c r="T835" i="1"/>
  <c r="T636" i="1"/>
  <c r="T90" i="1"/>
  <c r="T834" i="1"/>
  <c r="T601" i="1"/>
  <c r="T231" i="1"/>
  <c r="T833" i="1"/>
  <c r="T668" i="1"/>
  <c r="T585" i="1"/>
  <c r="T832" i="1"/>
  <c r="T296" i="1"/>
  <c r="T519" i="1"/>
  <c r="T831" i="1"/>
  <c r="T179" i="1"/>
  <c r="T690" i="1"/>
  <c r="T830" i="1"/>
  <c r="T577" i="1"/>
  <c r="T92" i="1"/>
  <c r="T829" i="1"/>
  <c r="T528" i="1"/>
  <c r="T397" i="1"/>
  <c r="T828" i="1"/>
  <c r="T91" i="1"/>
  <c r="T303" i="1"/>
  <c r="T827" i="1"/>
  <c r="T341" i="1"/>
  <c r="T93" i="1"/>
  <c r="T826" i="1"/>
  <c r="T582" i="1"/>
  <c r="T468" i="1"/>
  <c r="T825" i="1"/>
  <c r="T155" i="1"/>
  <c r="T539" i="1"/>
  <c r="T824" i="1"/>
  <c r="T496" i="1"/>
  <c r="T689" i="1"/>
  <c r="T823" i="1"/>
  <c r="T289" i="1"/>
  <c r="T94" i="1"/>
  <c r="T822" i="1"/>
  <c r="T131" i="1"/>
  <c r="T396" i="1"/>
  <c r="T821" i="1"/>
  <c r="T460" i="1"/>
  <c r="T95" i="1"/>
  <c r="T820" i="1"/>
  <c r="T270" i="1"/>
  <c r="T96" i="1"/>
  <c r="T819" i="1"/>
  <c r="T637" i="1"/>
  <c r="T232" i="1"/>
  <c r="T818" i="1"/>
  <c r="T66" i="1"/>
  <c r="T817" i="1"/>
  <c r="T600" i="1"/>
  <c r="T814" i="1"/>
  <c r="T490" i="1"/>
  <c r="T688" i="1"/>
  <c r="T648" i="1"/>
  <c r="T808" i="1"/>
  <c r="T97" i="1"/>
  <c r="T805" i="1"/>
  <c r="T803" i="1"/>
  <c r="T279" i="1"/>
  <c r="T797" i="1"/>
  <c r="T667" i="1"/>
  <c r="T740" i="1"/>
  <c r="T739" i="1"/>
  <c r="T132" i="1"/>
  <c r="T502" i="1"/>
  <c r="T98" i="1"/>
  <c r="T794" i="1"/>
  <c r="T64" i="1"/>
  <c r="T395" i="1"/>
  <c r="T793" i="1"/>
  <c r="T358" i="1"/>
  <c r="T687" i="1"/>
  <c r="T792" i="1"/>
  <c r="T533" i="1"/>
  <c r="T99" i="1"/>
  <c r="T791" i="1"/>
  <c r="T294" i="1"/>
  <c r="T286" i="1"/>
  <c r="T790" i="1"/>
  <c r="T163" i="1"/>
  <c r="T100" i="1"/>
  <c r="T789" i="1"/>
  <c r="T62" i="1"/>
  <c r="T586" i="1"/>
  <c r="T788" i="1"/>
  <c r="T638" i="1"/>
  <c r="T101" i="1"/>
  <c r="T787" i="1"/>
  <c r="T366" i="1"/>
  <c r="T233" i="1"/>
  <c r="T786" i="1"/>
  <c r="T178" i="1"/>
  <c r="T394" i="1"/>
  <c r="T785" i="1"/>
  <c r="T133" i="1"/>
  <c r="T686" i="1"/>
  <c r="T784" i="1"/>
  <c r="T653" i="1"/>
  <c r="T102" i="1"/>
  <c r="T783" i="1"/>
  <c r="T595" i="1"/>
  <c r="T103" i="1"/>
  <c r="T782" i="1"/>
  <c r="T59" i="1"/>
  <c r="T685" i="1"/>
  <c r="T781" i="1"/>
  <c r="T246" i="1"/>
  <c r="T104" i="1"/>
  <c r="T780" i="1"/>
  <c r="T156" i="1"/>
  <c r="T618" i="1"/>
  <c r="T779" i="1"/>
  <c r="T265" i="1"/>
  <c r="T491" i="1"/>
  <c r="T778" i="1"/>
  <c r="T666" i="1"/>
  <c r="T105" i="1"/>
  <c r="T777" i="1"/>
  <c r="T342" i="1"/>
  <c r="T393" i="1"/>
  <c r="T776" i="1"/>
  <c r="T57" i="1"/>
  <c r="T106" i="1"/>
  <c r="T775" i="1"/>
  <c r="T287" i="1"/>
  <c r="T234" i="1"/>
  <c r="T774" i="1"/>
  <c r="T134" i="1"/>
  <c r="T684" i="1"/>
  <c r="T773" i="1"/>
  <c r="T56" i="1"/>
  <c r="T107" i="1"/>
  <c r="T772" i="1"/>
  <c r="T499" i="1"/>
  <c r="T587" i="1"/>
  <c r="T771" i="1"/>
  <c r="T365" i="1"/>
  <c r="T392" i="1"/>
  <c r="T770" i="1"/>
  <c r="T55" i="1"/>
  <c r="T108" i="1"/>
  <c r="T769" i="1"/>
  <c r="T639" i="1"/>
  <c r="T494" i="1"/>
  <c r="T768" i="1"/>
  <c r="T473" i="1"/>
  <c r="T683" i="1"/>
  <c r="T767" i="1"/>
  <c r="T657" i="1"/>
  <c r="T109" i="1"/>
  <c r="AD17" i="1"/>
  <c r="T766" i="1"/>
  <c r="T343" i="1"/>
  <c r="T391" i="1"/>
  <c r="T765" i="1"/>
  <c r="T52" i="1"/>
  <c r="T302" i="1"/>
  <c r="T135" i="1"/>
  <c r="T764" i="1"/>
  <c r="T604" i="1"/>
  <c r="T110" i="1"/>
  <c r="T763" i="1"/>
  <c r="T351" i="1"/>
  <c r="T111" i="1"/>
  <c r="T762" i="1"/>
  <c r="T34" i="1"/>
  <c r="T235" i="1"/>
  <c r="T761" i="1"/>
  <c r="T640" i="1"/>
  <c r="T682" i="1"/>
  <c r="T760" i="1"/>
  <c r="T170" i="1"/>
  <c r="T112" i="1"/>
  <c r="T759" i="1"/>
  <c r="T33" i="1"/>
  <c r="T325" i="1"/>
  <c r="T758" i="1"/>
  <c r="T436" i="1"/>
  <c r="T492" i="1"/>
  <c r="T757" i="1"/>
  <c r="T493" i="1"/>
  <c r="T390" i="1"/>
  <c r="T756" i="1"/>
  <c r="T136" i="1"/>
  <c r="T113" i="1"/>
  <c r="T755" i="1"/>
  <c r="T32" i="1"/>
  <c r="T328" i="1"/>
  <c r="T754" i="1"/>
  <c r="T534" i="1"/>
  <c r="T681" i="1"/>
  <c r="T753" i="1"/>
  <c r="T177" i="1"/>
  <c r="T114" i="1"/>
  <c r="T752" i="1"/>
  <c r="T665" i="1"/>
  <c r="T617" i="1"/>
  <c r="T751" i="1"/>
  <c r="T137" i="1"/>
  <c r="T588" i="1"/>
  <c r="T750" i="1"/>
  <c r="T344" i="1"/>
  <c r="T115" i="1"/>
  <c r="T749" i="1"/>
  <c r="T269" i="1"/>
  <c r="T389" i="1"/>
  <c r="T748" i="1"/>
  <c r="T166" i="1"/>
  <c r="T510" i="1"/>
  <c r="T747" i="1"/>
  <c r="T364" i="1"/>
  <c r="T116" i="1"/>
  <c r="T746" i="1"/>
  <c r="T157" i="1"/>
  <c r="T538" i="1"/>
  <c r="T745" i="1"/>
  <c r="T498" i="1"/>
  <c r="T236" i="1"/>
  <c r="T744" i="1"/>
  <c r="T262" i="1"/>
  <c r="T679" i="1"/>
  <c r="T743" i="1"/>
  <c r="T28" i="1"/>
  <c r="T117" i="1"/>
  <c r="T27" i="1"/>
  <c r="T677" i="1"/>
  <c r="T578" i="1"/>
  <c r="T118" i="1"/>
  <c r="T388" i="1"/>
  <c r="T737" i="1"/>
  <c r="T26" i="1"/>
  <c r="T138" i="1"/>
  <c r="T469" i="1"/>
  <c r="T664" i="1"/>
  <c r="T572" i="1"/>
  <c r="T599" i="1"/>
  <c r="T357" i="1"/>
  <c r="T119" i="1"/>
  <c r="T176" i="1"/>
  <c r="T562" i="1"/>
  <c r="T561" i="1"/>
  <c r="T560" i="1"/>
  <c r="T139" i="1"/>
  <c r="T557" i="1"/>
  <c r="T571" i="1"/>
  <c r="T247" i="1"/>
  <c r="T641" i="1"/>
  <c r="T120" i="1"/>
  <c r="T354" i="1"/>
  <c r="T443" i="1"/>
  <c r="T442" i="1"/>
  <c r="T158" i="1"/>
  <c r="T284" i="1"/>
  <c r="T649" i="1"/>
  <c r="T437" i="1"/>
  <c r="T435" i="1"/>
  <c r="T121" i="1"/>
  <c r="T140" i="1"/>
  <c r="T282" i="1"/>
  <c r="T373" i="1"/>
  <c r="T20" i="1"/>
  <c r="T237" i="1"/>
  <c r="T331" i="1"/>
  <c r="T327" i="1"/>
  <c r="T324" i="1"/>
  <c r="T589" i="1"/>
  <c r="T321" i="1"/>
  <c r="T319" i="1"/>
  <c r="T501" i="1"/>
  <c r="T313" i="1"/>
  <c r="T312" i="1"/>
  <c r="T569" i="1"/>
  <c r="T258" i="1"/>
  <c r="T122" i="1"/>
  <c r="T256" i="1"/>
  <c r="T387" i="1"/>
  <c r="T458" i="1"/>
  <c r="T567" i="1"/>
  <c r="T596" i="1"/>
  <c r="T734" i="1"/>
  <c r="T439" i="1"/>
  <c r="T123" i="1"/>
  <c r="T733" i="1"/>
  <c r="T532" i="1"/>
  <c r="T611" i="1"/>
  <c r="T732" i="1"/>
  <c r="T454" i="1"/>
  <c r="T565" i="1"/>
  <c r="T731" i="1"/>
  <c r="T656" i="1"/>
  <c r="T124" i="1"/>
  <c r="T730" i="1"/>
  <c r="T298" i="1"/>
  <c r="T386" i="1"/>
  <c r="T729" i="1"/>
  <c r="T472" i="1"/>
  <c r="T563" i="1"/>
  <c r="T728" i="1"/>
  <c r="T141" i="1"/>
  <c r="T125" i="1"/>
  <c r="T727" i="1"/>
  <c r="T175" i="1"/>
  <c r="T301" i="1"/>
  <c r="T726" i="1"/>
  <c r="T531" i="1"/>
  <c r="T558" i="1"/>
  <c r="T725" i="1"/>
  <c r="T14" i="1"/>
  <c r="T126" i="1"/>
  <c r="T724" i="1"/>
  <c r="T654" i="1"/>
  <c r="T479" i="1"/>
  <c r="T12" i="1"/>
  <c r="T280" i="1"/>
  <c r="T555" i="1"/>
  <c r="T478" i="1"/>
  <c r="T642" i="1"/>
  <c r="T127" i="1"/>
  <c r="T11" i="1"/>
  <c r="T238" i="1"/>
  <c r="T476" i="1"/>
  <c r="T385" i="1"/>
  <c r="T508" i="1"/>
  <c r="T475" i="1"/>
  <c r="T268" i="1"/>
  <c r="T544" i="1"/>
  <c r="T554" i="1"/>
  <c r="T159" i="1"/>
  <c r="T128" i="1"/>
  <c r="T129" i="1"/>
  <c r="T616" i="1"/>
  <c r="T345" i="1"/>
  <c r="T444" i="1"/>
  <c r="T471" i="1"/>
  <c r="T130" i="1"/>
  <c r="T363" i="1"/>
  <c r="T467" i="1"/>
  <c r="T545" i="1"/>
  <c r="T603" i="1"/>
  <c r="T590" i="1"/>
  <c r="T663" i="1"/>
  <c r="T537" i="1"/>
  <c r="T142" i="1"/>
  <c r="T251" i="1"/>
  <c r="T462" i="1"/>
  <c r="T384" i="1"/>
  <c r="T546" i="1"/>
  <c r="T520" i="1"/>
  <c r="T459" i="1"/>
  <c r="T239" i="1"/>
  <c r="T160" i="1"/>
  <c r="T10" i="1"/>
  <c r="T314" i="1"/>
  <c r="T452" i="1"/>
  <c r="T547" i="1"/>
  <c r="T346" i="1"/>
  <c r="T5" i="1"/>
  <c r="T13" i="1"/>
  <c r="T169" i="1"/>
  <c r="T15" i="1"/>
  <c r="T143" i="1"/>
  <c r="T507" i="1"/>
  <c r="T451" i="1"/>
  <c r="T383" i="1"/>
  <c r="T643" i="1"/>
  <c r="T450" i="1"/>
  <c r="T18" i="1"/>
  <c r="T362" i="1"/>
  <c r="T457" i="1"/>
  <c r="T548" i="1"/>
  <c r="T662" i="1"/>
  <c r="T19" i="1"/>
  <c r="T432" i="1"/>
  <c r="T613" i="1"/>
  <c r="T240" i="1"/>
  <c r="T431" i="1"/>
  <c r="T190" i="1"/>
  <c r="T591" i="1"/>
  <c r="T21" i="1"/>
  <c r="T174" i="1"/>
  <c r="T430" i="1"/>
  <c r="T144" i="1"/>
  <c r="T382" i="1"/>
  <c r="T549" i="1"/>
  <c r="T429" i="1"/>
  <c r="T248" i="1"/>
  <c r="T22" i="1"/>
  <c r="T290" i="1"/>
  <c r="T428" i="1"/>
  <c r="T145" i="1"/>
  <c r="T24" i="1"/>
  <c r="T263" i="1"/>
  <c r="T550" i="1"/>
  <c r="T506" i="1"/>
  <c r="T427" i="1"/>
  <c r="T260" i="1"/>
  <c r="T320" i="1"/>
  <c r="T146" i="1"/>
  <c r="T426" i="1"/>
  <c r="T189" i="1"/>
  <c r="T300" i="1"/>
  <c r="T381" i="1"/>
  <c r="T164" i="1"/>
  <c r="T29" i="1"/>
  <c r="T425" i="1"/>
  <c r="T361" i="1"/>
  <c r="T380" i="1"/>
  <c r="T551" i="1"/>
  <c r="T35" i="1"/>
  <c r="T424" i="1"/>
  <c r="T650" i="1"/>
  <c r="T644" i="1"/>
  <c r="T723" i="1"/>
  <c r="T543" i="1"/>
  <c r="T215" i="1"/>
  <c r="T978" i="1"/>
  <c r="T977" i="1"/>
  <c r="D2" i="1"/>
  <c r="S1025" i="1"/>
  <c r="S1024" i="1"/>
  <c r="S1023" i="1"/>
  <c r="S976" i="1"/>
  <c r="S975" i="1"/>
  <c r="S974" i="1"/>
  <c r="S973" i="1"/>
  <c r="S972" i="1"/>
  <c r="S971" i="1"/>
  <c r="S970" i="1"/>
  <c r="S969" i="1"/>
  <c r="S968" i="1"/>
  <c r="S967" i="1"/>
  <c r="S966" i="1"/>
  <c r="S965" i="1"/>
  <c r="S964" i="1"/>
  <c r="S963" i="1"/>
  <c r="S962" i="1"/>
  <c r="S961" i="1"/>
  <c r="S960" i="1"/>
  <c r="S959" i="1"/>
  <c r="S958" i="1"/>
  <c r="S957" i="1"/>
  <c r="S956" i="1"/>
  <c r="S955" i="1"/>
  <c r="S954" i="1"/>
  <c r="S953" i="1"/>
  <c r="S952" i="1"/>
  <c r="S951" i="1"/>
  <c r="S950" i="1"/>
  <c r="S949" i="1"/>
  <c r="S948" i="1"/>
  <c r="S947" i="1"/>
  <c r="S946" i="1"/>
  <c r="S945" i="1"/>
  <c r="S944" i="1"/>
  <c r="S943" i="1"/>
  <c r="S942" i="1"/>
  <c r="S941" i="1"/>
  <c r="S940" i="1"/>
  <c r="S939" i="1"/>
  <c r="S938" i="1"/>
  <c r="S937" i="1"/>
  <c r="S936" i="1"/>
  <c r="S935" i="1"/>
  <c r="S934" i="1"/>
  <c r="S933" i="1"/>
  <c r="S932" i="1"/>
  <c r="S931" i="1"/>
  <c r="S930" i="1"/>
  <c r="S929" i="1"/>
  <c r="S928" i="1"/>
  <c r="S927" i="1"/>
  <c r="S926" i="1"/>
  <c r="S925" i="1"/>
  <c r="S924" i="1"/>
  <c r="S923" i="1"/>
  <c r="S922" i="1"/>
  <c r="S921" i="1"/>
  <c r="S920" i="1"/>
  <c r="S919" i="1"/>
  <c r="S918" i="1"/>
  <c r="S917" i="1"/>
  <c r="S916" i="1"/>
  <c r="S868" i="1"/>
  <c r="S867" i="1"/>
  <c r="S866" i="1"/>
  <c r="S865" i="1"/>
  <c r="S864" i="1"/>
  <c r="S862" i="1"/>
  <c r="S860" i="1"/>
  <c r="S859" i="1"/>
  <c r="S857" i="1"/>
  <c r="S813" i="1"/>
  <c r="S811" i="1"/>
  <c r="S810" i="1"/>
  <c r="S807" i="1"/>
  <c r="S803" i="1"/>
  <c r="S802" i="1"/>
  <c r="S800" i="1"/>
  <c r="S799" i="1"/>
  <c r="S797" i="1"/>
  <c r="S796" i="1"/>
  <c r="S737" i="1"/>
  <c r="S736" i="1"/>
  <c r="S677" i="1"/>
  <c r="S676" i="1"/>
  <c r="S445" i="1"/>
  <c r="S442" i="1"/>
  <c r="S436" i="1"/>
  <c r="S377" i="1"/>
  <c r="S375" i="1"/>
  <c r="S321" i="1"/>
  <c r="S318" i="1"/>
  <c r="S317" i="1"/>
  <c r="S915" i="1"/>
  <c r="S914" i="1"/>
  <c r="S913" i="1"/>
  <c r="S912" i="1"/>
  <c r="S911" i="1"/>
  <c r="S910" i="1"/>
  <c r="S909" i="1"/>
  <c r="S908" i="1"/>
  <c r="S907" i="1"/>
  <c r="S906" i="1"/>
  <c r="S905" i="1"/>
  <c r="S904" i="1"/>
  <c r="S903" i="1"/>
  <c r="S902" i="1"/>
  <c r="S901" i="1"/>
  <c r="S900" i="1"/>
  <c r="S899" i="1"/>
  <c r="S898" i="1"/>
  <c r="S897" i="1"/>
  <c r="S896" i="1"/>
  <c r="S895" i="1"/>
  <c r="S894" i="1"/>
  <c r="S893" i="1"/>
  <c r="S892" i="1"/>
  <c r="S891" i="1"/>
  <c r="S890" i="1"/>
  <c r="S889" i="1"/>
  <c r="S888" i="1"/>
  <c r="S887" i="1"/>
  <c r="S886" i="1"/>
  <c r="S885" i="1"/>
  <c r="S883" i="1"/>
  <c r="S882" i="1"/>
  <c r="S881" i="1"/>
  <c r="S880" i="1"/>
  <c r="S879" i="1"/>
  <c r="S878" i="1"/>
  <c r="S877" i="1"/>
  <c r="S876" i="1"/>
  <c r="S875" i="1"/>
  <c r="S874" i="1"/>
  <c r="S873" i="1"/>
  <c r="S872" i="1"/>
  <c r="S871" i="1"/>
  <c r="S870" i="1"/>
  <c r="S869" i="1"/>
  <c r="S863" i="1"/>
  <c r="S861" i="1"/>
  <c r="S858" i="1"/>
  <c r="S856" i="1"/>
  <c r="S817" i="1"/>
  <c r="S815" i="1"/>
  <c r="S814" i="1"/>
  <c r="S812" i="1"/>
  <c r="S808" i="1"/>
  <c r="S806" i="1"/>
  <c r="S805" i="1"/>
  <c r="S804" i="1"/>
  <c r="S801" i="1"/>
  <c r="S798" i="1"/>
  <c r="S741" i="1"/>
  <c r="S740" i="1"/>
  <c r="S679" i="1"/>
  <c r="S678" i="1"/>
  <c r="S571" i="1"/>
  <c r="S565" i="1"/>
  <c r="S561" i="1"/>
  <c r="S557" i="1"/>
  <c r="S556" i="1"/>
  <c r="S446" i="1"/>
  <c r="S437" i="1"/>
  <c r="S434" i="1"/>
  <c r="S373" i="1"/>
  <c r="S329" i="1"/>
  <c r="S323" i="1"/>
  <c r="S322" i="1"/>
  <c r="S316" i="1"/>
  <c r="S315" i="1"/>
  <c r="S314" i="1"/>
  <c r="S312" i="1"/>
  <c r="S261" i="1"/>
  <c r="S257" i="1"/>
  <c r="S855" i="1"/>
  <c r="S854" i="1"/>
  <c r="S853" i="1"/>
  <c r="S852" i="1"/>
  <c r="S851" i="1"/>
  <c r="S850" i="1"/>
  <c r="S849" i="1"/>
  <c r="S848" i="1"/>
  <c r="S847" i="1"/>
  <c r="S846" i="1"/>
  <c r="S845" i="1"/>
  <c r="S844" i="1"/>
  <c r="S843" i="1"/>
  <c r="S842" i="1"/>
  <c r="S841" i="1"/>
  <c r="S840" i="1"/>
  <c r="S839" i="1"/>
  <c r="S838" i="1"/>
  <c r="S837" i="1"/>
  <c r="S836" i="1"/>
  <c r="S835" i="1"/>
  <c r="S834" i="1"/>
  <c r="S833" i="1"/>
  <c r="S832" i="1"/>
  <c r="S831" i="1"/>
  <c r="S830" i="1"/>
  <c r="S829" i="1"/>
  <c r="S828" i="1"/>
  <c r="S827" i="1"/>
  <c r="S826" i="1"/>
  <c r="S825" i="1"/>
  <c r="S824" i="1"/>
  <c r="S823" i="1"/>
  <c r="S822" i="1"/>
  <c r="S821" i="1"/>
  <c r="S820" i="1"/>
  <c r="S819" i="1"/>
  <c r="S818" i="1"/>
  <c r="S816" i="1"/>
  <c r="S809" i="1"/>
  <c r="S795" i="1"/>
  <c r="S738" i="1"/>
  <c r="S794" i="1"/>
  <c r="S793" i="1"/>
  <c r="S792" i="1"/>
  <c r="S791" i="1"/>
  <c r="S790" i="1"/>
  <c r="S789" i="1"/>
  <c r="S788" i="1"/>
  <c r="S787" i="1"/>
  <c r="S786" i="1"/>
  <c r="S785" i="1"/>
  <c r="S784" i="1"/>
  <c r="S783" i="1"/>
  <c r="S782" i="1"/>
  <c r="S781" i="1"/>
  <c r="S780" i="1"/>
  <c r="S779" i="1"/>
  <c r="S778" i="1"/>
  <c r="S777" i="1"/>
  <c r="S776" i="1"/>
  <c r="S775" i="1"/>
  <c r="S774" i="1"/>
  <c r="S773" i="1"/>
  <c r="S772" i="1"/>
  <c r="S771" i="1"/>
  <c r="S770" i="1"/>
  <c r="S769" i="1"/>
  <c r="S768" i="1"/>
  <c r="S767" i="1"/>
  <c r="S766" i="1"/>
  <c r="S765" i="1"/>
  <c r="AC17" i="1"/>
  <c r="S764" i="1"/>
  <c r="S763" i="1"/>
  <c r="S762" i="1"/>
  <c r="S761" i="1"/>
  <c r="S760" i="1"/>
  <c r="S759" i="1"/>
  <c r="S758" i="1"/>
  <c r="S757" i="1"/>
  <c r="S756" i="1"/>
  <c r="S755" i="1"/>
  <c r="S754" i="1"/>
  <c r="S753" i="1"/>
  <c r="S752" i="1"/>
  <c r="S751" i="1"/>
  <c r="S750" i="1"/>
  <c r="S749" i="1"/>
  <c r="S748" i="1"/>
  <c r="S747" i="1"/>
  <c r="S746" i="1"/>
  <c r="S745" i="1"/>
  <c r="S744" i="1"/>
  <c r="S743" i="1"/>
  <c r="S742" i="1"/>
  <c r="S739" i="1"/>
  <c r="S735" i="1"/>
  <c r="S680" i="1"/>
  <c r="S675" i="1"/>
  <c r="S570" i="1"/>
  <c r="S569" i="1"/>
  <c r="S563" i="1"/>
  <c r="S559" i="1"/>
  <c r="S554" i="1"/>
  <c r="S448" i="1"/>
  <c r="S444" i="1"/>
  <c r="S441" i="1"/>
  <c r="S440" i="1"/>
  <c r="S438" i="1"/>
  <c r="S433" i="1"/>
  <c r="S374" i="1"/>
  <c r="S334" i="1"/>
  <c r="S254" i="1"/>
  <c r="S252" i="1"/>
  <c r="S734" i="1"/>
  <c r="S733" i="1"/>
  <c r="S732" i="1"/>
  <c r="S731" i="1"/>
  <c r="S730" i="1"/>
  <c r="S729" i="1"/>
  <c r="S728" i="1"/>
  <c r="S727" i="1"/>
  <c r="S726" i="1"/>
  <c r="S725" i="1"/>
  <c r="S724" i="1"/>
  <c r="S479" i="1"/>
  <c r="S478" i="1"/>
  <c r="S544" i="1"/>
  <c r="S475" i="1"/>
  <c r="S508" i="1"/>
  <c r="S470" i="1"/>
  <c r="S545" i="1"/>
  <c r="S520" i="1"/>
  <c r="S466" i="1"/>
  <c r="S464" i="1"/>
  <c r="S463" i="1"/>
  <c r="S546" i="1"/>
  <c r="S458" i="1"/>
  <c r="S547" i="1"/>
  <c r="S455" i="1"/>
  <c r="S454" i="1"/>
  <c r="S453" i="1"/>
  <c r="S452" i="1"/>
  <c r="S507" i="1"/>
  <c r="S548" i="1"/>
  <c r="S449" i="1"/>
  <c r="S439" i="1"/>
  <c r="S432" i="1"/>
  <c r="S431" i="1"/>
  <c r="S549" i="1"/>
  <c r="S430" i="1"/>
  <c r="S429" i="1"/>
  <c r="S428" i="1"/>
  <c r="S550" i="1"/>
  <c r="S427" i="1"/>
  <c r="S506" i="1"/>
  <c r="S426" i="1"/>
  <c r="S551" i="1"/>
  <c r="S425" i="1"/>
  <c r="S424" i="1"/>
  <c r="S309" i="1"/>
  <c r="S526" i="1"/>
  <c r="S214" i="1"/>
  <c r="S626" i="1"/>
  <c r="S495" i="1"/>
  <c r="S213" i="1"/>
  <c r="S516" i="1"/>
  <c r="S608" i="1"/>
  <c r="S212" i="1"/>
  <c r="S627" i="1"/>
  <c r="S310" i="1"/>
  <c r="S275" i="1"/>
  <c r="S211" i="1"/>
  <c r="S564" i="1"/>
  <c r="S210" i="1"/>
  <c r="S209" i="1"/>
  <c r="S628" i="1"/>
  <c r="S208" i="1"/>
  <c r="S311" i="1"/>
  <c r="S289" i="1"/>
  <c r="S207" i="1"/>
  <c r="S629" i="1"/>
  <c r="S336" i="1"/>
  <c r="S274" i="1"/>
  <c r="S206" i="1"/>
  <c r="S205" i="1"/>
  <c r="S607" i="1"/>
  <c r="S567" i="1"/>
  <c r="S204" i="1"/>
  <c r="S630" i="1"/>
  <c r="S530" i="1"/>
  <c r="S474" i="1"/>
  <c r="S203" i="1"/>
  <c r="S337" i="1"/>
  <c r="S202" i="1"/>
  <c r="S631" i="1"/>
  <c r="S525" i="1"/>
  <c r="S273" i="1"/>
  <c r="S201" i="1"/>
  <c r="S462" i="1"/>
  <c r="S285" i="1"/>
  <c r="S200" i="1"/>
  <c r="S338" i="1"/>
  <c r="S199" i="1"/>
  <c r="S632" i="1"/>
  <c r="S198" i="1"/>
  <c r="S585" i="1"/>
  <c r="S606" i="1"/>
  <c r="S293" i="1"/>
  <c r="S197" i="1"/>
  <c r="S633" i="1"/>
  <c r="S339" i="1"/>
  <c r="S196" i="1"/>
  <c r="S461" i="1"/>
  <c r="S272" i="1"/>
  <c r="S195" i="1"/>
  <c r="S194" i="1"/>
  <c r="S634" i="1"/>
  <c r="S493" i="1"/>
  <c r="S193" i="1"/>
  <c r="S340" i="1"/>
  <c r="S512" i="1"/>
  <c r="S258" i="1"/>
  <c r="S192" i="1"/>
  <c r="S635" i="1"/>
  <c r="S496" i="1"/>
  <c r="S191" i="1"/>
  <c r="S271" i="1"/>
  <c r="S78" i="1"/>
  <c r="S77" i="1"/>
  <c r="S573" i="1"/>
  <c r="S76" i="1"/>
  <c r="S477" i="1"/>
  <c r="S636" i="1"/>
  <c r="S72" i="1"/>
  <c r="S71" i="1"/>
  <c r="S341" i="1"/>
  <c r="S294" i="1"/>
  <c r="S637" i="1"/>
  <c r="S270" i="1"/>
  <c r="S605" i="1"/>
  <c r="S64" i="1"/>
  <c r="S638" i="1"/>
  <c r="S460" i="1"/>
  <c r="S61" i="1"/>
  <c r="S60" i="1"/>
  <c r="S342" i="1"/>
  <c r="S58" i="1"/>
  <c r="S639" i="1"/>
  <c r="S343" i="1"/>
  <c r="S640" i="1"/>
  <c r="S604" i="1"/>
  <c r="S344" i="1"/>
  <c r="S30" i="1"/>
  <c r="S514" i="1"/>
  <c r="S29" i="1"/>
  <c r="S459" i="1"/>
  <c r="S531" i="1"/>
  <c r="S269" i="1"/>
  <c r="S24" i="1"/>
  <c r="S641" i="1"/>
  <c r="S574" i="1"/>
  <c r="S22" i="1"/>
  <c r="S473" i="1"/>
  <c r="S18" i="1"/>
  <c r="S345" i="1"/>
  <c r="S253" i="1"/>
  <c r="S284" i="1"/>
  <c r="S15" i="1"/>
  <c r="S642" i="1"/>
  <c r="S268" i="1"/>
  <c r="S643" i="1"/>
  <c r="S346" i="1"/>
  <c r="S6" i="1"/>
  <c r="S603" i="1"/>
  <c r="S575" i="1"/>
  <c r="S190" i="1"/>
  <c r="S457" i="1"/>
  <c r="S347" i="1"/>
  <c r="S189" i="1"/>
  <c r="S644" i="1"/>
  <c r="S295" i="1"/>
  <c r="S188" i="1"/>
  <c r="S267" i="1"/>
  <c r="S187" i="1"/>
  <c r="S645" i="1"/>
  <c r="S348" i="1"/>
  <c r="S186" i="1"/>
  <c r="S497" i="1"/>
  <c r="S185" i="1"/>
  <c r="S602" i="1"/>
  <c r="S184" i="1"/>
  <c r="S646" i="1"/>
  <c r="S456" i="1"/>
  <c r="S183" i="1"/>
  <c r="S266" i="1"/>
  <c r="S349" i="1"/>
  <c r="S182" i="1"/>
  <c r="S647" i="1"/>
  <c r="S181" i="1"/>
  <c r="S350" i="1"/>
  <c r="S296" i="1"/>
  <c r="S180" i="1"/>
  <c r="S179" i="1"/>
  <c r="S648" i="1"/>
  <c r="S476" i="1"/>
  <c r="S178" i="1"/>
  <c r="S351" i="1"/>
  <c r="S265" i="1"/>
  <c r="S177" i="1"/>
  <c r="S649" i="1"/>
  <c r="S601" i="1"/>
  <c r="S176" i="1"/>
  <c r="S577" i="1"/>
  <c r="S175" i="1"/>
  <c r="S532" i="1"/>
  <c r="S352" i="1"/>
  <c r="S174" i="1"/>
  <c r="S650" i="1"/>
  <c r="S173" i="1"/>
  <c r="S353" i="1"/>
  <c r="S264" i="1"/>
  <c r="S172" i="1"/>
  <c r="S651" i="1"/>
  <c r="S171" i="1"/>
  <c r="S600" i="1"/>
  <c r="S170" i="1"/>
  <c r="S652" i="1"/>
  <c r="S472" i="1"/>
  <c r="S169" i="1"/>
  <c r="S354" i="1"/>
  <c r="S168" i="1"/>
  <c r="S524" i="1"/>
  <c r="S263" i="1"/>
  <c r="S167" i="1"/>
  <c r="S653" i="1"/>
  <c r="S166" i="1"/>
  <c r="S355" i="1"/>
  <c r="S578" i="1"/>
  <c r="S165" i="1"/>
  <c r="S654" i="1"/>
  <c r="S297" i="1"/>
  <c r="S164" i="1"/>
  <c r="S283" i="1"/>
  <c r="S163" i="1"/>
  <c r="S356" i="1"/>
  <c r="S262" i="1"/>
  <c r="S162" i="1"/>
  <c r="S655" i="1"/>
  <c r="S498" i="1"/>
  <c r="S161" i="1"/>
  <c r="S599" i="1"/>
  <c r="S451" i="1"/>
  <c r="S160" i="1"/>
  <c r="S656" i="1"/>
  <c r="S159" i="1"/>
  <c r="S251" i="1"/>
  <c r="S533" i="1"/>
  <c r="S357" i="1"/>
  <c r="S158" i="1"/>
  <c r="S157" i="1"/>
  <c r="S657" i="1"/>
  <c r="S450" i="1"/>
  <c r="S528" i="1"/>
  <c r="S156" i="1"/>
  <c r="S613" i="1"/>
  <c r="S358" i="1"/>
  <c r="S155" i="1"/>
  <c r="S658" i="1"/>
  <c r="S598" i="1"/>
  <c r="S154" i="1"/>
  <c r="S250" i="1"/>
  <c r="S153" i="1"/>
  <c r="S359" i="1"/>
  <c r="S579" i="1"/>
  <c r="S152" i="1"/>
  <c r="S659" i="1"/>
  <c r="S151" i="1"/>
  <c r="S360" i="1"/>
  <c r="S150" i="1"/>
  <c r="S660" i="1"/>
  <c r="S249" i="1"/>
  <c r="S149" i="1"/>
  <c r="S580" i="1"/>
  <c r="S148" i="1"/>
  <c r="S361" i="1"/>
  <c r="S147" i="1"/>
  <c r="S661" i="1"/>
  <c r="S146" i="1"/>
  <c r="S298" i="1"/>
  <c r="S597" i="1"/>
  <c r="S145" i="1"/>
  <c r="S662" i="1"/>
  <c r="S144" i="1"/>
  <c r="S248" i="1"/>
  <c r="S362" i="1"/>
  <c r="S143" i="1"/>
  <c r="S287" i="1"/>
  <c r="S363" i="1"/>
  <c r="S581" i="1"/>
  <c r="S142" i="1"/>
  <c r="S663" i="1"/>
  <c r="S141" i="1"/>
  <c r="S140" i="1"/>
  <c r="S664" i="1"/>
  <c r="S596" i="1"/>
  <c r="S139" i="1"/>
  <c r="S247" i="1"/>
  <c r="S534" i="1"/>
  <c r="S364" i="1"/>
  <c r="S138" i="1"/>
  <c r="S499" i="1"/>
  <c r="S282" i="1"/>
  <c r="S137" i="1"/>
  <c r="S665" i="1"/>
  <c r="S136" i="1"/>
  <c r="S471" i="1"/>
  <c r="S365" i="1"/>
  <c r="S135" i="1"/>
  <c r="S666" i="1"/>
  <c r="S134" i="1"/>
  <c r="S246" i="1"/>
  <c r="S133" i="1"/>
  <c r="S366" i="1"/>
  <c r="S595" i="1"/>
  <c r="S132" i="1"/>
  <c r="S667" i="1"/>
  <c r="S131" i="1"/>
  <c r="S535" i="1"/>
  <c r="S367" i="1"/>
  <c r="S90" i="1"/>
  <c r="S668" i="1"/>
  <c r="S378" i="1"/>
  <c r="S89" i="1"/>
  <c r="S299" i="1"/>
  <c r="S435" i="1"/>
  <c r="S87" i="1"/>
  <c r="S368" i="1"/>
  <c r="S86" i="1"/>
  <c r="S669" i="1"/>
  <c r="S594" i="1"/>
  <c r="S245" i="1"/>
  <c r="S84" i="1"/>
  <c r="S83" i="1"/>
  <c r="S369" i="1"/>
  <c r="S670" i="1"/>
  <c r="S80" i="1"/>
  <c r="S335" i="1"/>
  <c r="S290" i="1"/>
  <c r="S370" i="1"/>
  <c r="S671" i="1"/>
  <c r="S244" i="1"/>
  <c r="S70" i="1"/>
  <c r="S614" i="1"/>
  <c r="S69" i="1"/>
  <c r="S371" i="1"/>
  <c r="S672" i="1"/>
  <c r="S331" i="1"/>
  <c r="S63" i="1"/>
  <c r="S243" i="1"/>
  <c r="S593" i="1"/>
  <c r="S511" i="1"/>
  <c r="S57" i="1"/>
  <c r="S673" i="1"/>
  <c r="S372" i="1"/>
  <c r="S56" i="1"/>
  <c r="S55" i="1"/>
  <c r="S54" i="1"/>
  <c r="S612" i="1"/>
  <c r="S281" i="1"/>
  <c r="S53" i="1"/>
  <c r="S536" i="1"/>
  <c r="S52" i="1"/>
  <c r="S376" i="1"/>
  <c r="S674" i="1"/>
  <c r="S500" i="1"/>
  <c r="S379" i="1"/>
  <c r="S327" i="1"/>
  <c r="S45" i="1"/>
  <c r="S242" i="1"/>
  <c r="S43" i="1"/>
  <c r="S615" i="1"/>
  <c r="S42" i="1"/>
  <c r="S300" i="1"/>
  <c r="S41" i="1"/>
  <c r="S256" i="1"/>
  <c r="S325" i="1"/>
  <c r="S40" i="1"/>
  <c r="S592" i="1"/>
  <c r="S241" i="1"/>
  <c r="S38" i="1"/>
  <c r="S259" i="1"/>
  <c r="S37" i="1"/>
  <c r="S36" i="1"/>
  <c r="S313" i="1"/>
  <c r="S380" i="1"/>
  <c r="S381" i="1"/>
  <c r="S28" i="1"/>
  <c r="S26" i="1"/>
  <c r="S382" i="1"/>
  <c r="S25" i="1"/>
  <c r="S23" i="1"/>
  <c r="S20" i="1"/>
  <c r="S591" i="1"/>
  <c r="S328" i="1"/>
  <c r="S319" i="1"/>
  <c r="S17" i="1"/>
  <c r="S240" i="1"/>
  <c r="S383" i="1"/>
  <c r="S16" i="1"/>
  <c r="S333" i="1"/>
  <c r="S523" i="1"/>
  <c r="S12" i="1"/>
  <c r="S519" i="1"/>
  <c r="S11" i="1"/>
  <c r="S537" i="1"/>
  <c r="S9" i="1"/>
  <c r="S384" i="1"/>
  <c r="S8" i="1"/>
  <c r="S7" i="1"/>
  <c r="S239" i="1"/>
  <c r="S5" i="1"/>
  <c r="S4" i="1"/>
  <c r="S616" i="1"/>
  <c r="S130" i="1"/>
  <c r="S443" i="1"/>
  <c r="S129" i="1"/>
  <c r="S513" i="1"/>
  <c r="S301" i="1"/>
  <c r="S385" i="1"/>
  <c r="S330" i="1"/>
  <c r="S128" i="1"/>
  <c r="S238" i="1"/>
  <c r="S127" i="1"/>
  <c r="S590" i="1"/>
  <c r="S126" i="1"/>
  <c r="S125" i="1"/>
  <c r="S386" i="1"/>
  <c r="S255" i="1"/>
  <c r="S494" i="1"/>
  <c r="S124" i="1"/>
  <c r="S566" i="1"/>
  <c r="S501" i="1"/>
  <c r="S123" i="1"/>
  <c r="S387" i="1"/>
  <c r="S280" i="1"/>
  <c r="S122" i="1"/>
  <c r="S568" i="1"/>
  <c r="S121" i="1"/>
  <c r="S589" i="1"/>
  <c r="S237" i="1"/>
  <c r="S120" i="1"/>
  <c r="S572" i="1"/>
  <c r="S388" i="1"/>
  <c r="S617" i="1"/>
  <c r="S119" i="1"/>
  <c r="S118" i="1"/>
  <c r="S538" i="1"/>
  <c r="S117" i="1"/>
  <c r="S236" i="1"/>
  <c r="S116" i="1"/>
  <c r="S389" i="1"/>
  <c r="S115" i="1"/>
  <c r="S681" i="1"/>
  <c r="S114" i="1"/>
  <c r="S469" i="1"/>
  <c r="S390" i="1"/>
  <c r="S302" i="1"/>
  <c r="S113" i="1"/>
  <c r="S588" i="1"/>
  <c r="S112" i="1"/>
  <c r="S682" i="1"/>
  <c r="S492" i="1"/>
  <c r="S111" i="1"/>
  <c r="S235" i="1"/>
  <c r="S391" i="1"/>
  <c r="S110" i="1"/>
  <c r="S683" i="1"/>
  <c r="S109" i="1"/>
  <c r="S392" i="1"/>
  <c r="S108" i="1"/>
  <c r="S510" i="1"/>
  <c r="S288" i="1"/>
  <c r="S107" i="1"/>
  <c r="S684" i="1"/>
  <c r="S587" i="1"/>
  <c r="S106" i="1"/>
  <c r="S234" i="1"/>
  <c r="S393" i="1"/>
  <c r="S618" i="1"/>
  <c r="S105" i="1"/>
  <c r="S685" i="1"/>
  <c r="S104" i="1"/>
  <c r="S491" i="1"/>
  <c r="S611" i="1"/>
  <c r="S103" i="1"/>
  <c r="S394" i="1"/>
  <c r="S291" i="1"/>
  <c r="S102" i="1"/>
  <c r="S686" i="1"/>
  <c r="S101" i="1"/>
  <c r="S233" i="1"/>
  <c r="S502" i="1"/>
  <c r="S539" i="1"/>
  <c r="S100" i="1"/>
  <c r="S687" i="1"/>
  <c r="S99" i="1"/>
  <c r="S395" i="1"/>
  <c r="S98" i="1"/>
  <c r="S303" i="1"/>
  <c r="S586" i="1"/>
  <c r="S97" i="1"/>
  <c r="S688" i="1"/>
  <c r="S96" i="1"/>
  <c r="S232" i="1"/>
  <c r="S490" i="1"/>
  <c r="S396" i="1"/>
  <c r="S95" i="1"/>
  <c r="S689" i="1"/>
  <c r="S94" i="1"/>
  <c r="S619" i="1"/>
  <c r="S93" i="1"/>
  <c r="S397" i="1"/>
  <c r="S279" i="1"/>
  <c r="S92" i="1"/>
  <c r="S690" i="1"/>
  <c r="S91" i="1"/>
  <c r="S231" i="1"/>
  <c r="S398" i="1"/>
  <c r="S88" i="1"/>
  <c r="S691" i="1"/>
  <c r="S468" i="1"/>
  <c r="S85" i="1"/>
  <c r="S447" i="1"/>
  <c r="S82" i="1"/>
  <c r="S692" i="1"/>
  <c r="S81" i="1"/>
  <c r="S489" i="1"/>
  <c r="S230" i="1"/>
  <c r="S399" i="1"/>
  <c r="S79" i="1"/>
  <c r="S693" i="1"/>
  <c r="S75" i="1"/>
  <c r="S304" i="1"/>
  <c r="S74" i="1"/>
  <c r="S400" i="1"/>
  <c r="S73" i="1"/>
  <c r="S522" i="1"/>
  <c r="S584" i="1"/>
  <c r="S488" i="1"/>
  <c r="S68" i="1"/>
  <c r="S67" i="1"/>
  <c r="S66" i="1"/>
  <c r="S401" i="1"/>
  <c r="S65" i="1"/>
  <c r="S694" i="1"/>
  <c r="S62" i="1"/>
  <c r="S540" i="1"/>
  <c r="S229" i="1"/>
  <c r="S59" i="1"/>
  <c r="S620" i="1"/>
  <c r="S695" i="1"/>
  <c r="S529" i="1"/>
  <c r="S402" i="1"/>
  <c r="S503" i="1"/>
  <c r="S517" i="1"/>
  <c r="S51" i="1"/>
  <c r="S50" i="1"/>
  <c r="S696" i="1"/>
  <c r="S228" i="1"/>
  <c r="S49" i="1"/>
  <c r="S48" i="1"/>
  <c r="S610" i="1"/>
  <c r="S487" i="1"/>
  <c r="S47" i="1"/>
  <c r="S583" i="1"/>
  <c r="S305" i="1"/>
  <c r="S46" i="1"/>
  <c r="S697" i="1"/>
  <c r="S286" i="1"/>
  <c r="S44" i="1"/>
  <c r="S227" i="1"/>
  <c r="S403" i="1"/>
  <c r="S698" i="1"/>
  <c r="S39" i="1"/>
  <c r="S621" i="1"/>
  <c r="S404" i="1"/>
  <c r="S582" i="1"/>
  <c r="S699" i="1"/>
  <c r="S35" i="1"/>
  <c r="S278" i="1"/>
  <c r="S34" i="1"/>
  <c r="S226" i="1"/>
  <c r="S33" i="1"/>
  <c r="S405" i="1"/>
  <c r="S32" i="1"/>
  <c r="S31" i="1"/>
  <c r="S700" i="1"/>
  <c r="S467" i="1"/>
  <c r="S27" i="1"/>
  <c r="S701" i="1"/>
  <c r="S406" i="1"/>
  <c r="S225" i="1"/>
  <c r="S702" i="1"/>
  <c r="S407" i="1"/>
  <c r="S21" i="1"/>
  <c r="S19" i="1"/>
  <c r="S486" i="1"/>
  <c r="S703" i="1"/>
  <c r="S14" i="1"/>
  <c r="S306" i="1"/>
  <c r="S408" i="1"/>
  <c r="S13" i="1"/>
  <c r="S704" i="1"/>
  <c r="S409" i="1"/>
  <c r="S10" i="1"/>
  <c r="S541" i="1"/>
  <c r="S705" i="1"/>
  <c r="S224" i="1"/>
  <c r="S1022" i="1"/>
  <c r="S576" i="1"/>
  <c r="S622" i="1"/>
  <c r="S1021" i="1"/>
  <c r="S410" i="1"/>
  <c r="S1020" i="1"/>
  <c r="S706" i="1"/>
  <c r="S504" i="1"/>
  <c r="S1019" i="1"/>
  <c r="S527" i="1"/>
  <c r="S485" i="1"/>
  <c r="S1018" i="1"/>
  <c r="S707" i="1"/>
  <c r="S223" i="1"/>
  <c r="S1017" i="1"/>
  <c r="S411" i="1"/>
  <c r="S320" i="1"/>
  <c r="S1016" i="1"/>
  <c r="S1014" i="1"/>
  <c r="S708" i="1"/>
  <c r="S518" i="1"/>
  <c r="S1013" i="1"/>
  <c r="S1012" i="1"/>
  <c r="S1011" i="1"/>
  <c r="S412" i="1"/>
  <c r="S222" i="1"/>
  <c r="S1010" i="1"/>
  <c r="S709" i="1"/>
  <c r="S1008" i="1"/>
  <c r="S484" i="1"/>
  <c r="S1007" i="1"/>
  <c r="S623" i="1"/>
  <c r="S710" i="1"/>
  <c r="S1002" i="1"/>
  <c r="S307" i="1"/>
  <c r="S1001" i="1"/>
  <c r="S277" i="1"/>
  <c r="S509" i="1"/>
  <c r="S1000" i="1"/>
  <c r="S413" i="1"/>
  <c r="S998" i="1"/>
  <c r="S711" i="1"/>
  <c r="S996" i="1"/>
  <c r="S221" i="1"/>
  <c r="S414" i="1"/>
  <c r="S515" i="1"/>
  <c r="S562" i="1"/>
  <c r="S712" i="1"/>
  <c r="S415" i="1"/>
  <c r="S416" i="1"/>
  <c r="S713" i="1"/>
  <c r="S558" i="1"/>
  <c r="S714" i="1"/>
  <c r="S417" i="1"/>
  <c r="S555" i="1"/>
  <c r="S980" i="1"/>
  <c r="S979" i="1"/>
  <c r="S715" i="1"/>
  <c r="S978" i="1"/>
  <c r="S483" i="1"/>
  <c r="S977" i="1"/>
  <c r="S220" i="1"/>
  <c r="S418" i="1"/>
  <c r="S542" i="1"/>
  <c r="S716" i="1"/>
  <c r="S1015" i="1"/>
  <c r="S505" i="1"/>
  <c r="S260" i="1"/>
  <c r="S717" i="1"/>
  <c r="S419" i="1"/>
  <c r="S1009" i="1"/>
  <c r="S609" i="1"/>
  <c r="S560" i="1"/>
  <c r="S420" i="1"/>
  <c r="S1006" i="1"/>
  <c r="S718" i="1"/>
  <c r="S219" i="1"/>
  <c r="S1005" i="1"/>
  <c r="S624" i="1"/>
  <c r="S1004" i="1"/>
  <c r="S553" i="1"/>
  <c r="S292" i="1"/>
  <c r="S1003" i="1"/>
  <c r="S719" i="1"/>
  <c r="S421" i="1"/>
  <c r="S482" i="1"/>
  <c r="S999" i="1"/>
  <c r="S218" i="1"/>
  <c r="S997" i="1"/>
  <c r="S720" i="1"/>
  <c r="S324" i="1"/>
  <c r="S995" i="1"/>
  <c r="S422" i="1"/>
  <c r="S994" i="1"/>
  <c r="S308" i="1"/>
  <c r="S993" i="1"/>
  <c r="S217" i="1"/>
  <c r="S992" i="1"/>
  <c r="S991" i="1"/>
  <c r="S721" i="1"/>
  <c r="S481" i="1"/>
  <c r="S990" i="1"/>
  <c r="S625" i="1"/>
  <c r="S989" i="1"/>
  <c r="S276" i="1"/>
  <c r="S988" i="1"/>
  <c r="S543" i="1"/>
  <c r="S987" i="1"/>
  <c r="S986" i="1"/>
  <c r="S722" i="1"/>
  <c r="S552" i="1"/>
  <c r="S216" i="1"/>
  <c r="S985" i="1"/>
  <c r="S984" i="1"/>
  <c r="S983" i="1"/>
  <c r="S423" i="1"/>
  <c r="S480" i="1"/>
  <c r="S982" i="1"/>
  <c r="S332" i="1"/>
  <c r="S981" i="1"/>
  <c r="S723" i="1"/>
  <c r="S884" i="1"/>
  <c r="S1029" i="1"/>
  <c r="S1028" i="1"/>
  <c r="S215" i="1"/>
  <c r="S521" i="1"/>
  <c r="S1027" i="1"/>
  <c r="S1026" i="1"/>
  <c r="S465" i="1"/>
  <c r="S326" i="1"/>
  <c r="B2" i="1"/>
  <c r="R549" i="1"/>
  <c r="R325" i="1"/>
  <c r="R431" i="1"/>
  <c r="R146" i="1"/>
  <c r="R472" i="1"/>
  <c r="R432" i="1"/>
  <c r="R507" i="1"/>
  <c r="R524" i="1"/>
  <c r="R383" i="1"/>
  <c r="R450" i="1"/>
  <c r="R18" i="1"/>
  <c r="R160" i="1"/>
  <c r="R597" i="1"/>
  <c r="R290" i="1"/>
  <c r="R644" i="1"/>
  <c r="R656" i="1"/>
  <c r="R145" i="1"/>
  <c r="R451" i="1"/>
  <c r="R548" i="1"/>
  <c r="R15" i="1"/>
  <c r="R662" i="1"/>
  <c r="R240" i="1"/>
  <c r="R14" i="1"/>
  <c r="R315" i="1"/>
  <c r="R494" i="1"/>
  <c r="R454" i="1"/>
  <c r="R13" i="1"/>
  <c r="R334" i="1"/>
  <c r="R616" i="1"/>
  <c r="R297" i="1"/>
  <c r="R534" i="1"/>
  <c r="R591" i="1"/>
  <c r="R362" i="1"/>
  <c r="R457" i="1"/>
  <c r="R547" i="1"/>
  <c r="R10" i="1"/>
  <c r="R347" i="1"/>
  <c r="R384" i="1"/>
  <c r="R190" i="1"/>
  <c r="R533" i="1"/>
  <c r="R612" i="1"/>
  <c r="R144" i="1"/>
  <c r="R301" i="1"/>
  <c r="R291" i="1"/>
  <c r="R603" i="1"/>
  <c r="R313" i="1"/>
  <c r="R459" i="1"/>
  <c r="R6" i="1"/>
  <c r="R462" i="1"/>
  <c r="R357" i="1"/>
  <c r="R352" i="1"/>
  <c r="R5" i="1"/>
  <c r="R523" i="1"/>
  <c r="R239" i="1"/>
  <c r="R575" i="1"/>
  <c r="R546" i="1"/>
  <c r="R465" i="1"/>
  <c r="R248" i="1"/>
  <c r="R468" i="1"/>
  <c r="R191" i="1"/>
  <c r="R130" i="1"/>
  <c r="R175" i="1"/>
  <c r="R545" i="1"/>
  <c r="R261" i="1"/>
  <c r="R385" i="1"/>
  <c r="R471" i="1"/>
  <c r="R508" i="1"/>
  <c r="R143" i="1"/>
  <c r="R129" i="1"/>
  <c r="R363" i="1"/>
  <c r="R663" i="1"/>
  <c r="R517" i="1"/>
  <c r="R167" i="1"/>
  <c r="R159" i="1"/>
  <c r="R473" i="1"/>
  <c r="R601" i="1"/>
  <c r="R128" i="1"/>
  <c r="R474" i="1"/>
  <c r="R476" i="1"/>
  <c r="R477" i="1"/>
  <c r="R501" i="1"/>
  <c r="R346" i="1"/>
  <c r="R478" i="1"/>
  <c r="R169" i="1"/>
  <c r="R127" i="1"/>
  <c r="R544" i="1"/>
  <c r="R557" i="1"/>
  <c r="R238" i="1"/>
  <c r="R142" i="1"/>
  <c r="R479" i="1"/>
  <c r="R725" i="1"/>
  <c r="R166" i="1"/>
  <c r="R126" i="1"/>
  <c r="R726" i="1"/>
  <c r="R559" i="1"/>
  <c r="R590" i="1"/>
  <c r="R386" i="1"/>
  <c r="R727" i="1"/>
  <c r="R728" i="1"/>
  <c r="R8" i="1"/>
  <c r="R125" i="1"/>
  <c r="R729" i="1"/>
  <c r="R442" i="1"/>
  <c r="R643" i="1"/>
  <c r="R730" i="1"/>
  <c r="R268" i="1"/>
  <c r="R731" i="1"/>
  <c r="R458" i="1"/>
  <c r="R124" i="1"/>
  <c r="R732" i="1"/>
  <c r="R164" i="1"/>
  <c r="R254" i="1"/>
  <c r="R141" i="1"/>
  <c r="R733" i="1"/>
  <c r="R734" i="1"/>
  <c r="R642" i="1"/>
  <c r="R123" i="1"/>
  <c r="R253" i="1"/>
  <c r="R387" i="1"/>
  <c r="R499" i="1"/>
  <c r="R256" i="1"/>
  <c r="R345" i="1"/>
  <c r="R257" i="1"/>
  <c r="R19" i="1"/>
  <c r="R122" i="1"/>
  <c r="R604" i="1"/>
  <c r="R312" i="1"/>
  <c r="R316" i="1"/>
  <c r="R322" i="1"/>
  <c r="R333" i="1"/>
  <c r="R434" i="1"/>
  <c r="R21" i="1"/>
  <c r="R121" i="1"/>
  <c r="R251" i="1"/>
  <c r="R140" i="1"/>
  <c r="R538" i="1"/>
  <c r="R388" i="1"/>
  <c r="R237" i="1"/>
  <c r="R445" i="1"/>
  <c r="R664" i="1"/>
  <c r="R120" i="1"/>
  <c r="R556" i="1"/>
  <c r="R176" i="1"/>
  <c r="R617" i="1"/>
  <c r="R354" i="1"/>
  <c r="R364" i="1"/>
  <c r="R568" i="1"/>
  <c r="R23" i="1"/>
  <c r="R119" i="1"/>
  <c r="R679" i="1"/>
  <c r="R676" i="1"/>
  <c r="R493" i="1"/>
  <c r="R738" i="1"/>
  <c r="R302" i="1"/>
  <c r="R739" i="1"/>
  <c r="R269" i="1"/>
  <c r="R118" i="1"/>
  <c r="R741" i="1"/>
  <c r="R678" i="1"/>
  <c r="R158" i="1"/>
  <c r="R589" i="1"/>
  <c r="R280" i="1"/>
  <c r="R743" i="1"/>
  <c r="R139" i="1"/>
  <c r="R117" i="1"/>
  <c r="R744" i="1"/>
  <c r="R745" i="1"/>
  <c r="R746" i="1"/>
  <c r="R389" i="1"/>
  <c r="R25" i="1"/>
  <c r="R747" i="1"/>
  <c r="R577" i="1"/>
  <c r="R116" i="1"/>
  <c r="R680" i="1"/>
  <c r="R657" i="1"/>
  <c r="R748" i="1"/>
  <c r="R749" i="1"/>
  <c r="R236" i="1"/>
  <c r="R750" i="1"/>
  <c r="R265" i="1"/>
  <c r="R115" i="1"/>
  <c r="R681" i="1"/>
  <c r="R247" i="1"/>
  <c r="R751" i="1"/>
  <c r="R390" i="1"/>
  <c r="R752" i="1"/>
  <c r="R753" i="1"/>
  <c r="R512" i="1"/>
  <c r="R114" i="1"/>
  <c r="R754" i="1"/>
  <c r="R755" i="1"/>
  <c r="R649" i="1"/>
  <c r="R138" i="1"/>
  <c r="R641" i="1"/>
  <c r="R756" i="1"/>
  <c r="R665" i="1"/>
  <c r="R113" i="1"/>
  <c r="R757" i="1"/>
  <c r="R682" i="1"/>
  <c r="R758" i="1"/>
  <c r="R437" i="1"/>
  <c r="R759" i="1"/>
  <c r="R760" i="1"/>
  <c r="R518" i="1"/>
  <c r="R112" i="1"/>
  <c r="R177" i="1"/>
  <c r="R761" i="1"/>
  <c r="R31" i="1"/>
  <c r="R588" i="1"/>
  <c r="R762" i="1"/>
  <c r="R763" i="1"/>
  <c r="R578" i="1"/>
  <c r="R111" i="1"/>
  <c r="R137" i="1"/>
  <c r="R391" i="1"/>
  <c r="R492" i="1"/>
  <c r="R157" i="1"/>
  <c r="R235" i="1"/>
  <c r="R764" i="1"/>
  <c r="R288" i="1"/>
  <c r="R110" i="1"/>
  <c r="R683" i="1"/>
  <c r="R32" i="1"/>
  <c r="R765" i="1"/>
  <c r="R766" i="1"/>
  <c r="R618" i="1"/>
  <c r="R767" i="1"/>
  <c r="R596" i="1"/>
  <c r="R109" i="1"/>
  <c r="R768" i="1"/>
  <c r="R469" i="1"/>
  <c r="R392" i="1"/>
  <c r="R526" i="1"/>
  <c r="R769" i="1"/>
  <c r="R770" i="1"/>
  <c r="R344" i="1"/>
  <c r="R108" i="1"/>
  <c r="R771" i="1"/>
  <c r="R684" i="1"/>
  <c r="R498" i="1"/>
  <c r="R772" i="1"/>
  <c r="R136" i="1"/>
  <c r="R773" i="1"/>
  <c r="R532" i="1"/>
  <c r="R107" i="1"/>
  <c r="R365" i="1"/>
  <c r="R774" i="1"/>
  <c r="R33" i="1"/>
  <c r="R393" i="1"/>
  <c r="R775" i="1"/>
  <c r="R776" i="1"/>
  <c r="R652" i="1"/>
  <c r="R106" i="1"/>
  <c r="R299" i="1"/>
  <c r="R640" i="1"/>
  <c r="R234" i="1"/>
  <c r="R777" i="1"/>
  <c r="R358" i="1"/>
  <c r="R778" i="1"/>
  <c r="R135" i="1"/>
  <c r="R105" i="1"/>
  <c r="R685" i="1"/>
  <c r="R666" i="1"/>
  <c r="R779" i="1"/>
  <c r="R502" i="1"/>
  <c r="R780" i="1"/>
  <c r="R781" i="1"/>
  <c r="R170" i="1"/>
  <c r="R104" i="1"/>
  <c r="R782" i="1"/>
  <c r="R513" i="1"/>
  <c r="R531" i="1"/>
  <c r="R587" i="1"/>
  <c r="R56" i="1"/>
  <c r="R783" i="1"/>
  <c r="R282" i="1"/>
  <c r="R103" i="1"/>
  <c r="R394" i="1"/>
  <c r="R686" i="1"/>
  <c r="R491" i="1"/>
  <c r="R343" i="1"/>
  <c r="R178" i="1"/>
  <c r="R784" i="1"/>
  <c r="R134" i="1"/>
  <c r="R102" i="1"/>
  <c r="R639" i="1"/>
  <c r="R785" i="1"/>
  <c r="R539" i="1"/>
  <c r="R786" i="1"/>
  <c r="R787" i="1"/>
  <c r="R788" i="1"/>
  <c r="R342" i="1"/>
  <c r="R101" i="1"/>
  <c r="R574" i="1"/>
  <c r="R366" i="1"/>
  <c r="R453" i="1"/>
  <c r="R789" i="1"/>
  <c r="R233" i="1"/>
  <c r="R790" i="1"/>
  <c r="R460" i="1"/>
  <c r="R100" i="1"/>
  <c r="R687" i="1"/>
  <c r="R156" i="1"/>
  <c r="R510" i="1"/>
  <c r="R395" i="1"/>
  <c r="R791" i="1"/>
  <c r="R792" i="1"/>
  <c r="R133" i="1"/>
  <c r="R99" i="1"/>
  <c r="R793" i="1"/>
  <c r="R611" i="1"/>
  <c r="R355" i="1"/>
  <c r="R794" i="1"/>
  <c r="R303" i="1"/>
  <c r="R795" i="1"/>
  <c r="R667" i="1"/>
  <c r="R98" i="1"/>
  <c r="R562" i="1"/>
  <c r="R688" i="1"/>
  <c r="R605" i="1"/>
  <c r="R163" i="1"/>
  <c r="R802" i="1"/>
  <c r="R806" i="1"/>
  <c r="R246" i="1"/>
  <c r="R97" i="1"/>
  <c r="R638" i="1"/>
  <c r="R810" i="1"/>
  <c r="R811" i="1"/>
  <c r="R586" i="1"/>
  <c r="R819" i="1"/>
  <c r="R820" i="1"/>
  <c r="R351" i="1"/>
  <c r="R96" i="1"/>
  <c r="R132" i="1"/>
  <c r="R396" i="1"/>
  <c r="R455" i="1"/>
  <c r="R270" i="1"/>
  <c r="R232" i="1"/>
  <c r="R821" i="1"/>
  <c r="R535" i="1"/>
  <c r="R95" i="1"/>
  <c r="R689" i="1"/>
  <c r="R595" i="1"/>
  <c r="R490" i="1"/>
  <c r="R822" i="1"/>
  <c r="R619" i="1"/>
  <c r="R823" i="1"/>
  <c r="R582" i="1"/>
  <c r="R94" i="1"/>
  <c r="R824" i="1"/>
  <c r="R68" i="1"/>
  <c r="R825" i="1"/>
  <c r="R397" i="1"/>
  <c r="R826" i="1"/>
  <c r="R827" i="1"/>
  <c r="R376" i="1"/>
  <c r="R93" i="1"/>
  <c r="R131" i="1"/>
  <c r="R690" i="1"/>
  <c r="R828" i="1"/>
  <c r="R829" i="1"/>
  <c r="R69" i="1"/>
  <c r="R830" i="1"/>
  <c r="R367" i="1"/>
  <c r="R92" i="1"/>
  <c r="R637" i="1"/>
  <c r="R831" i="1"/>
  <c r="R832" i="1"/>
  <c r="R833" i="1"/>
  <c r="R834" i="1"/>
  <c r="R668" i="1"/>
  <c r="R91" i="1"/>
  <c r="R179" i="1"/>
  <c r="R231" i="1"/>
  <c r="R835" i="1"/>
  <c r="R90" i="1"/>
  <c r="R398" i="1"/>
  <c r="R356" i="1"/>
  <c r="R836" i="1"/>
  <c r="R89" i="1"/>
  <c r="R691" i="1"/>
  <c r="R837" i="1"/>
  <c r="R155" i="1"/>
  <c r="R658" i="1"/>
  <c r="R838" i="1"/>
  <c r="R839" i="1"/>
  <c r="R840" i="1"/>
  <c r="R87" i="1"/>
  <c r="R841" i="1"/>
  <c r="R842" i="1"/>
  <c r="R843" i="1"/>
  <c r="R279" i="1"/>
  <c r="R585" i="1"/>
  <c r="R655" i="1"/>
  <c r="R70" i="1"/>
  <c r="R85" i="1"/>
  <c r="R304" i="1"/>
  <c r="R692" i="1"/>
  <c r="R844" i="1"/>
  <c r="R648" i="1"/>
  <c r="R294" i="1"/>
  <c r="R82" i="1"/>
  <c r="R636" i="1"/>
  <c r="R845" i="1"/>
  <c r="R452" i="1"/>
  <c r="R846" i="1"/>
  <c r="R341" i="1"/>
  <c r="R399" i="1"/>
  <c r="R847" i="1"/>
  <c r="R88" i="1"/>
  <c r="R271" i="1"/>
  <c r="R848" i="1"/>
  <c r="R180" i="1"/>
  <c r="R693" i="1"/>
  <c r="R849" i="1"/>
  <c r="R850" i="1"/>
  <c r="R350" i="1"/>
  <c r="R489" i="1"/>
  <c r="R230" i="1"/>
  <c r="R77" i="1"/>
  <c r="R851" i="1"/>
  <c r="R852" i="1"/>
  <c r="R76" i="1"/>
  <c r="R400" i="1"/>
  <c r="R335" i="1"/>
  <c r="R75" i="1"/>
  <c r="R540" i="1"/>
  <c r="R368" i="1"/>
  <c r="R171" i="1"/>
  <c r="R853" i="1"/>
  <c r="R154" i="1"/>
  <c r="R86" i="1"/>
  <c r="R620" i="1"/>
  <c r="R854" i="1"/>
  <c r="R72" i="1"/>
  <c r="R635" i="1"/>
  <c r="R192" i="1"/>
  <c r="R855" i="1"/>
  <c r="R529" i="1"/>
  <c r="R255" i="1"/>
  <c r="R259" i="1"/>
  <c r="R260" i="1"/>
  <c r="R314" i="1"/>
  <c r="R193" i="1"/>
  <c r="R669" i="1"/>
  <c r="R584" i="1"/>
  <c r="R317" i="1"/>
  <c r="R296" i="1"/>
  <c r="R694" i="1"/>
  <c r="R401" i="1"/>
  <c r="R653" i="1"/>
  <c r="R181" i="1"/>
  <c r="R340" i="1"/>
  <c r="R488" i="1"/>
  <c r="R555" i="1"/>
  <c r="R359" i="1"/>
  <c r="R318" i="1"/>
  <c r="R326" i="1"/>
  <c r="R63" i="1"/>
  <c r="R329" i="1"/>
  <c r="R503" i="1"/>
  <c r="R84" i="1"/>
  <c r="R194" i="1"/>
  <c r="R331" i="1"/>
  <c r="R336" i="1"/>
  <c r="R375" i="1"/>
  <c r="R377" i="1"/>
  <c r="R245" i="1"/>
  <c r="R272" i="1"/>
  <c r="R402" i="1"/>
  <c r="R229" i="1"/>
  <c r="R695" i="1"/>
  <c r="R369" i="1"/>
  <c r="R57" i="1"/>
  <c r="R433" i="1"/>
  <c r="R614" i="1"/>
  <c r="R606" i="1"/>
  <c r="R55" i="1"/>
  <c r="R436" i="1"/>
  <c r="R250" i="1"/>
  <c r="R439" i="1"/>
  <c r="R54" i="1"/>
  <c r="R443" i="1"/>
  <c r="R448" i="1"/>
  <c r="R554" i="1"/>
  <c r="R83" i="1"/>
  <c r="R52" i="1"/>
  <c r="R602" i="1"/>
  <c r="R475" i="1"/>
  <c r="R461" i="1"/>
  <c r="R696" i="1"/>
  <c r="R564" i="1"/>
  <c r="R566" i="1"/>
  <c r="R634" i="1"/>
  <c r="R670" i="1"/>
  <c r="R373" i="1"/>
  <c r="R228" i="1"/>
  <c r="R594" i="1"/>
  <c r="R569" i="1"/>
  <c r="R677" i="1"/>
  <c r="R735" i="1"/>
  <c r="R496" i="1"/>
  <c r="R81" i="1"/>
  <c r="R264" i="1"/>
  <c r="R305" i="1"/>
  <c r="R527" i="1"/>
  <c r="R153" i="1"/>
  <c r="R403" i="1"/>
  <c r="R80" i="1"/>
  <c r="R195" i="1"/>
  <c r="R697" i="1"/>
  <c r="R487" i="1"/>
  <c r="R737" i="1"/>
  <c r="R45" i="1"/>
  <c r="R196" i="1"/>
  <c r="R79" i="1"/>
  <c r="R796" i="1"/>
  <c r="R600" i="1"/>
  <c r="R797" i="1"/>
  <c r="R78" i="1"/>
  <c r="R285" i="1"/>
  <c r="R799" i="1"/>
  <c r="R43" i="1"/>
  <c r="R800" i="1"/>
  <c r="R801" i="1"/>
  <c r="R803" i="1"/>
  <c r="R42" i="1"/>
  <c r="R698" i="1"/>
  <c r="R583" i="1"/>
  <c r="R804" i="1"/>
  <c r="R41" i="1"/>
  <c r="R633" i="1"/>
  <c r="R227" i="1"/>
  <c r="R807" i="1"/>
  <c r="R40" i="1"/>
  <c r="R813" i="1"/>
  <c r="R621" i="1"/>
  <c r="R659" i="1"/>
  <c r="R370" i="1"/>
  <c r="R404" i="1"/>
  <c r="R449" i="1"/>
  <c r="R816" i="1"/>
  <c r="R38" i="1"/>
  <c r="R818" i="1"/>
  <c r="R197" i="1"/>
  <c r="R859" i="1"/>
  <c r="R37" i="1"/>
  <c r="R699" i="1"/>
  <c r="R862" i="1"/>
  <c r="R864" i="1"/>
  <c r="R36" i="1"/>
  <c r="R339" i="1"/>
  <c r="R865" i="1"/>
  <c r="R671" i="1"/>
  <c r="R866" i="1"/>
  <c r="R198" i="1"/>
  <c r="R74" i="1"/>
  <c r="R34" i="1"/>
  <c r="R868" i="1"/>
  <c r="R869" i="1"/>
  <c r="R525" i="1"/>
  <c r="R199" i="1"/>
  <c r="R405" i="1"/>
  <c r="R73" i="1"/>
  <c r="R226" i="1"/>
  <c r="R647" i="1"/>
  <c r="R700" i="1"/>
  <c r="R870" i="1"/>
  <c r="R871" i="1"/>
  <c r="R872" i="1"/>
  <c r="R162" i="1"/>
  <c r="R570" i="1"/>
  <c r="R873" i="1"/>
  <c r="R581" i="1"/>
  <c r="R874" i="1"/>
  <c r="R30" i="1"/>
  <c r="R278" i="1"/>
  <c r="R875" i="1"/>
  <c r="R632" i="1"/>
  <c r="R29" i="1"/>
  <c r="R406" i="1"/>
  <c r="R610" i="1"/>
  <c r="R28" i="1"/>
  <c r="R701" i="1"/>
  <c r="R876" i="1"/>
  <c r="R244" i="1"/>
  <c r="R71" i="1"/>
  <c r="R200" i="1"/>
  <c r="R26" i="1"/>
  <c r="R877" i="1"/>
  <c r="R878" i="1"/>
  <c r="R879" i="1"/>
  <c r="R182" i="1"/>
  <c r="R880" i="1"/>
  <c r="R515" i="1"/>
  <c r="R580" i="1"/>
  <c r="R881" i="1"/>
  <c r="R702" i="1"/>
  <c r="R407" i="1"/>
  <c r="R516" i="1"/>
  <c r="R338" i="1"/>
  <c r="R152" i="1"/>
  <c r="R882" i="1"/>
  <c r="R225" i="1"/>
  <c r="R20" i="1"/>
  <c r="R306" i="1"/>
  <c r="R883" i="1"/>
  <c r="R371" i="1"/>
  <c r="R522" i="1"/>
  <c r="R622" i="1"/>
  <c r="R703" i="1"/>
  <c r="R579" i="1"/>
  <c r="R884" i="1"/>
  <c r="R17" i="1"/>
  <c r="R273" i="1"/>
  <c r="R885" i="1"/>
  <c r="R16" i="1"/>
  <c r="R672" i="1"/>
  <c r="R467" i="1"/>
  <c r="R886" i="1"/>
  <c r="R408" i="1"/>
  <c r="R172" i="1"/>
  <c r="R67" i="1"/>
  <c r="R201" i="1"/>
  <c r="R631" i="1"/>
  <c r="R887" i="1"/>
  <c r="R486" i="1"/>
  <c r="R409" i="1"/>
  <c r="R12" i="1"/>
  <c r="R704" i="1"/>
  <c r="R558" i="1"/>
  <c r="R11" i="1"/>
  <c r="R66" i="1"/>
  <c r="R202" i="1"/>
  <c r="R337" i="1"/>
  <c r="R888" i="1"/>
  <c r="R889" i="1"/>
  <c r="R9" i="1"/>
  <c r="R541" i="1"/>
  <c r="R890" i="1"/>
  <c r="R891" i="1"/>
  <c r="AB17" i="1"/>
  <c r="R892" i="1"/>
  <c r="R7" i="1"/>
  <c r="R504" i="1"/>
  <c r="R893" i="1"/>
  <c r="R705" i="1"/>
  <c r="R65" i="1"/>
  <c r="R266" i="1"/>
  <c r="R500" i="1"/>
  <c r="R894" i="1"/>
  <c r="R4" i="1"/>
  <c r="R64" i="1"/>
  <c r="R1022" i="1"/>
  <c r="R895" i="1"/>
  <c r="R224" i="1"/>
  <c r="R456" i="1"/>
  <c r="R410" i="1"/>
  <c r="R598" i="1"/>
  <c r="R896" i="1"/>
  <c r="R293" i="1"/>
  <c r="R1021" i="1"/>
  <c r="R287" i="1"/>
  <c r="R706" i="1"/>
  <c r="R897" i="1"/>
  <c r="R898" i="1"/>
  <c r="R899" i="1"/>
  <c r="R900" i="1"/>
  <c r="R62" i="1"/>
  <c r="R1020" i="1"/>
  <c r="R203" i="1"/>
  <c r="R901" i="1"/>
  <c r="R902" i="1"/>
  <c r="R183" i="1"/>
  <c r="R903" i="1"/>
  <c r="R904" i="1"/>
  <c r="R61" i="1"/>
  <c r="R1019" i="1"/>
  <c r="R349" i="1"/>
  <c r="R576" i="1"/>
  <c r="R593" i="1"/>
  <c r="R905" i="1"/>
  <c r="R906" i="1"/>
  <c r="R907" i="1"/>
  <c r="R243" i="1"/>
  <c r="R1018" i="1"/>
  <c r="R707" i="1"/>
  <c r="R60" i="1"/>
  <c r="R411" i="1"/>
  <c r="R673" i="1"/>
  <c r="R908" i="1"/>
  <c r="R372" i="1"/>
  <c r="R1017" i="1"/>
  <c r="R909" i="1"/>
  <c r="R223" i="1"/>
  <c r="R485" i="1"/>
  <c r="R59" i="1"/>
  <c r="R262" i="1"/>
  <c r="R910" i="1"/>
  <c r="R607" i="1"/>
  <c r="R1016" i="1"/>
  <c r="R911" i="1"/>
  <c r="R912" i="1"/>
  <c r="R913" i="1"/>
  <c r="R914" i="1"/>
  <c r="R1015" i="1"/>
  <c r="R708" i="1"/>
  <c r="R915" i="1"/>
  <c r="R258" i="1"/>
  <c r="R58" i="1"/>
  <c r="R536" i="1"/>
  <c r="R151" i="1"/>
  <c r="R307" i="1"/>
  <c r="R613" i="1"/>
  <c r="R320" i="1"/>
  <c r="R374" i="1"/>
  <c r="R435" i="1"/>
  <c r="R360" i="1"/>
  <c r="R286" i="1"/>
  <c r="R412" i="1"/>
  <c r="R438" i="1"/>
  <c r="R323" i="1"/>
  <c r="R204" i="1"/>
  <c r="R463" i="1"/>
  <c r="R222" i="1"/>
  <c r="R263" i="1"/>
  <c r="R709" i="1"/>
  <c r="R440" i="1"/>
  <c r="R441" i="1"/>
  <c r="R1009" i="1"/>
  <c r="R630" i="1"/>
  <c r="R444" i="1"/>
  <c r="R514" i="1"/>
  <c r="R563" i="1"/>
  <c r="R184" i="1"/>
  <c r="R623" i="1"/>
  <c r="R646" i="1"/>
  <c r="R353" i="1"/>
  <c r="R484" i="1"/>
  <c r="R567" i="1"/>
  <c r="R1005" i="1"/>
  <c r="R675" i="1"/>
  <c r="R736" i="1"/>
  <c r="R740" i="1"/>
  <c r="R1004" i="1"/>
  <c r="R710" i="1"/>
  <c r="R573" i="1"/>
  <c r="R742" i="1"/>
  <c r="R150" i="1"/>
  <c r="R413" i="1"/>
  <c r="R798" i="1"/>
  <c r="R53" i="1"/>
  <c r="R805" i="1"/>
  <c r="R542" i="1"/>
  <c r="R660" i="1"/>
  <c r="R300" i="1"/>
  <c r="R173" i="1"/>
  <c r="R281" i="1"/>
  <c r="R808" i="1"/>
  <c r="R205" i="1"/>
  <c r="R51" i="1"/>
  <c r="R809" i="1"/>
  <c r="R812" i="1"/>
  <c r="R999" i="1"/>
  <c r="R711" i="1"/>
  <c r="R572" i="1"/>
  <c r="R185" i="1"/>
  <c r="R378" i="1"/>
  <c r="R571" i="1"/>
  <c r="R814" i="1"/>
  <c r="R997" i="1"/>
  <c r="R815" i="1"/>
  <c r="R414" i="1"/>
  <c r="R817" i="1"/>
  <c r="R274" i="1"/>
  <c r="R996" i="1"/>
  <c r="R50" i="1"/>
  <c r="R674" i="1"/>
  <c r="R856" i="1"/>
  <c r="R206" i="1"/>
  <c r="R857" i="1"/>
  <c r="R995" i="1"/>
  <c r="R712" i="1"/>
  <c r="R629" i="1"/>
  <c r="R858" i="1"/>
  <c r="R994" i="1"/>
  <c r="R49" i="1"/>
  <c r="R415" i="1"/>
  <c r="R860" i="1"/>
  <c r="R993" i="1"/>
  <c r="R861" i="1"/>
  <c r="R528" i="1"/>
  <c r="R863" i="1"/>
  <c r="R992" i="1"/>
  <c r="R221" i="1"/>
  <c r="R867" i="1"/>
  <c r="R916" i="1"/>
  <c r="R991" i="1"/>
  <c r="R560" i="1"/>
  <c r="R416" i="1"/>
  <c r="R917" i="1"/>
  <c r="R990" i="1"/>
  <c r="R713" i="1"/>
  <c r="R165" i="1"/>
  <c r="R918" i="1"/>
  <c r="R989" i="1"/>
  <c r="R207" i="1"/>
  <c r="R919" i="1"/>
  <c r="R920" i="1"/>
  <c r="R988" i="1"/>
  <c r="R921" i="1"/>
  <c r="R922" i="1"/>
  <c r="R923" i="1"/>
  <c r="R987" i="1"/>
  <c r="R924" i="1"/>
  <c r="R48" i="1"/>
  <c r="R925" i="1"/>
  <c r="R986" i="1"/>
  <c r="R926" i="1"/>
  <c r="R417" i="1"/>
  <c r="R927" i="1"/>
  <c r="R985" i="1"/>
  <c r="R714" i="1"/>
  <c r="R208" i="1"/>
  <c r="R379" i="1"/>
  <c r="R928" i="1"/>
  <c r="R983" i="1"/>
  <c r="R929" i="1"/>
  <c r="R930" i="1"/>
  <c r="R931" i="1"/>
  <c r="R982" i="1"/>
  <c r="R277" i="1"/>
  <c r="R505" i="1"/>
  <c r="R932" i="1"/>
  <c r="R311" i="1"/>
  <c r="R933" i="1"/>
  <c r="R934" i="1"/>
  <c r="R47" i="1"/>
  <c r="R715" i="1"/>
  <c r="R332" i="1"/>
  <c r="R935" i="1"/>
  <c r="R186" i="1"/>
  <c r="R161" i="1"/>
  <c r="R936" i="1"/>
  <c r="R292" i="1"/>
  <c r="R530" i="1"/>
  <c r="R937" i="1"/>
  <c r="R46" i="1"/>
  <c r="R938" i="1"/>
  <c r="R252" i="1"/>
  <c r="R209" i="1"/>
  <c r="R418" i="1"/>
  <c r="R483" i="1"/>
  <c r="R565" i="1"/>
  <c r="R716" i="1"/>
  <c r="R328" i="1"/>
  <c r="R319" i="1"/>
  <c r="R149" i="1"/>
  <c r="R645" i="1"/>
  <c r="R939" i="1"/>
  <c r="R608" i="1"/>
  <c r="R940" i="1"/>
  <c r="R941" i="1"/>
  <c r="R220" i="1"/>
  <c r="R1014" i="1"/>
  <c r="R942" i="1"/>
  <c r="R464" i="1"/>
  <c r="R943" i="1"/>
  <c r="R1013" i="1"/>
  <c r="R321" i="1"/>
  <c r="R624" i="1"/>
  <c r="R944" i="1"/>
  <c r="R1012" i="1"/>
  <c r="R717" i="1"/>
  <c r="R44" i="1"/>
  <c r="R945" i="1"/>
  <c r="R1011" i="1"/>
  <c r="R327" i="1"/>
  <c r="R419" i="1"/>
  <c r="R946" i="1"/>
  <c r="R1010" i="1"/>
  <c r="R947" i="1"/>
  <c r="R242" i="1"/>
  <c r="R466" i="1"/>
  <c r="R249" i="1"/>
  <c r="R615" i="1"/>
  <c r="R509" i="1"/>
  <c r="R948" i="1"/>
  <c r="R628" i="1"/>
  <c r="R1008" i="1"/>
  <c r="R949" i="1"/>
  <c r="R950" i="1"/>
  <c r="R951" i="1"/>
  <c r="R1007" i="1"/>
  <c r="R718" i="1"/>
  <c r="R420" i="1"/>
  <c r="R447" i="1"/>
  <c r="R952" i="1"/>
  <c r="R953" i="1"/>
  <c r="R187" i="1"/>
  <c r="R1006" i="1"/>
  <c r="R210" i="1"/>
  <c r="R954" i="1"/>
  <c r="R955" i="1"/>
  <c r="R275" i="1"/>
  <c r="R174" i="1"/>
  <c r="R219" i="1"/>
  <c r="R267" i="1"/>
  <c r="R956" i="1"/>
  <c r="R654" i="1"/>
  <c r="R148" i="1"/>
  <c r="R957" i="1"/>
  <c r="R211" i="1"/>
  <c r="R361" i="1"/>
  <c r="R1003" i="1"/>
  <c r="R719" i="1"/>
  <c r="R553" i="1"/>
  <c r="R958" i="1"/>
  <c r="R1002" i="1"/>
  <c r="R310" i="1"/>
  <c r="R421" i="1"/>
  <c r="R959" i="1"/>
  <c r="R1001" i="1"/>
  <c r="R960" i="1"/>
  <c r="R627" i="1"/>
  <c r="R961" i="1"/>
  <c r="R1000" i="1"/>
  <c r="R609" i="1"/>
  <c r="R661" i="1"/>
  <c r="R962" i="1"/>
  <c r="R212" i="1"/>
  <c r="R963" i="1"/>
  <c r="R482" i="1"/>
  <c r="R964" i="1"/>
  <c r="R965" i="1"/>
  <c r="R998" i="1"/>
  <c r="R720" i="1"/>
  <c r="R39" i="1"/>
  <c r="R218" i="1"/>
  <c r="R289" i="1"/>
  <c r="R348" i="1"/>
  <c r="R422" i="1"/>
  <c r="R168" i="1"/>
  <c r="R308" i="1"/>
  <c r="R241" i="1"/>
  <c r="R966" i="1"/>
  <c r="R497" i="1"/>
  <c r="R967" i="1"/>
  <c r="R213" i="1"/>
  <c r="R188" i="1"/>
  <c r="R968" i="1"/>
  <c r="R969" i="1"/>
  <c r="R214" i="1"/>
  <c r="R970" i="1"/>
  <c r="R971" i="1"/>
  <c r="R324" i="1"/>
  <c r="R380" i="1"/>
  <c r="R721" i="1"/>
  <c r="R972" i="1"/>
  <c r="R217" i="1"/>
  <c r="R599" i="1"/>
  <c r="R147" i="1"/>
  <c r="R511" i="1"/>
  <c r="R625" i="1"/>
  <c r="R283" i="1"/>
  <c r="R973" i="1"/>
  <c r="R481" i="1"/>
  <c r="R521" i="1"/>
  <c r="R35" i="1"/>
  <c r="R425" i="1"/>
  <c r="R543" i="1"/>
  <c r="R974" i="1"/>
  <c r="R592" i="1"/>
  <c r="R975" i="1"/>
  <c r="R506" i="1"/>
  <c r="R276" i="1"/>
  <c r="R381" i="1"/>
  <c r="R722" i="1"/>
  <c r="R520" i="1"/>
  <c r="R976" i="1"/>
  <c r="R284" i="1"/>
  <c r="R446" i="1"/>
  <c r="R330" i="1"/>
  <c r="R551" i="1"/>
  <c r="R651" i="1"/>
  <c r="R1023" i="1"/>
  <c r="R216" i="1"/>
  <c r="R423" i="1"/>
  <c r="R1024" i="1"/>
  <c r="R1025" i="1"/>
  <c r="R27" i="1"/>
  <c r="R984" i="1"/>
  <c r="R561" i="1"/>
  <c r="R1026" i="1"/>
  <c r="R1027" i="1"/>
  <c r="R382" i="1"/>
  <c r="R470" i="1"/>
  <c r="R189" i="1"/>
  <c r="R495" i="1"/>
  <c r="R426" i="1"/>
  <c r="R723" i="1"/>
  <c r="R480" i="1"/>
  <c r="R298" i="1"/>
  <c r="R295" i="1"/>
  <c r="R981" i="1"/>
  <c r="R427" i="1"/>
  <c r="R1028" i="1"/>
  <c r="R1029" i="1"/>
  <c r="R980" i="1"/>
  <c r="R519" i="1"/>
  <c r="R428" i="1"/>
  <c r="R24" i="1"/>
  <c r="R979" i="1"/>
  <c r="R550" i="1"/>
  <c r="R650" i="1"/>
  <c r="R537" i="1"/>
  <c r="R978" i="1"/>
  <c r="R552" i="1"/>
  <c r="R424" i="1"/>
  <c r="R429" i="1"/>
  <c r="R977" i="1"/>
  <c r="R724" i="1"/>
  <c r="R215" i="1"/>
  <c r="R309" i="1"/>
  <c r="R626" i="1"/>
  <c r="R22" i="1"/>
  <c r="R430" i="1"/>
  <c r="AH16" i="1" l="1"/>
  <c r="AG16" i="1"/>
  <c r="AF16" i="1"/>
  <c r="AE16" i="1"/>
  <c r="AD16" i="1"/>
  <c r="AC16" i="1"/>
  <c r="AB1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816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</futureMetadata>
  <cellMetadata count="1">
    <bk>
      <rc t="1" v="0"/>
    </bk>
  </cellMetadata>
  <valueMetadata count="816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  <bk>
      <rc t="2" v="1530"/>
    </bk>
    <bk>
      <rc t="2" v="1531"/>
    </bk>
    <bk>
      <rc t="2" v="1532"/>
    </bk>
    <bk>
      <rc t="2" v="1533"/>
    </bk>
    <bk>
      <rc t="2" v="1534"/>
    </bk>
    <bk>
      <rc t="2" v="1535"/>
    </bk>
    <bk>
      <rc t="2" v="1536"/>
    </bk>
    <bk>
      <rc t="2" v="1537"/>
    </bk>
    <bk>
      <rc t="2" v="1538"/>
    </bk>
    <bk>
      <rc t="2" v="1539"/>
    </bk>
    <bk>
      <rc t="2" v="1540"/>
    </bk>
    <bk>
      <rc t="2" v="1541"/>
    </bk>
    <bk>
      <rc t="2" v="1542"/>
    </bk>
    <bk>
      <rc t="2" v="1543"/>
    </bk>
    <bk>
      <rc t="2" v="1544"/>
    </bk>
    <bk>
      <rc t="2" v="1545"/>
    </bk>
    <bk>
      <rc t="2" v="1546"/>
    </bk>
    <bk>
      <rc t="2" v="1547"/>
    </bk>
    <bk>
      <rc t="2" v="1548"/>
    </bk>
    <bk>
      <rc t="2" v="1549"/>
    </bk>
    <bk>
      <rc t="2" v="1550"/>
    </bk>
    <bk>
      <rc t="2" v="1551"/>
    </bk>
    <bk>
      <rc t="2" v="1552"/>
    </bk>
    <bk>
      <rc t="2" v="1553"/>
    </bk>
    <bk>
      <rc t="2" v="1554"/>
    </bk>
    <bk>
      <rc t="2" v="1555"/>
    </bk>
    <bk>
      <rc t="2" v="1556"/>
    </bk>
    <bk>
      <rc t="2" v="1557"/>
    </bk>
    <bk>
      <rc t="2" v="1558"/>
    </bk>
    <bk>
      <rc t="2" v="1559"/>
    </bk>
    <bk>
      <rc t="2" v="1560"/>
    </bk>
    <bk>
      <rc t="2" v="1561"/>
    </bk>
    <bk>
      <rc t="2" v="1562"/>
    </bk>
    <bk>
      <rc t="2" v="1563"/>
    </bk>
    <bk>
      <rc t="2" v="1564"/>
    </bk>
    <bk>
      <rc t="2" v="1565"/>
    </bk>
    <bk>
      <rc t="2" v="1566"/>
    </bk>
    <bk>
      <rc t="2" v="1567"/>
    </bk>
    <bk>
      <rc t="2" v="1568"/>
    </bk>
    <bk>
      <rc t="2" v="1569"/>
    </bk>
    <bk>
      <rc t="2" v="1570"/>
    </bk>
    <bk>
      <rc t="2" v="1571"/>
    </bk>
    <bk>
      <rc t="2" v="1572"/>
    </bk>
    <bk>
      <rc t="2" v="1573"/>
    </bk>
    <bk>
      <rc t="2" v="1574"/>
    </bk>
    <bk>
      <rc t="2" v="1575"/>
    </bk>
    <bk>
      <rc t="2" v="1576"/>
    </bk>
    <bk>
      <rc t="2" v="1577"/>
    </bk>
    <bk>
      <rc t="2" v="1578"/>
    </bk>
    <bk>
      <rc t="2" v="1579"/>
    </bk>
    <bk>
      <rc t="2" v="1580"/>
    </bk>
    <bk>
      <rc t="2" v="1581"/>
    </bk>
    <bk>
      <rc t="2" v="1582"/>
    </bk>
    <bk>
      <rc t="2" v="1583"/>
    </bk>
    <bk>
      <rc t="2" v="1584"/>
    </bk>
    <bk>
      <rc t="2" v="1585"/>
    </bk>
    <bk>
      <rc t="2" v="1586"/>
    </bk>
    <bk>
      <rc t="2" v="1587"/>
    </bk>
    <bk>
      <rc t="2" v="1588"/>
    </bk>
    <bk>
      <rc t="2" v="1589"/>
    </bk>
    <bk>
      <rc t="2" v="1590"/>
    </bk>
    <bk>
      <rc t="2" v="1591"/>
    </bk>
    <bk>
      <rc t="2" v="1592"/>
    </bk>
    <bk>
      <rc t="2" v="1593"/>
    </bk>
    <bk>
      <rc t="2" v="1594"/>
    </bk>
    <bk>
      <rc t="2" v="1595"/>
    </bk>
    <bk>
      <rc t="2" v="1596"/>
    </bk>
    <bk>
      <rc t="2" v="1597"/>
    </bk>
    <bk>
      <rc t="2" v="1598"/>
    </bk>
    <bk>
      <rc t="2" v="1599"/>
    </bk>
    <bk>
      <rc t="2" v="1600"/>
    </bk>
    <bk>
      <rc t="2" v="1601"/>
    </bk>
    <bk>
      <rc t="2" v="1602"/>
    </bk>
    <bk>
      <rc t="2" v="1603"/>
    </bk>
    <bk>
      <rc t="2" v="1604"/>
    </bk>
    <bk>
      <rc t="2" v="1605"/>
    </bk>
    <bk>
      <rc t="2" v="1606"/>
    </bk>
    <bk>
      <rc t="2" v="1607"/>
    </bk>
    <bk>
      <rc t="2" v="1608"/>
    </bk>
    <bk>
      <rc t="2" v="1609"/>
    </bk>
    <bk>
      <rc t="2" v="1610"/>
    </bk>
    <bk>
      <rc t="2" v="1611"/>
    </bk>
    <bk>
      <rc t="2" v="1612"/>
    </bk>
    <bk>
      <rc t="2" v="1613"/>
    </bk>
    <bk>
      <rc t="2" v="1614"/>
    </bk>
    <bk>
      <rc t="2" v="1615"/>
    </bk>
    <bk>
      <rc t="2" v="1616"/>
    </bk>
    <bk>
      <rc t="2" v="1617"/>
    </bk>
    <bk>
      <rc t="2" v="1618"/>
    </bk>
    <bk>
      <rc t="2" v="1619"/>
    </bk>
    <bk>
      <rc t="2" v="1620"/>
    </bk>
    <bk>
      <rc t="2" v="1621"/>
    </bk>
    <bk>
      <rc t="2" v="1622"/>
    </bk>
    <bk>
      <rc t="2" v="1623"/>
    </bk>
    <bk>
      <rc t="2" v="1624"/>
    </bk>
    <bk>
      <rc t="2" v="1625"/>
    </bk>
    <bk>
      <rc t="2" v="1626"/>
    </bk>
    <bk>
      <rc t="2" v="1627"/>
    </bk>
    <bk>
      <rc t="2" v="1628"/>
    </bk>
    <bk>
      <rc t="2" v="1629"/>
    </bk>
    <bk>
      <rc t="2" v="1630"/>
    </bk>
    <bk>
      <rc t="2" v="1631"/>
    </bk>
    <bk>
      <rc t="2" v="1632"/>
    </bk>
    <bk>
      <rc t="2" v="1633"/>
    </bk>
    <bk>
      <rc t="2" v="1634"/>
    </bk>
    <bk>
      <rc t="2" v="1635"/>
    </bk>
    <bk>
      <rc t="2" v="1636"/>
    </bk>
    <bk>
      <rc t="2" v="1637"/>
    </bk>
    <bk>
      <rc t="2" v="1638"/>
    </bk>
    <bk>
      <rc t="2" v="1639"/>
    </bk>
    <bk>
      <rc t="2" v="1640"/>
    </bk>
    <bk>
      <rc t="2" v="1641"/>
    </bk>
    <bk>
      <rc t="2" v="1642"/>
    </bk>
    <bk>
      <rc t="2" v="1643"/>
    </bk>
    <bk>
      <rc t="2" v="1644"/>
    </bk>
    <bk>
      <rc t="2" v="1645"/>
    </bk>
    <bk>
      <rc t="2" v="1646"/>
    </bk>
    <bk>
      <rc t="2" v="1647"/>
    </bk>
    <bk>
      <rc t="2" v="1648"/>
    </bk>
    <bk>
      <rc t="2" v="1649"/>
    </bk>
    <bk>
      <rc t="2" v="1650"/>
    </bk>
    <bk>
      <rc t="2" v="1651"/>
    </bk>
    <bk>
      <rc t="2" v="1652"/>
    </bk>
    <bk>
      <rc t="2" v="1653"/>
    </bk>
    <bk>
      <rc t="2" v="1654"/>
    </bk>
    <bk>
      <rc t="2" v="1655"/>
    </bk>
    <bk>
      <rc t="2" v="1656"/>
    </bk>
    <bk>
      <rc t="2" v="1657"/>
    </bk>
    <bk>
      <rc t="2" v="1658"/>
    </bk>
    <bk>
      <rc t="2" v="1659"/>
    </bk>
    <bk>
      <rc t="2" v="1660"/>
    </bk>
    <bk>
      <rc t="2" v="1661"/>
    </bk>
    <bk>
      <rc t="2" v="1662"/>
    </bk>
    <bk>
      <rc t="2" v="1663"/>
    </bk>
    <bk>
      <rc t="2" v="1664"/>
    </bk>
    <bk>
      <rc t="2" v="1665"/>
    </bk>
    <bk>
      <rc t="2" v="1666"/>
    </bk>
    <bk>
      <rc t="2" v="1667"/>
    </bk>
    <bk>
      <rc t="2" v="1668"/>
    </bk>
    <bk>
      <rc t="2" v="1669"/>
    </bk>
    <bk>
      <rc t="2" v="1670"/>
    </bk>
    <bk>
      <rc t="2" v="1671"/>
    </bk>
    <bk>
      <rc t="2" v="1672"/>
    </bk>
    <bk>
      <rc t="2" v="1673"/>
    </bk>
    <bk>
      <rc t="2" v="1674"/>
    </bk>
    <bk>
      <rc t="2" v="1675"/>
    </bk>
    <bk>
      <rc t="2" v="1676"/>
    </bk>
    <bk>
      <rc t="2" v="1677"/>
    </bk>
    <bk>
      <rc t="2" v="1678"/>
    </bk>
    <bk>
      <rc t="2" v="1679"/>
    </bk>
    <bk>
      <rc t="2" v="1680"/>
    </bk>
    <bk>
      <rc t="2" v="1681"/>
    </bk>
    <bk>
      <rc t="2" v="1682"/>
    </bk>
    <bk>
      <rc t="2" v="1683"/>
    </bk>
    <bk>
      <rc t="2" v="1684"/>
    </bk>
    <bk>
      <rc t="2" v="1685"/>
    </bk>
    <bk>
      <rc t="2" v="1686"/>
    </bk>
    <bk>
      <rc t="2" v="1687"/>
    </bk>
    <bk>
      <rc t="2" v="1688"/>
    </bk>
    <bk>
      <rc t="2" v="1689"/>
    </bk>
    <bk>
      <rc t="2" v="1690"/>
    </bk>
    <bk>
      <rc t="2" v="1691"/>
    </bk>
    <bk>
      <rc t="2" v="1692"/>
    </bk>
    <bk>
      <rc t="2" v="1693"/>
    </bk>
    <bk>
      <rc t="2" v="1694"/>
    </bk>
    <bk>
      <rc t="2" v="1695"/>
    </bk>
    <bk>
      <rc t="2" v="1696"/>
    </bk>
    <bk>
      <rc t="2" v="1697"/>
    </bk>
    <bk>
      <rc t="2" v="1698"/>
    </bk>
    <bk>
      <rc t="2" v="1699"/>
    </bk>
    <bk>
      <rc t="2" v="1700"/>
    </bk>
    <bk>
      <rc t="2" v="1701"/>
    </bk>
    <bk>
      <rc t="2" v="1702"/>
    </bk>
    <bk>
      <rc t="2" v="1703"/>
    </bk>
    <bk>
      <rc t="2" v="1704"/>
    </bk>
    <bk>
      <rc t="2" v="1705"/>
    </bk>
    <bk>
      <rc t="2" v="1706"/>
    </bk>
    <bk>
      <rc t="2" v="1707"/>
    </bk>
    <bk>
      <rc t="2" v="1708"/>
    </bk>
    <bk>
      <rc t="2" v="1709"/>
    </bk>
    <bk>
      <rc t="2" v="1710"/>
    </bk>
    <bk>
      <rc t="2" v="1711"/>
    </bk>
    <bk>
      <rc t="2" v="1712"/>
    </bk>
    <bk>
      <rc t="2" v="1713"/>
    </bk>
    <bk>
      <rc t="2" v="1714"/>
    </bk>
    <bk>
      <rc t="2" v="1715"/>
    </bk>
    <bk>
      <rc t="2" v="1716"/>
    </bk>
    <bk>
      <rc t="2" v="1717"/>
    </bk>
    <bk>
      <rc t="2" v="1718"/>
    </bk>
    <bk>
      <rc t="2" v="1719"/>
    </bk>
    <bk>
      <rc t="2" v="1720"/>
    </bk>
    <bk>
      <rc t="2" v="1721"/>
    </bk>
    <bk>
      <rc t="2" v="1722"/>
    </bk>
    <bk>
      <rc t="2" v="1723"/>
    </bk>
    <bk>
      <rc t="2" v="1724"/>
    </bk>
    <bk>
      <rc t="2" v="1725"/>
    </bk>
    <bk>
      <rc t="2" v="1726"/>
    </bk>
    <bk>
      <rc t="2" v="1727"/>
    </bk>
    <bk>
      <rc t="2" v="1728"/>
    </bk>
    <bk>
      <rc t="2" v="1729"/>
    </bk>
    <bk>
      <rc t="2" v="1730"/>
    </bk>
    <bk>
      <rc t="2" v="1731"/>
    </bk>
    <bk>
      <rc t="2" v="1732"/>
    </bk>
    <bk>
      <rc t="2" v="1733"/>
    </bk>
    <bk>
      <rc t="2" v="1734"/>
    </bk>
    <bk>
      <rc t="2" v="1735"/>
    </bk>
    <bk>
      <rc t="2" v="1736"/>
    </bk>
    <bk>
      <rc t="2" v="1737"/>
    </bk>
    <bk>
      <rc t="2" v="1738"/>
    </bk>
    <bk>
      <rc t="2" v="1739"/>
    </bk>
    <bk>
      <rc t="2" v="1740"/>
    </bk>
    <bk>
      <rc t="2" v="1741"/>
    </bk>
    <bk>
      <rc t="2" v="1742"/>
    </bk>
    <bk>
      <rc t="2" v="1743"/>
    </bk>
    <bk>
      <rc t="2" v="1744"/>
    </bk>
    <bk>
      <rc t="2" v="1745"/>
    </bk>
    <bk>
      <rc t="2" v="1746"/>
    </bk>
    <bk>
      <rc t="2" v="1747"/>
    </bk>
    <bk>
      <rc t="2" v="1748"/>
    </bk>
    <bk>
      <rc t="2" v="1749"/>
    </bk>
    <bk>
      <rc t="2" v="1750"/>
    </bk>
    <bk>
      <rc t="2" v="1751"/>
    </bk>
    <bk>
      <rc t="2" v="1752"/>
    </bk>
    <bk>
      <rc t="2" v="1753"/>
    </bk>
    <bk>
      <rc t="2" v="1754"/>
    </bk>
    <bk>
      <rc t="2" v="1755"/>
    </bk>
    <bk>
      <rc t="2" v="1756"/>
    </bk>
    <bk>
      <rc t="2" v="1757"/>
    </bk>
    <bk>
      <rc t="2" v="1758"/>
    </bk>
    <bk>
      <rc t="2" v="1759"/>
    </bk>
    <bk>
      <rc t="2" v="1760"/>
    </bk>
    <bk>
      <rc t="2" v="1761"/>
    </bk>
    <bk>
      <rc t="2" v="1762"/>
    </bk>
    <bk>
      <rc t="2" v="1763"/>
    </bk>
    <bk>
      <rc t="2" v="1764"/>
    </bk>
    <bk>
      <rc t="2" v="1765"/>
    </bk>
    <bk>
      <rc t="2" v="1766"/>
    </bk>
    <bk>
      <rc t="2" v="1767"/>
    </bk>
    <bk>
      <rc t="2" v="1768"/>
    </bk>
    <bk>
      <rc t="2" v="1769"/>
    </bk>
    <bk>
      <rc t="2" v="1770"/>
    </bk>
    <bk>
      <rc t="2" v="1771"/>
    </bk>
    <bk>
      <rc t="2" v="1772"/>
    </bk>
    <bk>
      <rc t="2" v="1773"/>
    </bk>
    <bk>
      <rc t="2" v="1774"/>
    </bk>
    <bk>
      <rc t="2" v="1775"/>
    </bk>
    <bk>
      <rc t="2" v="1776"/>
    </bk>
    <bk>
      <rc t="2" v="1777"/>
    </bk>
    <bk>
      <rc t="2" v="1778"/>
    </bk>
    <bk>
      <rc t="2" v="1779"/>
    </bk>
    <bk>
      <rc t="2" v="1780"/>
    </bk>
    <bk>
      <rc t="2" v="1781"/>
    </bk>
    <bk>
      <rc t="2" v="1782"/>
    </bk>
    <bk>
      <rc t="2" v="1783"/>
    </bk>
    <bk>
      <rc t="2" v="1784"/>
    </bk>
    <bk>
      <rc t="2" v="1785"/>
    </bk>
    <bk>
      <rc t="2" v="1786"/>
    </bk>
    <bk>
      <rc t="2" v="1787"/>
    </bk>
    <bk>
      <rc t="2" v="1788"/>
    </bk>
    <bk>
      <rc t="2" v="1789"/>
    </bk>
    <bk>
      <rc t="2" v="1790"/>
    </bk>
    <bk>
      <rc t="2" v="1791"/>
    </bk>
    <bk>
      <rc t="2" v="1792"/>
    </bk>
    <bk>
      <rc t="2" v="1793"/>
    </bk>
    <bk>
      <rc t="2" v="1794"/>
    </bk>
    <bk>
      <rc t="2" v="1795"/>
    </bk>
    <bk>
      <rc t="2" v="1796"/>
    </bk>
    <bk>
      <rc t="2" v="1797"/>
    </bk>
    <bk>
      <rc t="2" v="1798"/>
    </bk>
    <bk>
      <rc t="2" v="1799"/>
    </bk>
    <bk>
      <rc t="2" v="1800"/>
    </bk>
    <bk>
      <rc t="2" v="1801"/>
    </bk>
    <bk>
      <rc t="2" v="1802"/>
    </bk>
    <bk>
      <rc t="2" v="1803"/>
    </bk>
    <bk>
      <rc t="2" v="1804"/>
    </bk>
    <bk>
      <rc t="2" v="1805"/>
    </bk>
    <bk>
      <rc t="2" v="1806"/>
    </bk>
    <bk>
      <rc t="2" v="1807"/>
    </bk>
    <bk>
      <rc t="2" v="1808"/>
    </bk>
    <bk>
      <rc t="2" v="1809"/>
    </bk>
    <bk>
      <rc t="2" v="1810"/>
    </bk>
    <bk>
      <rc t="2" v="1811"/>
    </bk>
    <bk>
      <rc t="2" v="1812"/>
    </bk>
    <bk>
      <rc t="2" v="1813"/>
    </bk>
    <bk>
      <rc t="2" v="1814"/>
    </bk>
    <bk>
      <rc t="2" v="1815"/>
    </bk>
    <bk>
      <rc t="2" v="1816"/>
    </bk>
    <bk>
      <rc t="2" v="1817"/>
    </bk>
    <bk>
      <rc t="2" v="1818"/>
    </bk>
    <bk>
      <rc t="2" v="1819"/>
    </bk>
    <bk>
      <rc t="2" v="1820"/>
    </bk>
    <bk>
      <rc t="2" v="1821"/>
    </bk>
    <bk>
      <rc t="2" v="1822"/>
    </bk>
    <bk>
      <rc t="2" v="1823"/>
    </bk>
    <bk>
      <rc t="2" v="1824"/>
    </bk>
    <bk>
      <rc t="2" v="1825"/>
    </bk>
    <bk>
      <rc t="2" v="1826"/>
    </bk>
    <bk>
      <rc t="2" v="1827"/>
    </bk>
    <bk>
      <rc t="2" v="1828"/>
    </bk>
    <bk>
      <rc t="2" v="1829"/>
    </bk>
    <bk>
      <rc t="2" v="1830"/>
    </bk>
    <bk>
      <rc t="2" v="1831"/>
    </bk>
    <bk>
      <rc t="2" v="1832"/>
    </bk>
    <bk>
      <rc t="2" v="1833"/>
    </bk>
    <bk>
      <rc t="2" v="1834"/>
    </bk>
    <bk>
      <rc t="2" v="1835"/>
    </bk>
    <bk>
      <rc t="2" v="1836"/>
    </bk>
    <bk>
      <rc t="2" v="1837"/>
    </bk>
    <bk>
      <rc t="2" v="1838"/>
    </bk>
    <bk>
      <rc t="2" v="1839"/>
    </bk>
    <bk>
      <rc t="2" v="1840"/>
    </bk>
    <bk>
      <rc t="2" v="1841"/>
    </bk>
    <bk>
      <rc t="2" v="1842"/>
    </bk>
    <bk>
      <rc t="2" v="1843"/>
    </bk>
    <bk>
      <rc t="2" v="1844"/>
    </bk>
    <bk>
      <rc t="2" v="1845"/>
    </bk>
    <bk>
      <rc t="2" v="1846"/>
    </bk>
    <bk>
      <rc t="2" v="1847"/>
    </bk>
    <bk>
      <rc t="2" v="1848"/>
    </bk>
    <bk>
      <rc t="2" v="1849"/>
    </bk>
    <bk>
      <rc t="2" v="1850"/>
    </bk>
    <bk>
      <rc t="2" v="1851"/>
    </bk>
    <bk>
      <rc t="2" v="1852"/>
    </bk>
    <bk>
      <rc t="2" v="1853"/>
    </bk>
    <bk>
      <rc t="2" v="1854"/>
    </bk>
    <bk>
      <rc t="2" v="1855"/>
    </bk>
    <bk>
      <rc t="2" v="1856"/>
    </bk>
    <bk>
      <rc t="2" v="1857"/>
    </bk>
    <bk>
      <rc t="2" v="1858"/>
    </bk>
    <bk>
      <rc t="2" v="1859"/>
    </bk>
    <bk>
      <rc t="2" v="1860"/>
    </bk>
    <bk>
      <rc t="2" v="1861"/>
    </bk>
    <bk>
      <rc t="2" v="1862"/>
    </bk>
    <bk>
      <rc t="2" v="1863"/>
    </bk>
    <bk>
      <rc t="2" v="1864"/>
    </bk>
    <bk>
      <rc t="2" v="1865"/>
    </bk>
    <bk>
      <rc t="2" v="1866"/>
    </bk>
    <bk>
      <rc t="2" v="1867"/>
    </bk>
    <bk>
      <rc t="2" v="1868"/>
    </bk>
    <bk>
      <rc t="2" v="1869"/>
    </bk>
    <bk>
      <rc t="2" v="1870"/>
    </bk>
    <bk>
      <rc t="2" v="1871"/>
    </bk>
    <bk>
      <rc t="2" v="1872"/>
    </bk>
    <bk>
      <rc t="2" v="1873"/>
    </bk>
    <bk>
      <rc t="2" v="1874"/>
    </bk>
    <bk>
      <rc t="2" v="1875"/>
    </bk>
    <bk>
      <rc t="2" v="1876"/>
    </bk>
    <bk>
      <rc t="2" v="1877"/>
    </bk>
    <bk>
      <rc t="2" v="1878"/>
    </bk>
    <bk>
      <rc t="2" v="1879"/>
    </bk>
    <bk>
      <rc t="2" v="1880"/>
    </bk>
    <bk>
      <rc t="2" v="1881"/>
    </bk>
    <bk>
      <rc t="2" v="1882"/>
    </bk>
    <bk>
      <rc t="2" v="1883"/>
    </bk>
    <bk>
      <rc t="2" v="1884"/>
    </bk>
    <bk>
      <rc t="2" v="1885"/>
    </bk>
    <bk>
      <rc t="2" v="1886"/>
    </bk>
    <bk>
      <rc t="2" v="1887"/>
    </bk>
    <bk>
      <rc t="2" v="1888"/>
    </bk>
    <bk>
      <rc t="2" v="1889"/>
    </bk>
    <bk>
      <rc t="2" v="1890"/>
    </bk>
    <bk>
      <rc t="2" v="1891"/>
    </bk>
    <bk>
      <rc t="2" v="1892"/>
    </bk>
    <bk>
      <rc t="2" v="1893"/>
    </bk>
    <bk>
      <rc t="2" v="1894"/>
    </bk>
    <bk>
      <rc t="2" v="1895"/>
    </bk>
    <bk>
      <rc t="2" v="1896"/>
    </bk>
    <bk>
      <rc t="2" v="1897"/>
    </bk>
    <bk>
      <rc t="2" v="1898"/>
    </bk>
    <bk>
      <rc t="2" v="1899"/>
    </bk>
    <bk>
      <rc t="2" v="1900"/>
    </bk>
    <bk>
      <rc t="2" v="1901"/>
    </bk>
    <bk>
      <rc t="2" v="1902"/>
    </bk>
    <bk>
      <rc t="2" v="1903"/>
    </bk>
    <bk>
      <rc t="2" v="1904"/>
    </bk>
    <bk>
      <rc t="2" v="1905"/>
    </bk>
    <bk>
      <rc t="2" v="1906"/>
    </bk>
    <bk>
      <rc t="2" v="1907"/>
    </bk>
    <bk>
      <rc t="2" v="1908"/>
    </bk>
    <bk>
      <rc t="2" v="1909"/>
    </bk>
    <bk>
      <rc t="2" v="1910"/>
    </bk>
    <bk>
      <rc t="2" v="1911"/>
    </bk>
    <bk>
      <rc t="2" v="1912"/>
    </bk>
    <bk>
      <rc t="2" v="1913"/>
    </bk>
    <bk>
      <rc t="2" v="1914"/>
    </bk>
    <bk>
      <rc t="2" v="1915"/>
    </bk>
    <bk>
      <rc t="2" v="1916"/>
    </bk>
    <bk>
      <rc t="2" v="1917"/>
    </bk>
    <bk>
      <rc t="2" v="1918"/>
    </bk>
    <bk>
      <rc t="2" v="1919"/>
    </bk>
    <bk>
      <rc t="2" v="1920"/>
    </bk>
    <bk>
      <rc t="2" v="1921"/>
    </bk>
    <bk>
      <rc t="2" v="1922"/>
    </bk>
    <bk>
      <rc t="2" v="1923"/>
    </bk>
    <bk>
      <rc t="2" v="1924"/>
    </bk>
    <bk>
      <rc t="2" v="1925"/>
    </bk>
    <bk>
      <rc t="2" v="1926"/>
    </bk>
    <bk>
      <rc t="2" v="1927"/>
    </bk>
    <bk>
      <rc t="2" v="1928"/>
    </bk>
    <bk>
      <rc t="2" v="1929"/>
    </bk>
    <bk>
      <rc t="2" v="1930"/>
    </bk>
    <bk>
      <rc t="2" v="1931"/>
    </bk>
    <bk>
      <rc t="2" v="1932"/>
    </bk>
    <bk>
      <rc t="2" v="1933"/>
    </bk>
    <bk>
      <rc t="2" v="1934"/>
    </bk>
    <bk>
      <rc t="2" v="1935"/>
    </bk>
    <bk>
      <rc t="2" v="1936"/>
    </bk>
    <bk>
      <rc t="2" v="1937"/>
    </bk>
    <bk>
      <rc t="2" v="1938"/>
    </bk>
    <bk>
      <rc t="2" v="1939"/>
    </bk>
    <bk>
      <rc t="2" v="1940"/>
    </bk>
    <bk>
      <rc t="2" v="1941"/>
    </bk>
    <bk>
      <rc t="2" v="1942"/>
    </bk>
    <bk>
      <rc t="2" v="1943"/>
    </bk>
    <bk>
      <rc t="2" v="1944"/>
    </bk>
    <bk>
      <rc t="2" v="1945"/>
    </bk>
    <bk>
      <rc t="2" v="1946"/>
    </bk>
    <bk>
      <rc t="2" v="1947"/>
    </bk>
    <bk>
      <rc t="2" v="1948"/>
    </bk>
    <bk>
      <rc t="2" v="1949"/>
    </bk>
    <bk>
      <rc t="2" v="1950"/>
    </bk>
    <bk>
      <rc t="2" v="1951"/>
    </bk>
    <bk>
      <rc t="2" v="1952"/>
    </bk>
    <bk>
      <rc t="2" v="1953"/>
    </bk>
    <bk>
      <rc t="2" v="1954"/>
    </bk>
    <bk>
      <rc t="2" v="1955"/>
    </bk>
    <bk>
      <rc t="2" v="1956"/>
    </bk>
    <bk>
      <rc t="2" v="1957"/>
    </bk>
    <bk>
      <rc t="2" v="1958"/>
    </bk>
    <bk>
      <rc t="2" v="1959"/>
    </bk>
    <bk>
      <rc t="2" v="1960"/>
    </bk>
    <bk>
      <rc t="2" v="1961"/>
    </bk>
    <bk>
      <rc t="2" v="1962"/>
    </bk>
    <bk>
      <rc t="2" v="1963"/>
    </bk>
    <bk>
      <rc t="2" v="1964"/>
    </bk>
    <bk>
      <rc t="2" v="1965"/>
    </bk>
    <bk>
      <rc t="2" v="1966"/>
    </bk>
    <bk>
      <rc t="2" v="1967"/>
    </bk>
    <bk>
      <rc t="2" v="1968"/>
    </bk>
    <bk>
      <rc t="2" v="1969"/>
    </bk>
    <bk>
      <rc t="2" v="1970"/>
    </bk>
    <bk>
      <rc t="2" v="1971"/>
    </bk>
    <bk>
      <rc t="2" v="1972"/>
    </bk>
    <bk>
      <rc t="2" v="1973"/>
    </bk>
    <bk>
      <rc t="2" v="1974"/>
    </bk>
    <bk>
      <rc t="2" v="1975"/>
    </bk>
    <bk>
      <rc t="2" v="1976"/>
    </bk>
    <bk>
      <rc t="2" v="1977"/>
    </bk>
    <bk>
      <rc t="2" v="1978"/>
    </bk>
    <bk>
      <rc t="2" v="1979"/>
    </bk>
    <bk>
      <rc t="2" v="1980"/>
    </bk>
    <bk>
      <rc t="2" v="1981"/>
    </bk>
    <bk>
      <rc t="2" v="1982"/>
    </bk>
    <bk>
      <rc t="2" v="1983"/>
    </bk>
    <bk>
      <rc t="2" v="1984"/>
    </bk>
    <bk>
      <rc t="2" v="1985"/>
    </bk>
    <bk>
      <rc t="2" v="1986"/>
    </bk>
    <bk>
      <rc t="2" v="1987"/>
    </bk>
    <bk>
      <rc t="2" v="1988"/>
    </bk>
    <bk>
      <rc t="2" v="1989"/>
    </bk>
    <bk>
      <rc t="2" v="1990"/>
    </bk>
    <bk>
      <rc t="2" v="1991"/>
    </bk>
    <bk>
      <rc t="2" v="1992"/>
    </bk>
    <bk>
      <rc t="2" v="1993"/>
    </bk>
    <bk>
      <rc t="2" v="1994"/>
    </bk>
    <bk>
      <rc t="2" v="1995"/>
    </bk>
    <bk>
      <rc t="2" v="1996"/>
    </bk>
    <bk>
      <rc t="2" v="1997"/>
    </bk>
    <bk>
      <rc t="2" v="1998"/>
    </bk>
    <bk>
      <rc t="2" v="1999"/>
    </bk>
    <bk>
      <rc t="2" v="2000"/>
    </bk>
    <bk>
      <rc t="2" v="2001"/>
    </bk>
    <bk>
      <rc t="2" v="2002"/>
    </bk>
    <bk>
      <rc t="2" v="2003"/>
    </bk>
    <bk>
      <rc t="2" v="2004"/>
    </bk>
    <bk>
      <rc t="2" v="2005"/>
    </bk>
    <bk>
      <rc t="2" v="2006"/>
    </bk>
    <bk>
      <rc t="2" v="2007"/>
    </bk>
    <bk>
      <rc t="2" v="2008"/>
    </bk>
    <bk>
      <rc t="2" v="2009"/>
    </bk>
    <bk>
      <rc t="2" v="2010"/>
    </bk>
    <bk>
      <rc t="2" v="2011"/>
    </bk>
    <bk>
      <rc t="2" v="2012"/>
    </bk>
    <bk>
      <rc t="2" v="2013"/>
    </bk>
    <bk>
      <rc t="2" v="2014"/>
    </bk>
    <bk>
      <rc t="2" v="2015"/>
    </bk>
    <bk>
      <rc t="2" v="2016"/>
    </bk>
    <bk>
      <rc t="2" v="2017"/>
    </bk>
    <bk>
      <rc t="2" v="2018"/>
    </bk>
    <bk>
      <rc t="2" v="2019"/>
    </bk>
    <bk>
      <rc t="2" v="2020"/>
    </bk>
    <bk>
      <rc t="2" v="2021"/>
    </bk>
    <bk>
      <rc t="2" v="2022"/>
    </bk>
    <bk>
      <rc t="2" v="2023"/>
    </bk>
    <bk>
      <rc t="2" v="2024"/>
    </bk>
    <bk>
      <rc t="2" v="2025"/>
    </bk>
    <bk>
      <rc t="2" v="2026"/>
    </bk>
    <bk>
      <rc t="2" v="2027"/>
    </bk>
    <bk>
      <rc t="2" v="2028"/>
    </bk>
    <bk>
      <rc t="2" v="2029"/>
    </bk>
    <bk>
      <rc t="2" v="2030"/>
    </bk>
    <bk>
      <rc t="2" v="2031"/>
    </bk>
    <bk>
      <rc t="2" v="2032"/>
    </bk>
    <bk>
      <rc t="2" v="2033"/>
    </bk>
    <bk>
      <rc t="2" v="2034"/>
    </bk>
    <bk>
      <rc t="2" v="2035"/>
    </bk>
    <bk>
      <rc t="2" v="2036"/>
    </bk>
    <bk>
      <rc t="2" v="2037"/>
    </bk>
    <bk>
      <rc t="2" v="2038"/>
    </bk>
    <bk>
      <rc t="2" v="2039"/>
    </bk>
    <bk>
      <rc t="2" v="2040"/>
    </bk>
    <bk>
      <rc t="2" v="2041"/>
    </bk>
    <bk>
      <rc t="2" v="2042"/>
    </bk>
    <bk>
      <rc t="2" v="2043"/>
    </bk>
    <bk>
      <rc t="2" v="2044"/>
    </bk>
    <bk>
      <rc t="2" v="2045"/>
    </bk>
    <bk>
      <rc t="2" v="2046"/>
    </bk>
    <bk>
      <rc t="2" v="2047"/>
    </bk>
    <bk>
      <rc t="2" v="2048"/>
    </bk>
    <bk>
      <rc t="2" v="2049"/>
    </bk>
    <bk>
      <rc t="2" v="2050"/>
    </bk>
    <bk>
      <rc t="2" v="2051"/>
    </bk>
    <bk>
      <rc t="2" v="2052"/>
    </bk>
    <bk>
      <rc t="2" v="2053"/>
    </bk>
    <bk>
      <rc t="2" v="2054"/>
    </bk>
    <bk>
      <rc t="2" v="2055"/>
    </bk>
    <bk>
      <rc t="2" v="2056"/>
    </bk>
    <bk>
      <rc t="2" v="2057"/>
    </bk>
    <bk>
      <rc t="2" v="2058"/>
    </bk>
    <bk>
      <rc t="2" v="2059"/>
    </bk>
    <bk>
      <rc t="2" v="2060"/>
    </bk>
    <bk>
      <rc t="2" v="2061"/>
    </bk>
    <bk>
      <rc t="2" v="2062"/>
    </bk>
    <bk>
      <rc t="2" v="2063"/>
    </bk>
    <bk>
      <rc t="2" v="2064"/>
    </bk>
    <bk>
      <rc t="2" v="2065"/>
    </bk>
    <bk>
      <rc t="2" v="2066"/>
    </bk>
    <bk>
      <rc t="2" v="2067"/>
    </bk>
    <bk>
      <rc t="2" v="2068"/>
    </bk>
    <bk>
      <rc t="2" v="2069"/>
    </bk>
    <bk>
      <rc t="2" v="2070"/>
    </bk>
    <bk>
      <rc t="2" v="2071"/>
    </bk>
    <bk>
      <rc t="2" v="2072"/>
    </bk>
    <bk>
      <rc t="2" v="2073"/>
    </bk>
    <bk>
      <rc t="2" v="2074"/>
    </bk>
    <bk>
      <rc t="2" v="2075"/>
    </bk>
    <bk>
      <rc t="2" v="2076"/>
    </bk>
    <bk>
      <rc t="2" v="2077"/>
    </bk>
    <bk>
      <rc t="2" v="2078"/>
    </bk>
    <bk>
      <rc t="2" v="2079"/>
    </bk>
    <bk>
      <rc t="2" v="2080"/>
    </bk>
    <bk>
      <rc t="2" v="2081"/>
    </bk>
    <bk>
      <rc t="2" v="2082"/>
    </bk>
    <bk>
      <rc t="2" v="2083"/>
    </bk>
    <bk>
      <rc t="2" v="2084"/>
    </bk>
    <bk>
      <rc t="2" v="2085"/>
    </bk>
    <bk>
      <rc t="2" v="2086"/>
    </bk>
    <bk>
      <rc t="2" v="2087"/>
    </bk>
    <bk>
      <rc t="2" v="2088"/>
    </bk>
    <bk>
      <rc t="2" v="2089"/>
    </bk>
    <bk>
      <rc t="2" v="2090"/>
    </bk>
    <bk>
      <rc t="2" v="2091"/>
    </bk>
    <bk>
      <rc t="2" v="2092"/>
    </bk>
    <bk>
      <rc t="2" v="2093"/>
    </bk>
    <bk>
      <rc t="2" v="2094"/>
    </bk>
    <bk>
      <rc t="2" v="2095"/>
    </bk>
    <bk>
      <rc t="2" v="2096"/>
    </bk>
    <bk>
      <rc t="2" v="2097"/>
    </bk>
    <bk>
      <rc t="2" v="2098"/>
    </bk>
    <bk>
      <rc t="2" v="2099"/>
    </bk>
    <bk>
      <rc t="2" v="2100"/>
    </bk>
    <bk>
      <rc t="2" v="2101"/>
    </bk>
    <bk>
      <rc t="2" v="2102"/>
    </bk>
    <bk>
      <rc t="2" v="2103"/>
    </bk>
    <bk>
      <rc t="2" v="2104"/>
    </bk>
    <bk>
      <rc t="2" v="2105"/>
    </bk>
    <bk>
      <rc t="2" v="2106"/>
    </bk>
    <bk>
      <rc t="2" v="2107"/>
    </bk>
    <bk>
      <rc t="2" v="2108"/>
    </bk>
    <bk>
      <rc t="2" v="2109"/>
    </bk>
    <bk>
      <rc t="2" v="2110"/>
    </bk>
    <bk>
      <rc t="2" v="2111"/>
    </bk>
    <bk>
      <rc t="2" v="2112"/>
    </bk>
    <bk>
      <rc t="2" v="2113"/>
    </bk>
    <bk>
      <rc t="2" v="2114"/>
    </bk>
    <bk>
      <rc t="2" v="2115"/>
    </bk>
    <bk>
      <rc t="2" v="2116"/>
    </bk>
    <bk>
      <rc t="2" v="2117"/>
    </bk>
    <bk>
      <rc t="2" v="2118"/>
    </bk>
    <bk>
      <rc t="2" v="2119"/>
    </bk>
    <bk>
      <rc t="2" v="2120"/>
    </bk>
    <bk>
      <rc t="2" v="2121"/>
    </bk>
    <bk>
      <rc t="2" v="2122"/>
    </bk>
    <bk>
      <rc t="2" v="2123"/>
    </bk>
    <bk>
      <rc t="2" v="2124"/>
    </bk>
    <bk>
      <rc t="2" v="2125"/>
    </bk>
    <bk>
      <rc t="2" v="2126"/>
    </bk>
    <bk>
      <rc t="2" v="2127"/>
    </bk>
    <bk>
      <rc t="2" v="2128"/>
    </bk>
    <bk>
      <rc t="2" v="2129"/>
    </bk>
    <bk>
      <rc t="2" v="2130"/>
    </bk>
    <bk>
      <rc t="2" v="2131"/>
    </bk>
    <bk>
      <rc t="2" v="2132"/>
    </bk>
    <bk>
      <rc t="2" v="2133"/>
    </bk>
    <bk>
      <rc t="2" v="2134"/>
    </bk>
    <bk>
      <rc t="2" v="2135"/>
    </bk>
    <bk>
      <rc t="2" v="2136"/>
    </bk>
    <bk>
      <rc t="2" v="2137"/>
    </bk>
    <bk>
      <rc t="2" v="2138"/>
    </bk>
    <bk>
      <rc t="2" v="2139"/>
    </bk>
    <bk>
      <rc t="2" v="2140"/>
    </bk>
    <bk>
      <rc t="2" v="2141"/>
    </bk>
    <bk>
      <rc t="2" v="2142"/>
    </bk>
    <bk>
      <rc t="2" v="2143"/>
    </bk>
    <bk>
      <rc t="2" v="2144"/>
    </bk>
    <bk>
      <rc t="2" v="2145"/>
    </bk>
    <bk>
      <rc t="2" v="2146"/>
    </bk>
    <bk>
      <rc t="2" v="2147"/>
    </bk>
    <bk>
      <rc t="2" v="2148"/>
    </bk>
    <bk>
      <rc t="2" v="2149"/>
    </bk>
    <bk>
      <rc t="2" v="2150"/>
    </bk>
    <bk>
      <rc t="2" v="2151"/>
    </bk>
    <bk>
      <rc t="2" v="2152"/>
    </bk>
    <bk>
      <rc t="2" v="2153"/>
    </bk>
    <bk>
      <rc t="2" v="2154"/>
    </bk>
    <bk>
      <rc t="2" v="2155"/>
    </bk>
    <bk>
      <rc t="2" v="2156"/>
    </bk>
    <bk>
      <rc t="2" v="2157"/>
    </bk>
    <bk>
      <rc t="2" v="2158"/>
    </bk>
    <bk>
      <rc t="2" v="2159"/>
    </bk>
    <bk>
      <rc t="2" v="2160"/>
    </bk>
    <bk>
      <rc t="2" v="2161"/>
    </bk>
    <bk>
      <rc t="2" v="2162"/>
    </bk>
    <bk>
      <rc t="2" v="2163"/>
    </bk>
    <bk>
      <rc t="2" v="2164"/>
    </bk>
    <bk>
      <rc t="2" v="2165"/>
    </bk>
    <bk>
      <rc t="2" v="2166"/>
    </bk>
    <bk>
      <rc t="2" v="2167"/>
    </bk>
    <bk>
      <rc t="2" v="2168"/>
    </bk>
    <bk>
      <rc t="2" v="2169"/>
    </bk>
    <bk>
      <rc t="2" v="2170"/>
    </bk>
    <bk>
      <rc t="2" v="2171"/>
    </bk>
    <bk>
      <rc t="2" v="2172"/>
    </bk>
    <bk>
      <rc t="2" v="2173"/>
    </bk>
    <bk>
      <rc t="2" v="2174"/>
    </bk>
    <bk>
      <rc t="2" v="2175"/>
    </bk>
    <bk>
      <rc t="2" v="2176"/>
    </bk>
    <bk>
      <rc t="2" v="2177"/>
    </bk>
    <bk>
      <rc t="2" v="2178"/>
    </bk>
    <bk>
      <rc t="2" v="2179"/>
    </bk>
    <bk>
      <rc t="2" v="2180"/>
    </bk>
    <bk>
      <rc t="2" v="2181"/>
    </bk>
    <bk>
      <rc t="2" v="2182"/>
    </bk>
    <bk>
      <rc t="2" v="2183"/>
    </bk>
    <bk>
      <rc t="2" v="2184"/>
    </bk>
    <bk>
      <rc t="2" v="2185"/>
    </bk>
    <bk>
      <rc t="2" v="2186"/>
    </bk>
    <bk>
      <rc t="2" v="2187"/>
    </bk>
    <bk>
      <rc t="2" v="2188"/>
    </bk>
    <bk>
      <rc t="2" v="2189"/>
    </bk>
    <bk>
      <rc t="2" v="2190"/>
    </bk>
    <bk>
      <rc t="2" v="2191"/>
    </bk>
    <bk>
      <rc t="2" v="2192"/>
    </bk>
    <bk>
      <rc t="2" v="2193"/>
    </bk>
    <bk>
      <rc t="2" v="2194"/>
    </bk>
    <bk>
      <rc t="2" v="2195"/>
    </bk>
    <bk>
      <rc t="2" v="2196"/>
    </bk>
    <bk>
      <rc t="2" v="2197"/>
    </bk>
    <bk>
      <rc t="2" v="2198"/>
    </bk>
    <bk>
      <rc t="2" v="2199"/>
    </bk>
    <bk>
      <rc t="2" v="2200"/>
    </bk>
    <bk>
      <rc t="2" v="2201"/>
    </bk>
    <bk>
      <rc t="2" v="2202"/>
    </bk>
    <bk>
      <rc t="2" v="2203"/>
    </bk>
    <bk>
      <rc t="2" v="2204"/>
    </bk>
    <bk>
      <rc t="2" v="2205"/>
    </bk>
    <bk>
      <rc t="2" v="2206"/>
    </bk>
    <bk>
      <rc t="2" v="2207"/>
    </bk>
    <bk>
      <rc t="2" v="2208"/>
    </bk>
    <bk>
      <rc t="2" v="2209"/>
    </bk>
    <bk>
      <rc t="2" v="2210"/>
    </bk>
    <bk>
      <rc t="2" v="2211"/>
    </bk>
    <bk>
      <rc t="2" v="2212"/>
    </bk>
    <bk>
      <rc t="2" v="2213"/>
    </bk>
    <bk>
      <rc t="2" v="2214"/>
    </bk>
    <bk>
      <rc t="2" v="2215"/>
    </bk>
    <bk>
      <rc t="2" v="2216"/>
    </bk>
    <bk>
      <rc t="2" v="2217"/>
    </bk>
    <bk>
      <rc t="2" v="2218"/>
    </bk>
    <bk>
      <rc t="2" v="2219"/>
    </bk>
    <bk>
      <rc t="2" v="2220"/>
    </bk>
    <bk>
      <rc t="2" v="2221"/>
    </bk>
    <bk>
      <rc t="2" v="2222"/>
    </bk>
    <bk>
      <rc t="2" v="2223"/>
    </bk>
    <bk>
      <rc t="2" v="2224"/>
    </bk>
    <bk>
      <rc t="2" v="2225"/>
    </bk>
    <bk>
      <rc t="2" v="2226"/>
    </bk>
    <bk>
      <rc t="2" v="2227"/>
    </bk>
    <bk>
      <rc t="2" v="2228"/>
    </bk>
    <bk>
      <rc t="2" v="2229"/>
    </bk>
    <bk>
      <rc t="2" v="2230"/>
    </bk>
    <bk>
      <rc t="2" v="2231"/>
    </bk>
    <bk>
      <rc t="2" v="2232"/>
    </bk>
    <bk>
      <rc t="2" v="2233"/>
    </bk>
    <bk>
      <rc t="2" v="2234"/>
    </bk>
    <bk>
      <rc t="2" v="2235"/>
    </bk>
    <bk>
      <rc t="2" v="2236"/>
    </bk>
    <bk>
      <rc t="2" v="2237"/>
    </bk>
    <bk>
      <rc t="2" v="2238"/>
    </bk>
    <bk>
      <rc t="2" v="2239"/>
    </bk>
    <bk>
      <rc t="2" v="2240"/>
    </bk>
    <bk>
      <rc t="2" v="2241"/>
    </bk>
    <bk>
      <rc t="2" v="2242"/>
    </bk>
    <bk>
      <rc t="2" v="2243"/>
    </bk>
    <bk>
      <rc t="2" v="2244"/>
    </bk>
    <bk>
      <rc t="2" v="2245"/>
    </bk>
    <bk>
      <rc t="2" v="2246"/>
    </bk>
    <bk>
      <rc t="2" v="2247"/>
    </bk>
    <bk>
      <rc t="2" v="2248"/>
    </bk>
    <bk>
      <rc t="2" v="2249"/>
    </bk>
    <bk>
      <rc t="2" v="2250"/>
    </bk>
    <bk>
      <rc t="2" v="2251"/>
    </bk>
    <bk>
      <rc t="2" v="2252"/>
    </bk>
    <bk>
      <rc t="2" v="2253"/>
    </bk>
    <bk>
      <rc t="2" v="2254"/>
    </bk>
    <bk>
      <rc t="2" v="2255"/>
    </bk>
    <bk>
      <rc t="2" v="2256"/>
    </bk>
    <bk>
      <rc t="2" v="2257"/>
    </bk>
    <bk>
      <rc t="2" v="2258"/>
    </bk>
    <bk>
      <rc t="2" v="2259"/>
    </bk>
    <bk>
      <rc t="2" v="2260"/>
    </bk>
    <bk>
      <rc t="2" v="2261"/>
    </bk>
    <bk>
      <rc t="2" v="2262"/>
    </bk>
    <bk>
      <rc t="2" v="2263"/>
    </bk>
    <bk>
      <rc t="2" v="2264"/>
    </bk>
    <bk>
      <rc t="2" v="2265"/>
    </bk>
    <bk>
      <rc t="2" v="2266"/>
    </bk>
    <bk>
      <rc t="2" v="2267"/>
    </bk>
    <bk>
      <rc t="2" v="2268"/>
    </bk>
    <bk>
      <rc t="2" v="2269"/>
    </bk>
    <bk>
      <rc t="2" v="2270"/>
    </bk>
    <bk>
      <rc t="2" v="2271"/>
    </bk>
    <bk>
      <rc t="2" v="2272"/>
    </bk>
    <bk>
      <rc t="2" v="2273"/>
    </bk>
    <bk>
      <rc t="2" v="2274"/>
    </bk>
    <bk>
      <rc t="2" v="2275"/>
    </bk>
    <bk>
      <rc t="2" v="2276"/>
    </bk>
    <bk>
      <rc t="2" v="2277"/>
    </bk>
    <bk>
      <rc t="2" v="2278"/>
    </bk>
    <bk>
      <rc t="2" v="2279"/>
    </bk>
    <bk>
      <rc t="2" v="2280"/>
    </bk>
    <bk>
      <rc t="2" v="2281"/>
    </bk>
    <bk>
      <rc t="2" v="2282"/>
    </bk>
    <bk>
      <rc t="2" v="2283"/>
    </bk>
    <bk>
      <rc t="2" v="2284"/>
    </bk>
    <bk>
      <rc t="2" v="2285"/>
    </bk>
    <bk>
      <rc t="2" v="2286"/>
    </bk>
    <bk>
      <rc t="2" v="2287"/>
    </bk>
    <bk>
      <rc t="2" v="2288"/>
    </bk>
    <bk>
      <rc t="2" v="2289"/>
    </bk>
    <bk>
      <rc t="2" v="2290"/>
    </bk>
    <bk>
      <rc t="2" v="2291"/>
    </bk>
    <bk>
      <rc t="2" v="2292"/>
    </bk>
    <bk>
      <rc t="2" v="2293"/>
    </bk>
    <bk>
      <rc t="2" v="2294"/>
    </bk>
    <bk>
      <rc t="2" v="2295"/>
    </bk>
    <bk>
      <rc t="2" v="2296"/>
    </bk>
    <bk>
      <rc t="2" v="2297"/>
    </bk>
    <bk>
      <rc t="2" v="2298"/>
    </bk>
    <bk>
      <rc t="2" v="2299"/>
    </bk>
    <bk>
      <rc t="2" v="2300"/>
    </bk>
    <bk>
      <rc t="2" v="2301"/>
    </bk>
    <bk>
      <rc t="2" v="2302"/>
    </bk>
    <bk>
      <rc t="2" v="2303"/>
    </bk>
    <bk>
      <rc t="2" v="2304"/>
    </bk>
    <bk>
      <rc t="2" v="2305"/>
    </bk>
    <bk>
      <rc t="2" v="2306"/>
    </bk>
    <bk>
      <rc t="2" v="2307"/>
    </bk>
    <bk>
      <rc t="2" v="2308"/>
    </bk>
    <bk>
      <rc t="2" v="2309"/>
    </bk>
    <bk>
      <rc t="2" v="2310"/>
    </bk>
    <bk>
      <rc t="2" v="2311"/>
    </bk>
    <bk>
      <rc t="2" v="2312"/>
    </bk>
    <bk>
      <rc t="2" v="2313"/>
    </bk>
    <bk>
      <rc t="2" v="2314"/>
    </bk>
    <bk>
      <rc t="2" v="2315"/>
    </bk>
    <bk>
      <rc t="2" v="2316"/>
    </bk>
    <bk>
      <rc t="2" v="2317"/>
    </bk>
    <bk>
      <rc t="2" v="2318"/>
    </bk>
    <bk>
      <rc t="2" v="2319"/>
    </bk>
    <bk>
      <rc t="2" v="2320"/>
    </bk>
    <bk>
      <rc t="2" v="2321"/>
    </bk>
    <bk>
      <rc t="2" v="2322"/>
    </bk>
    <bk>
      <rc t="2" v="2323"/>
    </bk>
    <bk>
      <rc t="2" v="2324"/>
    </bk>
    <bk>
      <rc t="2" v="2325"/>
    </bk>
    <bk>
      <rc t="2" v="2326"/>
    </bk>
    <bk>
      <rc t="2" v="2327"/>
    </bk>
    <bk>
      <rc t="2" v="2328"/>
    </bk>
    <bk>
      <rc t="2" v="2329"/>
    </bk>
    <bk>
      <rc t="2" v="2330"/>
    </bk>
    <bk>
      <rc t="2" v="2331"/>
    </bk>
    <bk>
      <rc t="2" v="2332"/>
    </bk>
    <bk>
      <rc t="2" v="2333"/>
    </bk>
    <bk>
      <rc t="2" v="2334"/>
    </bk>
    <bk>
      <rc t="2" v="2335"/>
    </bk>
    <bk>
      <rc t="2" v="2336"/>
    </bk>
    <bk>
      <rc t="2" v="2337"/>
    </bk>
    <bk>
      <rc t="2" v="2338"/>
    </bk>
    <bk>
      <rc t="2" v="2339"/>
    </bk>
    <bk>
      <rc t="2" v="2340"/>
    </bk>
    <bk>
      <rc t="2" v="2341"/>
    </bk>
    <bk>
      <rc t="2" v="2342"/>
    </bk>
    <bk>
      <rc t="2" v="2343"/>
    </bk>
    <bk>
      <rc t="2" v="2344"/>
    </bk>
    <bk>
      <rc t="2" v="2345"/>
    </bk>
    <bk>
      <rc t="2" v="2346"/>
    </bk>
    <bk>
      <rc t="2" v="2347"/>
    </bk>
    <bk>
      <rc t="2" v="2348"/>
    </bk>
    <bk>
      <rc t="2" v="2349"/>
    </bk>
    <bk>
      <rc t="2" v="2350"/>
    </bk>
    <bk>
      <rc t="2" v="2351"/>
    </bk>
    <bk>
      <rc t="2" v="2352"/>
    </bk>
    <bk>
      <rc t="2" v="2353"/>
    </bk>
    <bk>
      <rc t="2" v="2354"/>
    </bk>
    <bk>
      <rc t="2" v="2355"/>
    </bk>
    <bk>
      <rc t="2" v="2356"/>
    </bk>
    <bk>
      <rc t="2" v="2357"/>
    </bk>
    <bk>
      <rc t="2" v="2358"/>
    </bk>
    <bk>
      <rc t="2" v="2359"/>
    </bk>
    <bk>
      <rc t="2" v="2360"/>
    </bk>
    <bk>
      <rc t="2" v="2361"/>
    </bk>
    <bk>
      <rc t="2" v="2362"/>
    </bk>
    <bk>
      <rc t="2" v="2363"/>
    </bk>
    <bk>
      <rc t="2" v="2364"/>
    </bk>
    <bk>
      <rc t="2" v="2365"/>
    </bk>
    <bk>
      <rc t="2" v="2366"/>
    </bk>
    <bk>
      <rc t="2" v="2367"/>
    </bk>
    <bk>
      <rc t="2" v="2368"/>
    </bk>
    <bk>
      <rc t="2" v="2369"/>
    </bk>
    <bk>
      <rc t="2" v="2370"/>
    </bk>
    <bk>
      <rc t="2" v="2371"/>
    </bk>
    <bk>
      <rc t="2" v="2372"/>
    </bk>
    <bk>
      <rc t="2" v="2373"/>
    </bk>
    <bk>
      <rc t="2" v="2374"/>
    </bk>
    <bk>
      <rc t="2" v="2375"/>
    </bk>
    <bk>
      <rc t="2" v="2376"/>
    </bk>
    <bk>
      <rc t="2" v="2377"/>
    </bk>
    <bk>
      <rc t="2" v="2378"/>
    </bk>
    <bk>
      <rc t="2" v="2379"/>
    </bk>
    <bk>
      <rc t="2" v="2380"/>
    </bk>
    <bk>
      <rc t="2" v="2381"/>
    </bk>
    <bk>
      <rc t="2" v="2382"/>
    </bk>
    <bk>
      <rc t="2" v="2383"/>
    </bk>
    <bk>
      <rc t="2" v="2384"/>
    </bk>
    <bk>
      <rc t="2" v="2385"/>
    </bk>
    <bk>
      <rc t="2" v="2386"/>
    </bk>
    <bk>
      <rc t="2" v="2387"/>
    </bk>
    <bk>
      <rc t="2" v="2388"/>
    </bk>
    <bk>
      <rc t="2" v="2389"/>
    </bk>
    <bk>
      <rc t="2" v="2390"/>
    </bk>
    <bk>
      <rc t="2" v="2391"/>
    </bk>
    <bk>
      <rc t="2" v="2392"/>
    </bk>
    <bk>
      <rc t="2" v="2393"/>
    </bk>
    <bk>
      <rc t="2" v="2394"/>
    </bk>
    <bk>
      <rc t="2" v="2395"/>
    </bk>
    <bk>
      <rc t="2" v="2396"/>
    </bk>
    <bk>
      <rc t="2" v="2397"/>
    </bk>
    <bk>
      <rc t="2" v="2398"/>
    </bk>
    <bk>
      <rc t="2" v="2399"/>
    </bk>
    <bk>
      <rc t="2" v="2400"/>
    </bk>
    <bk>
      <rc t="2" v="2401"/>
    </bk>
    <bk>
      <rc t="2" v="2402"/>
    </bk>
    <bk>
      <rc t="2" v="2403"/>
    </bk>
    <bk>
      <rc t="2" v="2404"/>
    </bk>
    <bk>
      <rc t="2" v="2405"/>
    </bk>
    <bk>
      <rc t="2" v="2406"/>
    </bk>
    <bk>
      <rc t="2" v="2407"/>
    </bk>
    <bk>
      <rc t="2" v="2408"/>
    </bk>
    <bk>
      <rc t="2" v="2409"/>
    </bk>
    <bk>
      <rc t="2" v="2410"/>
    </bk>
    <bk>
      <rc t="2" v="2411"/>
    </bk>
    <bk>
      <rc t="2" v="2412"/>
    </bk>
    <bk>
      <rc t="2" v="2413"/>
    </bk>
    <bk>
      <rc t="2" v="2414"/>
    </bk>
    <bk>
      <rc t="2" v="2415"/>
    </bk>
    <bk>
      <rc t="2" v="2416"/>
    </bk>
    <bk>
      <rc t="2" v="2417"/>
    </bk>
    <bk>
      <rc t="2" v="2418"/>
    </bk>
    <bk>
      <rc t="2" v="2419"/>
    </bk>
    <bk>
      <rc t="2" v="2420"/>
    </bk>
    <bk>
      <rc t="2" v="2421"/>
    </bk>
    <bk>
      <rc t="2" v="2422"/>
    </bk>
    <bk>
      <rc t="2" v="2423"/>
    </bk>
    <bk>
      <rc t="2" v="2424"/>
    </bk>
    <bk>
      <rc t="2" v="2425"/>
    </bk>
    <bk>
      <rc t="2" v="2426"/>
    </bk>
    <bk>
      <rc t="2" v="2427"/>
    </bk>
    <bk>
      <rc t="2" v="2428"/>
    </bk>
    <bk>
      <rc t="2" v="2429"/>
    </bk>
    <bk>
      <rc t="2" v="2430"/>
    </bk>
    <bk>
      <rc t="2" v="2431"/>
    </bk>
    <bk>
      <rc t="2" v="2432"/>
    </bk>
    <bk>
      <rc t="2" v="2433"/>
    </bk>
    <bk>
      <rc t="2" v="2434"/>
    </bk>
    <bk>
      <rc t="2" v="2435"/>
    </bk>
    <bk>
      <rc t="2" v="2436"/>
    </bk>
    <bk>
      <rc t="2" v="2437"/>
    </bk>
    <bk>
      <rc t="2" v="2438"/>
    </bk>
    <bk>
      <rc t="2" v="2439"/>
    </bk>
    <bk>
      <rc t="2" v="2440"/>
    </bk>
    <bk>
      <rc t="2" v="2441"/>
    </bk>
    <bk>
      <rc t="2" v="2442"/>
    </bk>
    <bk>
      <rc t="2" v="2443"/>
    </bk>
    <bk>
      <rc t="2" v="2444"/>
    </bk>
    <bk>
      <rc t="2" v="2445"/>
    </bk>
    <bk>
      <rc t="2" v="2446"/>
    </bk>
    <bk>
      <rc t="2" v="2447"/>
    </bk>
    <bk>
      <rc t="2" v="2448"/>
    </bk>
    <bk>
      <rc t="2" v="2449"/>
    </bk>
    <bk>
      <rc t="2" v="2450"/>
    </bk>
    <bk>
      <rc t="2" v="2451"/>
    </bk>
    <bk>
      <rc t="2" v="2452"/>
    </bk>
    <bk>
      <rc t="2" v="2453"/>
    </bk>
    <bk>
      <rc t="2" v="2454"/>
    </bk>
    <bk>
      <rc t="2" v="2455"/>
    </bk>
    <bk>
      <rc t="2" v="2456"/>
    </bk>
    <bk>
      <rc t="2" v="2457"/>
    </bk>
    <bk>
      <rc t="2" v="2458"/>
    </bk>
    <bk>
      <rc t="2" v="2459"/>
    </bk>
    <bk>
      <rc t="2" v="2460"/>
    </bk>
    <bk>
      <rc t="2" v="2461"/>
    </bk>
    <bk>
      <rc t="2" v="2462"/>
    </bk>
    <bk>
      <rc t="2" v="2463"/>
    </bk>
    <bk>
      <rc t="2" v="2464"/>
    </bk>
    <bk>
      <rc t="2" v="2465"/>
    </bk>
    <bk>
      <rc t="2" v="2466"/>
    </bk>
    <bk>
      <rc t="2" v="2467"/>
    </bk>
    <bk>
      <rc t="2" v="2468"/>
    </bk>
    <bk>
      <rc t="2" v="2469"/>
    </bk>
    <bk>
      <rc t="2" v="2470"/>
    </bk>
    <bk>
      <rc t="2" v="2471"/>
    </bk>
    <bk>
      <rc t="2" v="2472"/>
    </bk>
    <bk>
      <rc t="2" v="2473"/>
    </bk>
    <bk>
      <rc t="2" v="2474"/>
    </bk>
    <bk>
      <rc t="2" v="2475"/>
    </bk>
    <bk>
      <rc t="2" v="2476"/>
    </bk>
    <bk>
      <rc t="2" v="2477"/>
    </bk>
    <bk>
      <rc t="2" v="2478"/>
    </bk>
    <bk>
      <rc t="2" v="2479"/>
    </bk>
    <bk>
      <rc t="2" v="2480"/>
    </bk>
    <bk>
      <rc t="2" v="2481"/>
    </bk>
    <bk>
      <rc t="2" v="2482"/>
    </bk>
    <bk>
      <rc t="2" v="2483"/>
    </bk>
    <bk>
      <rc t="2" v="2484"/>
    </bk>
    <bk>
      <rc t="2" v="2485"/>
    </bk>
    <bk>
      <rc t="2" v="2486"/>
    </bk>
    <bk>
      <rc t="2" v="2487"/>
    </bk>
    <bk>
      <rc t="2" v="2488"/>
    </bk>
    <bk>
      <rc t="2" v="2489"/>
    </bk>
    <bk>
      <rc t="2" v="2490"/>
    </bk>
    <bk>
      <rc t="2" v="2491"/>
    </bk>
    <bk>
      <rc t="2" v="2492"/>
    </bk>
    <bk>
      <rc t="2" v="2493"/>
    </bk>
    <bk>
      <rc t="2" v="2494"/>
    </bk>
    <bk>
      <rc t="2" v="2495"/>
    </bk>
    <bk>
      <rc t="2" v="2496"/>
    </bk>
    <bk>
      <rc t="2" v="2497"/>
    </bk>
    <bk>
      <rc t="2" v="2498"/>
    </bk>
    <bk>
      <rc t="2" v="2499"/>
    </bk>
    <bk>
      <rc t="2" v="2500"/>
    </bk>
    <bk>
      <rc t="2" v="2501"/>
    </bk>
    <bk>
      <rc t="2" v="2502"/>
    </bk>
    <bk>
      <rc t="2" v="2503"/>
    </bk>
    <bk>
      <rc t="2" v="2504"/>
    </bk>
    <bk>
      <rc t="2" v="2505"/>
    </bk>
    <bk>
      <rc t="2" v="2506"/>
    </bk>
    <bk>
      <rc t="2" v="2507"/>
    </bk>
    <bk>
      <rc t="2" v="2508"/>
    </bk>
    <bk>
      <rc t="2" v="2509"/>
    </bk>
    <bk>
      <rc t="2" v="2510"/>
    </bk>
    <bk>
      <rc t="2" v="2511"/>
    </bk>
    <bk>
      <rc t="2" v="2512"/>
    </bk>
    <bk>
      <rc t="2" v="2513"/>
    </bk>
    <bk>
      <rc t="2" v="2514"/>
    </bk>
    <bk>
      <rc t="2" v="2515"/>
    </bk>
    <bk>
      <rc t="2" v="2516"/>
    </bk>
    <bk>
      <rc t="2" v="2517"/>
    </bk>
    <bk>
      <rc t="2" v="2518"/>
    </bk>
    <bk>
      <rc t="2" v="2519"/>
    </bk>
    <bk>
      <rc t="2" v="2520"/>
    </bk>
    <bk>
      <rc t="2" v="2521"/>
    </bk>
    <bk>
      <rc t="2" v="2522"/>
    </bk>
    <bk>
      <rc t="2" v="2523"/>
    </bk>
    <bk>
      <rc t="2" v="2524"/>
    </bk>
    <bk>
      <rc t="2" v="2525"/>
    </bk>
    <bk>
      <rc t="2" v="2526"/>
    </bk>
    <bk>
      <rc t="2" v="2527"/>
    </bk>
    <bk>
      <rc t="2" v="2528"/>
    </bk>
    <bk>
      <rc t="2" v="2529"/>
    </bk>
    <bk>
      <rc t="2" v="2530"/>
    </bk>
    <bk>
      <rc t="2" v="2531"/>
    </bk>
    <bk>
      <rc t="2" v="2532"/>
    </bk>
    <bk>
      <rc t="2" v="2533"/>
    </bk>
    <bk>
      <rc t="2" v="2534"/>
    </bk>
    <bk>
      <rc t="2" v="2535"/>
    </bk>
    <bk>
      <rc t="2" v="2536"/>
    </bk>
    <bk>
      <rc t="2" v="2537"/>
    </bk>
    <bk>
      <rc t="2" v="2538"/>
    </bk>
    <bk>
      <rc t="2" v="2539"/>
    </bk>
    <bk>
      <rc t="2" v="2540"/>
    </bk>
    <bk>
      <rc t="2" v="2541"/>
    </bk>
    <bk>
      <rc t="2" v="2542"/>
    </bk>
    <bk>
      <rc t="2" v="2543"/>
    </bk>
    <bk>
      <rc t="2" v="2544"/>
    </bk>
    <bk>
      <rc t="2" v="2545"/>
    </bk>
    <bk>
      <rc t="2" v="2546"/>
    </bk>
    <bk>
      <rc t="2" v="2547"/>
    </bk>
    <bk>
      <rc t="2" v="2548"/>
    </bk>
    <bk>
      <rc t="2" v="2549"/>
    </bk>
    <bk>
      <rc t="2" v="2550"/>
    </bk>
    <bk>
      <rc t="2" v="2551"/>
    </bk>
    <bk>
      <rc t="2" v="2552"/>
    </bk>
    <bk>
      <rc t="2" v="2553"/>
    </bk>
    <bk>
      <rc t="2" v="2554"/>
    </bk>
    <bk>
      <rc t="2" v="2555"/>
    </bk>
    <bk>
      <rc t="2" v="2556"/>
    </bk>
    <bk>
      <rc t="2" v="2557"/>
    </bk>
    <bk>
      <rc t="2" v="2558"/>
    </bk>
    <bk>
      <rc t="2" v="2559"/>
    </bk>
    <bk>
      <rc t="2" v="2560"/>
    </bk>
    <bk>
      <rc t="2" v="2561"/>
    </bk>
    <bk>
      <rc t="2" v="2562"/>
    </bk>
    <bk>
      <rc t="2" v="2563"/>
    </bk>
    <bk>
      <rc t="2" v="2564"/>
    </bk>
    <bk>
      <rc t="2" v="2565"/>
    </bk>
    <bk>
      <rc t="2" v="2566"/>
    </bk>
    <bk>
      <rc t="2" v="2567"/>
    </bk>
    <bk>
      <rc t="2" v="2568"/>
    </bk>
    <bk>
      <rc t="2" v="2569"/>
    </bk>
    <bk>
      <rc t="2" v="2570"/>
    </bk>
    <bk>
      <rc t="2" v="2571"/>
    </bk>
    <bk>
      <rc t="2" v="2572"/>
    </bk>
    <bk>
      <rc t="2" v="2573"/>
    </bk>
    <bk>
      <rc t="2" v="2574"/>
    </bk>
    <bk>
      <rc t="2" v="2575"/>
    </bk>
    <bk>
      <rc t="2" v="2576"/>
    </bk>
    <bk>
      <rc t="2" v="2577"/>
    </bk>
    <bk>
      <rc t="2" v="2578"/>
    </bk>
    <bk>
      <rc t="2" v="2579"/>
    </bk>
    <bk>
      <rc t="2" v="2580"/>
    </bk>
    <bk>
      <rc t="2" v="2581"/>
    </bk>
    <bk>
      <rc t="2" v="2582"/>
    </bk>
    <bk>
      <rc t="2" v="2583"/>
    </bk>
    <bk>
      <rc t="2" v="2584"/>
    </bk>
    <bk>
      <rc t="2" v="2585"/>
    </bk>
    <bk>
      <rc t="2" v="2586"/>
    </bk>
    <bk>
      <rc t="2" v="2587"/>
    </bk>
    <bk>
      <rc t="2" v="2588"/>
    </bk>
    <bk>
      <rc t="2" v="2589"/>
    </bk>
    <bk>
      <rc t="2" v="2590"/>
    </bk>
    <bk>
      <rc t="2" v="2591"/>
    </bk>
    <bk>
      <rc t="2" v="2592"/>
    </bk>
    <bk>
      <rc t="2" v="2593"/>
    </bk>
    <bk>
      <rc t="2" v="2594"/>
    </bk>
    <bk>
      <rc t="2" v="2595"/>
    </bk>
    <bk>
      <rc t="2" v="2596"/>
    </bk>
    <bk>
      <rc t="2" v="2597"/>
    </bk>
    <bk>
      <rc t="2" v="2598"/>
    </bk>
    <bk>
      <rc t="2" v="2599"/>
    </bk>
    <bk>
      <rc t="2" v="2600"/>
    </bk>
    <bk>
      <rc t="2" v="2601"/>
    </bk>
    <bk>
      <rc t="2" v="2602"/>
    </bk>
    <bk>
      <rc t="2" v="2603"/>
    </bk>
    <bk>
      <rc t="2" v="2604"/>
    </bk>
    <bk>
      <rc t="2" v="2605"/>
    </bk>
    <bk>
      <rc t="2" v="2606"/>
    </bk>
    <bk>
      <rc t="2" v="2607"/>
    </bk>
    <bk>
      <rc t="2" v="2608"/>
    </bk>
    <bk>
      <rc t="2" v="2609"/>
    </bk>
    <bk>
      <rc t="2" v="2610"/>
    </bk>
    <bk>
      <rc t="2" v="2611"/>
    </bk>
    <bk>
      <rc t="2" v="2612"/>
    </bk>
    <bk>
      <rc t="2" v="2613"/>
    </bk>
    <bk>
      <rc t="2" v="2614"/>
    </bk>
    <bk>
      <rc t="2" v="2615"/>
    </bk>
    <bk>
      <rc t="2" v="2616"/>
    </bk>
    <bk>
      <rc t="2" v="2617"/>
    </bk>
    <bk>
      <rc t="2" v="2618"/>
    </bk>
    <bk>
      <rc t="2" v="2619"/>
    </bk>
    <bk>
      <rc t="2" v="2620"/>
    </bk>
    <bk>
      <rc t="2" v="2621"/>
    </bk>
    <bk>
      <rc t="2" v="2622"/>
    </bk>
    <bk>
      <rc t="2" v="2623"/>
    </bk>
    <bk>
      <rc t="2" v="2624"/>
    </bk>
    <bk>
      <rc t="2" v="2625"/>
    </bk>
    <bk>
      <rc t="2" v="2626"/>
    </bk>
    <bk>
      <rc t="2" v="2627"/>
    </bk>
    <bk>
      <rc t="2" v="2628"/>
    </bk>
    <bk>
      <rc t="2" v="2629"/>
    </bk>
    <bk>
      <rc t="2" v="2630"/>
    </bk>
    <bk>
      <rc t="2" v="2631"/>
    </bk>
    <bk>
      <rc t="2" v="2632"/>
    </bk>
    <bk>
      <rc t="2" v="2633"/>
    </bk>
    <bk>
      <rc t="2" v="2634"/>
    </bk>
    <bk>
      <rc t="2" v="2635"/>
    </bk>
    <bk>
      <rc t="2" v="2636"/>
    </bk>
    <bk>
      <rc t="2" v="2637"/>
    </bk>
    <bk>
      <rc t="2" v="2638"/>
    </bk>
    <bk>
      <rc t="2" v="2639"/>
    </bk>
    <bk>
      <rc t="2" v="2640"/>
    </bk>
    <bk>
      <rc t="2" v="2641"/>
    </bk>
    <bk>
      <rc t="2" v="2642"/>
    </bk>
    <bk>
      <rc t="2" v="2643"/>
    </bk>
    <bk>
      <rc t="2" v="2644"/>
    </bk>
    <bk>
      <rc t="2" v="2645"/>
    </bk>
    <bk>
      <rc t="2" v="2646"/>
    </bk>
    <bk>
      <rc t="2" v="2647"/>
    </bk>
    <bk>
      <rc t="2" v="2648"/>
    </bk>
    <bk>
      <rc t="2" v="2649"/>
    </bk>
    <bk>
      <rc t="2" v="2650"/>
    </bk>
    <bk>
      <rc t="2" v="2651"/>
    </bk>
    <bk>
      <rc t="2" v="2652"/>
    </bk>
    <bk>
      <rc t="2" v="2653"/>
    </bk>
    <bk>
      <rc t="2" v="2654"/>
    </bk>
    <bk>
      <rc t="2" v="2655"/>
    </bk>
    <bk>
      <rc t="2" v="2656"/>
    </bk>
    <bk>
      <rc t="2" v="2657"/>
    </bk>
    <bk>
      <rc t="2" v="2658"/>
    </bk>
    <bk>
      <rc t="2" v="2659"/>
    </bk>
    <bk>
      <rc t="2" v="2660"/>
    </bk>
    <bk>
      <rc t="2" v="2661"/>
    </bk>
    <bk>
      <rc t="2" v="2662"/>
    </bk>
    <bk>
      <rc t="2" v="2663"/>
    </bk>
    <bk>
      <rc t="2" v="2664"/>
    </bk>
    <bk>
      <rc t="2" v="2665"/>
    </bk>
    <bk>
      <rc t="2" v="2666"/>
    </bk>
    <bk>
      <rc t="2" v="2667"/>
    </bk>
    <bk>
      <rc t="2" v="2668"/>
    </bk>
    <bk>
      <rc t="2" v="2669"/>
    </bk>
    <bk>
      <rc t="2" v="2670"/>
    </bk>
    <bk>
      <rc t="2" v="2671"/>
    </bk>
    <bk>
      <rc t="2" v="2672"/>
    </bk>
    <bk>
      <rc t="2" v="2673"/>
    </bk>
    <bk>
      <rc t="2" v="2674"/>
    </bk>
    <bk>
      <rc t="2" v="2675"/>
    </bk>
    <bk>
      <rc t="2" v="2676"/>
    </bk>
    <bk>
      <rc t="2" v="2677"/>
    </bk>
    <bk>
      <rc t="2" v="2678"/>
    </bk>
    <bk>
      <rc t="2" v="2679"/>
    </bk>
    <bk>
      <rc t="2" v="2680"/>
    </bk>
    <bk>
      <rc t="2" v="2681"/>
    </bk>
    <bk>
      <rc t="2" v="2682"/>
    </bk>
    <bk>
      <rc t="2" v="2683"/>
    </bk>
    <bk>
      <rc t="2" v="2684"/>
    </bk>
    <bk>
      <rc t="2" v="2685"/>
    </bk>
    <bk>
      <rc t="2" v="2686"/>
    </bk>
    <bk>
      <rc t="2" v="2687"/>
    </bk>
    <bk>
      <rc t="2" v="2688"/>
    </bk>
    <bk>
      <rc t="2" v="2689"/>
    </bk>
    <bk>
      <rc t="2" v="2690"/>
    </bk>
    <bk>
      <rc t="2" v="2691"/>
    </bk>
    <bk>
      <rc t="2" v="2692"/>
    </bk>
    <bk>
      <rc t="2" v="2693"/>
    </bk>
    <bk>
      <rc t="2" v="2694"/>
    </bk>
    <bk>
      <rc t="2" v="2695"/>
    </bk>
    <bk>
      <rc t="2" v="2696"/>
    </bk>
    <bk>
      <rc t="2" v="2697"/>
    </bk>
    <bk>
      <rc t="2" v="2698"/>
    </bk>
    <bk>
      <rc t="2" v="2699"/>
    </bk>
    <bk>
      <rc t="2" v="2700"/>
    </bk>
    <bk>
      <rc t="2" v="2701"/>
    </bk>
    <bk>
      <rc t="2" v="2702"/>
    </bk>
    <bk>
      <rc t="2" v="2703"/>
    </bk>
    <bk>
      <rc t="2" v="2704"/>
    </bk>
    <bk>
      <rc t="2" v="2705"/>
    </bk>
    <bk>
      <rc t="2" v="2706"/>
    </bk>
    <bk>
      <rc t="2" v="2707"/>
    </bk>
    <bk>
      <rc t="2" v="2708"/>
    </bk>
    <bk>
      <rc t="2" v="2709"/>
    </bk>
    <bk>
      <rc t="2" v="2710"/>
    </bk>
    <bk>
      <rc t="2" v="2711"/>
    </bk>
    <bk>
      <rc t="2" v="2712"/>
    </bk>
    <bk>
      <rc t="2" v="2713"/>
    </bk>
    <bk>
      <rc t="2" v="2714"/>
    </bk>
    <bk>
      <rc t="2" v="2715"/>
    </bk>
    <bk>
      <rc t="2" v="2716"/>
    </bk>
    <bk>
      <rc t="2" v="2717"/>
    </bk>
    <bk>
      <rc t="2" v="2718"/>
    </bk>
    <bk>
      <rc t="2" v="2719"/>
    </bk>
    <bk>
      <rc t="2" v="2720"/>
    </bk>
    <bk>
      <rc t="2" v="2721"/>
    </bk>
    <bk>
      <rc t="2" v="2722"/>
    </bk>
    <bk>
      <rc t="2" v="2723"/>
    </bk>
    <bk>
      <rc t="2" v="2724"/>
    </bk>
    <bk>
      <rc t="2" v="2725"/>
    </bk>
    <bk>
      <rc t="2" v="2726"/>
    </bk>
    <bk>
      <rc t="2" v="2727"/>
    </bk>
    <bk>
      <rc t="2" v="2728"/>
    </bk>
    <bk>
      <rc t="2" v="2729"/>
    </bk>
    <bk>
      <rc t="2" v="2730"/>
    </bk>
    <bk>
      <rc t="2" v="2731"/>
    </bk>
    <bk>
      <rc t="2" v="2732"/>
    </bk>
    <bk>
      <rc t="2" v="2733"/>
    </bk>
    <bk>
      <rc t="2" v="2734"/>
    </bk>
    <bk>
      <rc t="2" v="2735"/>
    </bk>
    <bk>
      <rc t="2" v="2736"/>
    </bk>
    <bk>
      <rc t="2" v="2737"/>
    </bk>
    <bk>
      <rc t="2" v="2738"/>
    </bk>
    <bk>
      <rc t="2" v="2739"/>
    </bk>
    <bk>
      <rc t="2" v="2740"/>
    </bk>
    <bk>
      <rc t="2" v="2741"/>
    </bk>
    <bk>
      <rc t="2" v="2742"/>
    </bk>
    <bk>
      <rc t="2" v="2743"/>
    </bk>
    <bk>
      <rc t="2" v="2744"/>
    </bk>
    <bk>
      <rc t="2" v="2745"/>
    </bk>
    <bk>
      <rc t="2" v="2746"/>
    </bk>
    <bk>
      <rc t="2" v="2747"/>
    </bk>
    <bk>
      <rc t="2" v="2748"/>
    </bk>
    <bk>
      <rc t="2" v="2749"/>
    </bk>
    <bk>
      <rc t="2" v="2750"/>
    </bk>
    <bk>
      <rc t="2" v="2751"/>
    </bk>
    <bk>
      <rc t="2" v="2752"/>
    </bk>
    <bk>
      <rc t="2" v="2753"/>
    </bk>
    <bk>
      <rc t="2" v="2754"/>
    </bk>
    <bk>
      <rc t="2" v="2755"/>
    </bk>
    <bk>
      <rc t="2" v="2756"/>
    </bk>
    <bk>
      <rc t="2" v="2757"/>
    </bk>
    <bk>
      <rc t="2" v="2758"/>
    </bk>
    <bk>
      <rc t="2" v="2759"/>
    </bk>
    <bk>
      <rc t="2" v="2760"/>
    </bk>
    <bk>
      <rc t="2" v="2761"/>
    </bk>
    <bk>
      <rc t="2" v="2762"/>
    </bk>
    <bk>
      <rc t="2" v="2763"/>
    </bk>
    <bk>
      <rc t="2" v="2764"/>
    </bk>
    <bk>
      <rc t="2" v="2765"/>
    </bk>
    <bk>
      <rc t="2" v="2766"/>
    </bk>
    <bk>
      <rc t="2" v="2767"/>
    </bk>
    <bk>
      <rc t="2" v="2768"/>
    </bk>
    <bk>
      <rc t="2" v="2769"/>
    </bk>
    <bk>
      <rc t="2" v="2770"/>
    </bk>
    <bk>
      <rc t="2" v="2771"/>
    </bk>
    <bk>
      <rc t="2" v="2772"/>
    </bk>
    <bk>
      <rc t="2" v="2773"/>
    </bk>
    <bk>
      <rc t="2" v="2774"/>
    </bk>
    <bk>
      <rc t="2" v="2775"/>
    </bk>
    <bk>
      <rc t="2" v="2776"/>
    </bk>
    <bk>
      <rc t="2" v="2777"/>
    </bk>
    <bk>
      <rc t="2" v="2778"/>
    </bk>
    <bk>
      <rc t="2" v="2779"/>
    </bk>
    <bk>
      <rc t="2" v="2780"/>
    </bk>
    <bk>
      <rc t="2" v="2781"/>
    </bk>
    <bk>
      <rc t="2" v="2782"/>
    </bk>
    <bk>
      <rc t="2" v="2783"/>
    </bk>
    <bk>
      <rc t="2" v="2784"/>
    </bk>
    <bk>
      <rc t="2" v="2785"/>
    </bk>
    <bk>
      <rc t="2" v="2786"/>
    </bk>
    <bk>
      <rc t="2" v="2787"/>
    </bk>
    <bk>
      <rc t="2" v="2788"/>
    </bk>
    <bk>
      <rc t="2" v="2789"/>
    </bk>
    <bk>
      <rc t="2" v="2790"/>
    </bk>
    <bk>
      <rc t="2" v="2791"/>
    </bk>
    <bk>
      <rc t="2" v="2792"/>
    </bk>
    <bk>
      <rc t="2" v="2793"/>
    </bk>
    <bk>
      <rc t="2" v="2794"/>
    </bk>
    <bk>
      <rc t="2" v="2795"/>
    </bk>
    <bk>
      <rc t="2" v="2796"/>
    </bk>
    <bk>
      <rc t="2" v="2797"/>
    </bk>
    <bk>
      <rc t="2" v="2798"/>
    </bk>
    <bk>
      <rc t="2" v="2799"/>
    </bk>
    <bk>
      <rc t="2" v="2800"/>
    </bk>
    <bk>
      <rc t="2" v="2801"/>
    </bk>
    <bk>
      <rc t="2" v="2802"/>
    </bk>
    <bk>
      <rc t="2" v="2803"/>
    </bk>
    <bk>
      <rc t="2" v="2804"/>
    </bk>
    <bk>
      <rc t="2" v="2805"/>
    </bk>
    <bk>
      <rc t="2" v="2806"/>
    </bk>
    <bk>
      <rc t="2" v="2807"/>
    </bk>
    <bk>
      <rc t="2" v="2808"/>
    </bk>
    <bk>
      <rc t="2" v="2809"/>
    </bk>
    <bk>
      <rc t="2" v="2810"/>
    </bk>
    <bk>
      <rc t="2" v="2811"/>
    </bk>
    <bk>
      <rc t="2" v="2812"/>
    </bk>
    <bk>
      <rc t="2" v="2813"/>
    </bk>
    <bk>
      <rc t="2" v="2814"/>
    </bk>
    <bk>
      <rc t="2" v="2815"/>
    </bk>
    <bk>
      <rc t="2" v="2816"/>
    </bk>
    <bk>
      <rc t="2" v="2817"/>
    </bk>
    <bk>
      <rc t="2" v="2818"/>
    </bk>
    <bk>
      <rc t="2" v="2819"/>
    </bk>
    <bk>
      <rc t="2" v="2820"/>
    </bk>
    <bk>
      <rc t="2" v="2821"/>
    </bk>
    <bk>
      <rc t="2" v="2822"/>
    </bk>
    <bk>
      <rc t="2" v="2823"/>
    </bk>
    <bk>
      <rc t="2" v="2824"/>
    </bk>
    <bk>
      <rc t="2" v="2825"/>
    </bk>
    <bk>
      <rc t="2" v="2826"/>
    </bk>
    <bk>
      <rc t="2" v="2827"/>
    </bk>
    <bk>
      <rc t="2" v="2828"/>
    </bk>
    <bk>
      <rc t="2" v="2829"/>
    </bk>
    <bk>
      <rc t="2" v="2830"/>
    </bk>
    <bk>
      <rc t="2" v="2831"/>
    </bk>
    <bk>
      <rc t="2" v="2832"/>
    </bk>
    <bk>
      <rc t="2" v="2833"/>
    </bk>
    <bk>
      <rc t="2" v="2834"/>
    </bk>
    <bk>
      <rc t="2" v="2835"/>
    </bk>
    <bk>
      <rc t="2" v="2836"/>
    </bk>
    <bk>
      <rc t="2" v="2837"/>
    </bk>
    <bk>
      <rc t="2" v="2838"/>
    </bk>
    <bk>
      <rc t="2" v="2839"/>
    </bk>
    <bk>
      <rc t="2" v="2840"/>
    </bk>
    <bk>
      <rc t="2" v="2841"/>
    </bk>
    <bk>
      <rc t="2" v="2842"/>
    </bk>
    <bk>
      <rc t="2" v="2843"/>
    </bk>
    <bk>
      <rc t="2" v="2844"/>
    </bk>
    <bk>
      <rc t="2" v="2845"/>
    </bk>
    <bk>
      <rc t="2" v="2846"/>
    </bk>
    <bk>
      <rc t="2" v="2847"/>
    </bk>
    <bk>
      <rc t="2" v="2848"/>
    </bk>
    <bk>
      <rc t="2" v="2849"/>
    </bk>
    <bk>
      <rc t="2" v="2850"/>
    </bk>
    <bk>
      <rc t="2" v="2851"/>
    </bk>
    <bk>
      <rc t="2" v="2852"/>
    </bk>
    <bk>
      <rc t="2" v="2853"/>
    </bk>
    <bk>
      <rc t="2" v="2854"/>
    </bk>
    <bk>
      <rc t="2" v="2855"/>
    </bk>
    <bk>
      <rc t="2" v="2856"/>
    </bk>
    <bk>
      <rc t="2" v="2857"/>
    </bk>
    <bk>
      <rc t="2" v="2858"/>
    </bk>
    <bk>
      <rc t="2" v="2859"/>
    </bk>
    <bk>
      <rc t="2" v="2860"/>
    </bk>
    <bk>
      <rc t="2" v="2861"/>
    </bk>
    <bk>
      <rc t="2" v="2862"/>
    </bk>
    <bk>
      <rc t="2" v="2863"/>
    </bk>
    <bk>
      <rc t="2" v="2864"/>
    </bk>
    <bk>
      <rc t="2" v="2865"/>
    </bk>
    <bk>
      <rc t="2" v="2866"/>
    </bk>
    <bk>
      <rc t="2" v="2867"/>
    </bk>
    <bk>
      <rc t="2" v="2868"/>
    </bk>
    <bk>
      <rc t="2" v="2869"/>
    </bk>
    <bk>
      <rc t="2" v="2870"/>
    </bk>
    <bk>
      <rc t="2" v="2871"/>
    </bk>
    <bk>
      <rc t="2" v="2872"/>
    </bk>
    <bk>
      <rc t="2" v="2873"/>
    </bk>
    <bk>
      <rc t="2" v="2874"/>
    </bk>
    <bk>
      <rc t="2" v="2875"/>
    </bk>
    <bk>
      <rc t="2" v="2876"/>
    </bk>
    <bk>
      <rc t="2" v="2877"/>
    </bk>
    <bk>
      <rc t="2" v="2878"/>
    </bk>
    <bk>
      <rc t="2" v="2879"/>
    </bk>
    <bk>
      <rc t="2" v="2880"/>
    </bk>
    <bk>
      <rc t="2" v="2881"/>
    </bk>
    <bk>
      <rc t="2" v="2882"/>
    </bk>
    <bk>
      <rc t="2" v="2883"/>
    </bk>
    <bk>
      <rc t="2" v="2884"/>
    </bk>
    <bk>
      <rc t="2" v="2885"/>
    </bk>
    <bk>
      <rc t="2" v="2886"/>
    </bk>
    <bk>
      <rc t="2" v="2887"/>
    </bk>
    <bk>
      <rc t="2" v="2888"/>
    </bk>
    <bk>
      <rc t="2" v="2889"/>
    </bk>
    <bk>
      <rc t="2" v="2890"/>
    </bk>
    <bk>
      <rc t="2" v="2891"/>
    </bk>
    <bk>
      <rc t="2" v="2892"/>
    </bk>
    <bk>
      <rc t="2" v="2893"/>
    </bk>
    <bk>
      <rc t="2" v="2894"/>
    </bk>
    <bk>
      <rc t="2" v="2895"/>
    </bk>
    <bk>
      <rc t="2" v="2896"/>
    </bk>
    <bk>
      <rc t="2" v="2897"/>
    </bk>
    <bk>
      <rc t="2" v="2898"/>
    </bk>
    <bk>
      <rc t="2" v="2899"/>
    </bk>
    <bk>
      <rc t="2" v="2900"/>
    </bk>
    <bk>
      <rc t="2" v="2901"/>
    </bk>
    <bk>
      <rc t="2" v="2902"/>
    </bk>
    <bk>
      <rc t="2" v="2903"/>
    </bk>
    <bk>
      <rc t="2" v="2904"/>
    </bk>
    <bk>
      <rc t="2" v="2905"/>
    </bk>
    <bk>
      <rc t="2" v="2906"/>
    </bk>
    <bk>
      <rc t="2" v="2907"/>
    </bk>
    <bk>
      <rc t="2" v="2908"/>
    </bk>
    <bk>
      <rc t="2" v="2909"/>
    </bk>
    <bk>
      <rc t="2" v="2910"/>
    </bk>
    <bk>
      <rc t="2" v="2911"/>
    </bk>
    <bk>
      <rc t="2" v="2912"/>
    </bk>
    <bk>
      <rc t="2" v="2913"/>
    </bk>
    <bk>
      <rc t="2" v="2914"/>
    </bk>
    <bk>
      <rc t="2" v="2915"/>
    </bk>
    <bk>
      <rc t="2" v="2916"/>
    </bk>
    <bk>
      <rc t="2" v="2917"/>
    </bk>
    <bk>
      <rc t="2" v="2918"/>
    </bk>
    <bk>
      <rc t="2" v="2919"/>
    </bk>
    <bk>
      <rc t="2" v="2920"/>
    </bk>
    <bk>
      <rc t="2" v="2921"/>
    </bk>
    <bk>
      <rc t="2" v="2922"/>
    </bk>
    <bk>
      <rc t="2" v="2923"/>
    </bk>
    <bk>
      <rc t="2" v="2924"/>
    </bk>
    <bk>
      <rc t="2" v="2925"/>
    </bk>
    <bk>
      <rc t="2" v="2926"/>
    </bk>
    <bk>
      <rc t="2" v="2927"/>
    </bk>
    <bk>
      <rc t="2" v="2928"/>
    </bk>
    <bk>
      <rc t="2" v="2929"/>
    </bk>
    <bk>
      <rc t="2" v="2930"/>
    </bk>
    <bk>
      <rc t="2" v="2931"/>
    </bk>
    <bk>
      <rc t="2" v="2932"/>
    </bk>
    <bk>
      <rc t="2" v="2933"/>
    </bk>
    <bk>
      <rc t="2" v="2934"/>
    </bk>
    <bk>
      <rc t="2" v="2935"/>
    </bk>
    <bk>
      <rc t="2" v="2936"/>
    </bk>
    <bk>
      <rc t="2" v="2937"/>
    </bk>
    <bk>
      <rc t="2" v="2938"/>
    </bk>
    <bk>
      <rc t="2" v="2939"/>
    </bk>
    <bk>
      <rc t="2" v="2940"/>
    </bk>
    <bk>
      <rc t="2" v="2941"/>
    </bk>
    <bk>
      <rc t="2" v="2942"/>
    </bk>
    <bk>
      <rc t="2" v="2943"/>
    </bk>
    <bk>
      <rc t="2" v="2944"/>
    </bk>
    <bk>
      <rc t="2" v="2945"/>
    </bk>
    <bk>
      <rc t="2" v="2946"/>
    </bk>
    <bk>
      <rc t="2" v="2947"/>
    </bk>
    <bk>
      <rc t="2" v="2948"/>
    </bk>
    <bk>
      <rc t="2" v="2949"/>
    </bk>
    <bk>
      <rc t="2" v="2950"/>
    </bk>
    <bk>
      <rc t="2" v="2951"/>
    </bk>
    <bk>
      <rc t="2" v="2952"/>
    </bk>
    <bk>
      <rc t="2" v="2953"/>
    </bk>
    <bk>
      <rc t="2" v="2954"/>
    </bk>
    <bk>
      <rc t="2" v="2955"/>
    </bk>
    <bk>
      <rc t="2" v="2956"/>
    </bk>
    <bk>
      <rc t="2" v="2957"/>
    </bk>
    <bk>
      <rc t="2" v="2958"/>
    </bk>
    <bk>
      <rc t="2" v="2959"/>
    </bk>
    <bk>
      <rc t="2" v="2960"/>
    </bk>
    <bk>
      <rc t="2" v="2961"/>
    </bk>
    <bk>
      <rc t="2" v="2962"/>
    </bk>
    <bk>
      <rc t="2" v="2963"/>
    </bk>
    <bk>
      <rc t="2" v="2964"/>
    </bk>
    <bk>
      <rc t="2" v="2965"/>
    </bk>
    <bk>
      <rc t="2" v="2966"/>
    </bk>
    <bk>
      <rc t="2" v="2967"/>
    </bk>
    <bk>
      <rc t="2" v="2968"/>
    </bk>
    <bk>
      <rc t="2" v="2969"/>
    </bk>
    <bk>
      <rc t="2" v="2970"/>
    </bk>
    <bk>
      <rc t="2" v="2971"/>
    </bk>
    <bk>
      <rc t="2" v="2972"/>
    </bk>
    <bk>
      <rc t="2" v="2973"/>
    </bk>
    <bk>
      <rc t="2" v="2974"/>
    </bk>
    <bk>
      <rc t="2" v="2975"/>
    </bk>
    <bk>
      <rc t="2" v="2976"/>
    </bk>
    <bk>
      <rc t="2" v="2977"/>
    </bk>
    <bk>
      <rc t="2" v="2978"/>
    </bk>
    <bk>
      <rc t="2" v="2979"/>
    </bk>
    <bk>
      <rc t="2" v="2980"/>
    </bk>
    <bk>
      <rc t="2" v="2981"/>
    </bk>
    <bk>
      <rc t="2" v="2982"/>
    </bk>
    <bk>
      <rc t="2" v="2983"/>
    </bk>
    <bk>
      <rc t="2" v="2984"/>
    </bk>
    <bk>
      <rc t="2" v="2985"/>
    </bk>
    <bk>
      <rc t="2" v="2986"/>
    </bk>
    <bk>
      <rc t="2" v="2987"/>
    </bk>
    <bk>
      <rc t="2" v="2988"/>
    </bk>
    <bk>
      <rc t="2" v="2989"/>
    </bk>
    <bk>
      <rc t="2" v="2990"/>
    </bk>
    <bk>
      <rc t="2" v="2991"/>
    </bk>
    <bk>
      <rc t="2" v="2992"/>
    </bk>
    <bk>
      <rc t="2" v="2993"/>
    </bk>
    <bk>
      <rc t="2" v="2994"/>
    </bk>
    <bk>
      <rc t="2" v="2995"/>
    </bk>
    <bk>
      <rc t="2" v="2996"/>
    </bk>
    <bk>
      <rc t="2" v="2997"/>
    </bk>
    <bk>
      <rc t="2" v="2998"/>
    </bk>
    <bk>
      <rc t="2" v="2999"/>
    </bk>
    <bk>
      <rc t="2" v="3000"/>
    </bk>
    <bk>
      <rc t="2" v="3001"/>
    </bk>
    <bk>
      <rc t="2" v="3002"/>
    </bk>
    <bk>
      <rc t="2" v="3003"/>
    </bk>
    <bk>
      <rc t="2" v="3004"/>
    </bk>
    <bk>
      <rc t="2" v="3005"/>
    </bk>
    <bk>
      <rc t="2" v="3006"/>
    </bk>
    <bk>
      <rc t="2" v="3007"/>
    </bk>
    <bk>
      <rc t="2" v="3008"/>
    </bk>
    <bk>
      <rc t="2" v="3009"/>
    </bk>
    <bk>
      <rc t="2" v="3010"/>
    </bk>
    <bk>
      <rc t="2" v="3011"/>
    </bk>
    <bk>
      <rc t="2" v="3012"/>
    </bk>
    <bk>
      <rc t="2" v="3013"/>
    </bk>
    <bk>
      <rc t="2" v="3014"/>
    </bk>
    <bk>
      <rc t="2" v="3015"/>
    </bk>
    <bk>
      <rc t="2" v="3016"/>
    </bk>
    <bk>
      <rc t="2" v="3017"/>
    </bk>
    <bk>
      <rc t="2" v="3018"/>
    </bk>
    <bk>
      <rc t="2" v="3019"/>
    </bk>
    <bk>
      <rc t="2" v="3020"/>
    </bk>
    <bk>
      <rc t="2" v="3021"/>
    </bk>
    <bk>
      <rc t="2" v="3022"/>
    </bk>
    <bk>
      <rc t="2" v="3023"/>
    </bk>
    <bk>
      <rc t="2" v="3024"/>
    </bk>
    <bk>
      <rc t="2" v="3025"/>
    </bk>
    <bk>
      <rc t="2" v="3026"/>
    </bk>
    <bk>
      <rc t="2" v="3027"/>
    </bk>
    <bk>
      <rc t="2" v="3028"/>
    </bk>
    <bk>
      <rc t="2" v="3029"/>
    </bk>
    <bk>
      <rc t="2" v="3030"/>
    </bk>
    <bk>
      <rc t="2" v="3031"/>
    </bk>
    <bk>
      <rc t="2" v="3032"/>
    </bk>
    <bk>
      <rc t="2" v="3033"/>
    </bk>
    <bk>
      <rc t="2" v="3034"/>
    </bk>
    <bk>
      <rc t="2" v="3035"/>
    </bk>
    <bk>
      <rc t="2" v="3036"/>
    </bk>
    <bk>
      <rc t="2" v="3037"/>
    </bk>
    <bk>
      <rc t="2" v="3038"/>
    </bk>
    <bk>
      <rc t="2" v="3039"/>
    </bk>
    <bk>
      <rc t="2" v="3040"/>
    </bk>
    <bk>
      <rc t="2" v="3041"/>
    </bk>
    <bk>
      <rc t="2" v="3042"/>
    </bk>
    <bk>
      <rc t="2" v="3043"/>
    </bk>
    <bk>
      <rc t="2" v="3044"/>
    </bk>
    <bk>
      <rc t="2" v="3045"/>
    </bk>
    <bk>
      <rc t="2" v="3046"/>
    </bk>
    <bk>
      <rc t="2" v="3047"/>
    </bk>
    <bk>
      <rc t="2" v="3048"/>
    </bk>
    <bk>
      <rc t="2" v="3049"/>
    </bk>
    <bk>
      <rc t="2" v="3050"/>
    </bk>
    <bk>
      <rc t="2" v="3051"/>
    </bk>
    <bk>
      <rc t="2" v="3052"/>
    </bk>
    <bk>
      <rc t="2" v="3053"/>
    </bk>
    <bk>
      <rc t="2" v="3054"/>
    </bk>
    <bk>
      <rc t="2" v="3055"/>
    </bk>
    <bk>
      <rc t="2" v="3056"/>
    </bk>
    <bk>
      <rc t="2" v="3057"/>
    </bk>
    <bk>
      <rc t="2" v="3058"/>
    </bk>
    <bk>
      <rc t="2" v="3059"/>
    </bk>
    <bk>
      <rc t="2" v="3060"/>
    </bk>
    <bk>
      <rc t="2" v="3061"/>
    </bk>
    <bk>
      <rc t="2" v="3062"/>
    </bk>
    <bk>
      <rc t="2" v="3063"/>
    </bk>
    <bk>
      <rc t="2" v="3064"/>
    </bk>
    <bk>
      <rc t="2" v="3065"/>
    </bk>
    <bk>
      <rc t="2" v="3066"/>
    </bk>
    <bk>
      <rc t="2" v="3067"/>
    </bk>
    <bk>
      <rc t="2" v="3068"/>
    </bk>
    <bk>
      <rc t="2" v="3069"/>
    </bk>
    <bk>
      <rc t="2" v="3070"/>
    </bk>
    <bk>
      <rc t="2" v="3071"/>
    </bk>
    <bk>
      <rc t="2" v="3072"/>
    </bk>
    <bk>
      <rc t="2" v="3073"/>
    </bk>
    <bk>
      <rc t="2" v="3074"/>
    </bk>
    <bk>
      <rc t="2" v="3075"/>
    </bk>
    <bk>
      <rc t="2" v="3076"/>
    </bk>
    <bk>
      <rc t="2" v="3077"/>
    </bk>
    <bk>
      <rc t="2" v="3078"/>
    </bk>
    <bk>
      <rc t="2" v="3079"/>
    </bk>
    <bk>
      <rc t="2" v="3080"/>
    </bk>
    <bk>
      <rc t="2" v="3081"/>
    </bk>
    <bk>
      <rc t="2" v="3082"/>
    </bk>
    <bk>
      <rc t="2" v="3083"/>
    </bk>
    <bk>
      <rc t="2" v="3084"/>
    </bk>
    <bk>
      <rc t="2" v="3085"/>
    </bk>
    <bk>
      <rc t="2" v="3086"/>
    </bk>
    <bk>
      <rc t="2" v="3087"/>
    </bk>
    <bk>
      <rc t="2" v="3088"/>
    </bk>
    <bk>
      <rc t="2" v="3089"/>
    </bk>
    <bk>
      <rc t="2" v="3090"/>
    </bk>
    <bk>
      <rc t="2" v="3091"/>
    </bk>
    <bk>
      <rc t="2" v="3092"/>
    </bk>
    <bk>
      <rc t="2" v="3093"/>
    </bk>
    <bk>
      <rc t="2" v="3094"/>
    </bk>
    <bk>
      <rc t="2" v="3095"/>
    </bk>
    <bk>
      <rc t="2" v="3096"/>
    </bk>
    <bk>
      <rc t="2" v="3097"/>
    </bk>
    <bk>
      <rc t="2" v="3098"/>
    </bk>
    <bk>
      <rc t="2" v="3099"/>
    </bk>
    <bk>
      <rc t="2" v="3100"/>
    </bk>
    <bk>
      <rc t="2" v="3101"/>
    </bk>
    <bk>
      <rc t="2" v="3102"/>
    </bk>
    <bk>
      <rc t="2" v="3103"/>
    </bk>
    <bk>
      <rc t="2" v="3104"/>
    </bk>
    <bk>
      <rc t="2" v="3105"/>
    </bk>
    <bk>
      <rc t="2" v="3106"/>
    </bk>
    <bk>
      <rc t="2" v="3107"/>
    </bk>
    <bk>
      <rc t="2" v="3108"/>
    </bk>
    <bk>
      <rc t="2" v="3109"/>
    </bk>
    <bk>
      <rc t="2" v="3110"/>
    </bk>
    <bk>
      <rc t="2" v="3111"/>
    </bk>
    <bk>
      <rc t="2" v="3112"/>
    </bk>
    <bk>
      <rc t="2" v="3113"/>
    </bk>
    <bk>
      <rc t="2" v="3114"/>
    </bk>
    <bk>
      <rc t="2" v="3115"/>
    </bk>
    <bk>
      <rc t="2" v="3116"/>
    </bk>
    <bk>
      <rc t="2" v="3117"/>
    </bk>
    <bk>
      <rc t="2" v="3118"/>
    </bk>
    <bk>
      <rc t="2" v="3119"/>
    </bk>
    <bk>
      <rc t="2" v="3120"/>
    </bk>
    <bk>
      <rc t="2" v="3121"/>
    </bk>
    <bk>
      <rc t="2" v="3122"/>
    </bk>
    <bk>
      <rc t="2" v="3123"/>
    </bk>
    <bk>
      <rc t="2" v="3124"/>
    </bk>
    <bk>
      <rc t="2" v="3125"/>
    </bk>
    <bk>
      <rc t="2" v="3126"/>
    </bk>
    <bk>
      <rc t="2" v="3127"/>
    </bk>
    <bk>
      <rc t="2" v="3128"/>
    </bk>
    <bk>
      <rc t="2" v="3129"/>
    </bk>
    <bk>
      <rc t="2" v="3130"/>
    </bk>
    <bk>
      <rc t="2" v="3131"/>
    </bk>
    <bk>
      <rc t="2" v="3132"/>
    </bk>
    <bk>
      <rc t="2" v="3133"/>
    </bk>
    <bk>
      <rc t="2" v="3134"/>
    </bk>
    <bk>
      <rc t="2" v="3135"/>
    </bk>
    <bk>
      <rc t="2" v="3136"/>
    </bk>
    <bk>
      <rc t="2" v="3137"/>
    </bk>
    <bk>
      <rc t="2" v="3138"/>
    </bk>
    <bk>
      <rc t="2" v="3139"/>
    </bk>
    <bk>
      <rc t="2" v="3140"/>
    </bk>
    <bk>
      <rc t="2" v="3141"/>
    </bk>
    <bk>
      <rc t="2" v="3142"/>
    </bk>
    <bk>
      <rc t="2" v="3143"/>
    </bk>
    <bk>
      <rc t="2" v="3144"/>
    </bk>
    <bk>
      <rc t="2" v="3145"/>
    </bk>
    <bk>
      <rc t="2" v="3146"/>
    </bk>
    <bk>
      <rc t="2" v="3147"/>
    </bk>
    <bk>
      <rc t="2" v="3148"/>
    </bk>
    <bk>
      <rc t="2" v="3149"/>
    </bk>
    <bk>
      <rc t="2" v="3150"/>
    </bk>
    <bk>
      <rc t="2" v="3151"/>
    </bk>
    <bk>
      <rc t="2" v="3152"/>
    </bk>
    <bk>
      <rc t="2" v="3153"/>
    </bk>
    <bk>
      <rc t="2" v="3154"/>
    </bk>
    <bk>
      <rc t="2" v="3155"/>
    </bk>
    <bk>
      <rc t="2" v="3156"/>
    </bk>
    <bk>
      <rc t="2" v="3157"/>
    </bk>
    <bk>
      <rc t="2" v="3158"/>
    </bk>
    <bk>
      <rc t="2" v="3159"/>
    </bk>
    <bk>
      <rc t="2" v="3160"/>
    </bk>
    <bk>
      <rc t="2" v="3161"/>
    </bk>
    <bk>
      <rc t="2" v="3162"/>
    </bk>
    <bk>
      <rc t="2" v="3163"/>
    </bk>
    <bk>
      <rc t="2" v="3164"/>
    </bk>
    <bk>
      <rc t="2" v="3165"/>
    </bk>
    <bk>
      <rc t="2" v="3166"/>
    </bk>
    <bk>
      <rc t="2" v="3167"/>
    </bk>
    <bk>
      <rc t="2" v="3168"/>
    </bk>
    <bk>
      <rc t="2" v="3169"/>
    </bk>
    <bk>
      <rc t="2" v="3170"/>
    </bk>
    <bk>
      <rc t="2" v="3171"/>
    </bk>
    <bk>
      <rc t="2" v="3172"/>
    </bk>
    <bk>
      <rc t="2" v="3173"/>
    </bk>
    <bk>
      <rc t="2" v="3174"/>
    </bk>
    <bk>
      <rc t="2" v="3175"/>
    </bk>
    <bk>
      <rc t="2" v="3176"/>
    </bk>
    <bk>
      <rc t="2" v="3177"/>
    </bk>
    <bk>
      <rc t="2" v="3178"/>
    </bk>
    <bk>
      <rc t="2" v="3179"/>
    </bk>
    <bk>
      <rc t="2" v="3180"/>
    </bk>
    <bk>
      <rc t="2" v="3181"/>
    </bk>
    <bk>
      <rc t="2" v="3182"/>
    </bk>
    <bk>
      <rc t="2" v="3183"/>
    </bk>
    <bk>
      <rc t="2" v="3184"/>
    </bk>
    <bk>
      <rc t="2" v="3185"/>
    </bk>
    <bk>
      <rc t="2" v="3186"/>
    </bk>
    <bk>
      <rc t="2" v="3187"/>
    </bk>
    <bk>
      <rc t="2" v="3188"/>
    </bk>
    <bk>
      <rc t="2" v="3189"/>
    </bk>
    <bk>
      <rc t="2" v="3190"/>
    </bk>
    <bk>
      <rc t="2" v="3191"/>
    </bk>
    <bk>
      <rc t="2" v="3192"/>
    </bk>
    <bk>
      <rc t="2" v="3193"/>
    </bk>
    <bk>
      <rc t="2" v="3194"/>
    </bk>
    <bk>
      <rc t="2" v="3195"/>
    </bk>
    <bk>
      <rc t="2" v="3196"/>
    </bk>
    <bk>
      <rc t="2" v="3197"/>
    </bk>
    <bk>
      <rc t="2" v="3198"/>
    </bk>
    <bk>
      <rc t="2" v="3199"/>
    </bk>
    <bk>
      <rc t="2" v="3200"/>
    </bk>
    <bk>
      <rc t="2" v="3201"/>
    </bk>
    <bk>
      <rc t="2" v="3202"/>
    </bk>
    <bk>
      <rc t="2" v="3203"/>
    </bk>
    <bk>
      <rc t="2" v="3204"/>
    </bk>
    <bk>
      <rc t="2" v="3205"/>
    </bk>
    <bk>
      <rc t="2" v="3206"/>
    </bk>
    <bk>
      <rc t="2" v="3207"/>
    </bk>
    <bk>
      <rc t="2" v="3208"/>
    </bk>
    <bk>
      <rc t="2" v="3209"/>
    </bk>
    <bk>
      <rc t="2" v="3210"/>
    </bk>
    <bk>
      <rc t="2" v="3211"/>
    </bk>
    <bk>
      <rc t="2" v="3212"/>
    </bk>
    <bk>
      <rc t="2" v="3213"/>
    </bk>
    <bk>
      <rc t="2" v="3214"/>
    </bk>
    <bk>
      <rc t="2" v="3215"/>
    </bk>
    <bk>
      <rc t="2" v="3216"/>
    </bk>
    <bk>
      <rc t="2" v="3217"/>
    </bk>
    <bk>
      <rc t="2" v="3218"/>
    </bk>
    <bk>
      <rc t="2" v="3219"/>
    </bk>
    <bk>
      <rc t="2" v="3220"/>
    </bk>
    <bk>
      <rc t="2" v="3221"/>
    </bk>
    <bk>
      <rc t="2" v="3222"/>
    </bk>
    <bk>
      <rc t="2" v="3223"/>
    </bk>
    <bk>
      <rc t="2" v="3224"/>
    </bk>
    <bk>
      <rc t="2" v="3225"/>
    </bk>
    <bk>
      <rc t="2" v="3226"/>
    </bk>
    <bk>
      <rc t="2" v="3227"/>
    </bk>
    <bk>
      <rc t="2" v="3228"/>
    </bk>
    <bk>
      <rc t="2" v="3229"/>
    </bk>
    <bk>
      <rc t="2" v="3230"/>
    </bk>
    <bk>
      <rc t="2" v="3231"/>
    </bk>
    <bk>
      <rc t="2" v="3232"/>
    </bk>
    <bk>
      <rc t="2" v="3233"/>
    </bk>
    <bk>
      <rc t="2" v="3234"/>
    </bk>
    <bk>
      <rc t="2" v="3235"/>
    </bk>
    <bk>
      <rc t="2" v="3236"/>
    </bk>
    <bk>
      <rc t="2" v="3237"/>
    </bk>
    <bk>
      <rc t="2" v="3238"/>
    </bk>
    <bk>
      <rc t="2" v="3239"/>
    </bk>
    <bk>
      <rc t="2" v="3240"/>
    </bk>
    <bk>
      <rc t="2" v="3241"/>
    </bk>
    <bk>
      <rc t="2" v="3242"/>
    </bk>
    <bk>
      <rc t="2" v="3243"/>
    </bk>
    <bk>
      <rc t="2" v="3244"/>
    </bk>
    <bk>
      <rc t="2" v="3245"/>
    </bk>
    <bk>
      <rc t="2" v="3246"/>
    </bk>
    <bk>
      <rc t="2" v="3247"/>
    </bk>
    <bk>
      <rc t="2" v="3248"/>
    </bk>
    <bk>
      <rc t="2" v="3249"/>
    </bk>
    <bk>
      <rc t="2" v="3250"/>
    </bk>
    <bk>
      <rc t="2" v="3251"/>
    </bk>
    <bk>
      <rc t="2" v="3252"/>
    </bk>
    <bk>
      <rc t="2" v="3253"/>
    </bk>
    <bk>
      <rc t="2" v="3254"/>
    </bk>
    <bk>
      <rc t="2" v="3255"/>
    </bk>
    <bk>
      <rc t="2" v="3256"/>
    </bk>
    <bk>
      <rc t="2" v="3257"/>
    </bk>
    <bk>
      <rc t="2" v="3258"/>
    </bk>
    <bk>
      <rc t="2" v="3259"/>
    </bk>
    <bk>
      <rc t="2" v="3260"/>
    </bk>
    <bk>
      <rc t="2" v="3261"/>
    </bk>
    <bk>
      <rc t="2" v="3262"/>
    </bk>
    <bk>
      <rc t="2" v="3263"/>
    </bk>
    <bk>
      <rc t="2" v="3264"/>
    </bk>
    <bk>
      <rc t="2" v="3265"/>
    </bk>
    <bk>
      <rc t="2" v="3266"/>
    </bk>
    <bk>
      <rc t="2" v="3267"/>
    </bk>
    <bk>
      <rc t="2" v="3268"/>
    </bk>
    <bk>
      <rc t="2" v="3269"/>
    </bk>
    <bk>
      <rc t="2" v="3270"/>
    </bk>
    <bk>
      <rc t="2" v="3271"/>
    </bk>
    <bk>
      <rc t="2" v="3272"/>
    </bk>
    <bk>
      <rc t="2" v="3273"/>
    </bk>
    <bk>
      <rc t="2" v="3274"/>
    </bk>
    <bk>
      <rc t="2" v="3275"/>
    </bk>
    <bk>
      <rc t="2" v="3276"/>
    </bk>
    <bk>
      <rc t="2" v="3277"/>
    </bk>
    <bk>
      <rc t="2" v="3278"/>
    </bk>
    <bk>
      <rc t="2" v="3279"/>
    </bk>
    <bk>
      <rc t="2" v="3280"/>
    </bk>
    <bk>
      <rc t="2" v="3281"/>
    </bk>
    <bk>
      <rc t="2" v="3282"/>
    </bk>
    <bk>
      <rc t="2" v="3283"/>
    </bk>
    <bk>
      <rc t="2" v="3284"/>
    </bk>
    <bk>
      <rc t="2" v="3285"/>
    </bk>
    <bk>
      <rc t="2" v="3286"/>
    </bk>
    <bk>
      <rc t="2" v="3287"/>
    </bk>
    <bk>
      <rc t="2" v="3288"/>
    </bk>
    <bk>
      <rc t="2" v="3289"/>
    </bk>
    <bk>
      <rc t="2" v="3290"/>
    </bk>
    <bk>
      <rc t="2" v="3291"/>
    </bk>
    <bk>
      <rc t="2" v="3292"/>
    </bk>
    <bk>
      <rc t="2" v="3293"/>
    </bk>
    <bk>
      <rc t="2" v="3294"/>
    </bk>
    <bk>
      <rc t="2" v="3295"/>
    </bk>
    <bk>
      <rc t="2" v="3296"/>
    </bk>
    <bk>
      <rc t="2" v="3297"/>
    </bk>
    <bk>
      <rc t="2" v="3298"/>
    </bk>
    <bk>
      <rc t="2" v="3299"/>
    </bk>
    <bk>
      <rc t="2" v="3300"/>
    </bk>
    <bk>
      <rc t="2" v="3301"/>
    </bk>
    <bk>
      <rc t="2" v="3302"/>
    </bk>
    <bk>
      <rc t="2" v="3303"/>
    </bk>
    <bk>
      <rc t="2" v="3304"/>
    </bk>
    <bk>
      <rc t="2" v="3305"/>
    </bk>
    <bk>
      <rc t="2" v="3306"/>
    </bk>
    <bk>
      <rc t="2" v="3307"/>
    </bk>
    <bk>
      <rc t="2" v="3308"/>
    </bk>
    <bk>
      <rc t="2" v="3309"/>
    </bk>
    <bk>
      <rc t="2" v="3310"/>
    </bk>
    <bk>
      <rc t="2" v="3311"/>
    </bk>
    <bk>
      <rc t="2" v="3312"/>
    </bk>
    <bk>
      <rc t="2" v="3313"/>
    </bk>
    <bk>
      <rc t="2" v="3314"/>
    </bk>
    <bk>
      <rc t="2" v="3315"/>
    </bk>
    <bk>
      <rc t="2" v="3316"/>
    </bk>
    <bk>
      <rc t="2" v="3317"/>
    </bk>
    <bk>
      <rc t="2" v="3318"/>
    </bk>
    <bk>
      <rc t="2" v="3319"/>
    </bk>
    <bk>
      <rc t="2" v="3320"/>
    </bk>
    <bk>
      <rc t="2" v="3321"/>
    </bk>
    <bk>
      <rc t="2" v="3322"/>
    </bk>
    <bk>
      <rc t="2" v="3323"/>
    </bk>
    <bk>
      <rc t="2" v="3324"/>
    </bk>
    <bk>
      <rc t="2" v="3325"/>
    </bk>
    <bk>
      <rc t="2" v="3326"/>
    </bk>
    <bk>
      <rc t="2" v="3327"/>
    </bk>
    <bk>
      <rc t="2" v="3328"/>
    </bk>
    <bk>
      <rc t="2" v="3329"/>
    </bk>
    <bk>
      <rc t="2" v="3330"/>
    </bk>
    <bk>
      <rc t="2" v="3331"/>
    </bk>
    <bk>
      <rc t="2" v="3332"/>
    </bk>
    <bk>
      <rc t="2" v="3333"/>
    </bk>
    <bk>
      <rc t="2" v="3334"/>
    </bk>
    <bk>
      <rc t="2" v="3335"/>
    </bk>
    <bk>
      <rc t="2" v="3336"/>
    </bk>
    <bk>
      <rc t="2" v="3337"/>
    </bk>
    <bk>
      <rc t="2" v="3338"/>
    </bk>
    <bk>
      <rc t="2" v="3339"/>
    </bk>
    <bk>
      <rc t="2" v="3340"/>
    </bk>
    <bk>
      <rc t="2" v="3341"/>
    </bk>
    <bk>
      <rc t="2" v="3342"/>
    </bk>
    <bk>
      <rc t="2" v="3343"/>
    </bk>
    <bk>
      <rc t="2" v="3344"/>
    </bk>
    <bk>
      <rc t="2" v="3345"/>
    </bk>
    <bk>
      <rc t="2" v="3346"/>
    </bk>
    <bk>
      <rc t="2" v="3347"/>
    </bk>
    <bk>
      <rc t="2" v="3348"/>
    </bk>
    <bk>
      <rc t="2" v="3349"/>
    </bk>
    <bk>
      <rc t="2" v="3350"/>
    </bk>
    <bk>
      <rc t="2" v="3351"/>
    </bk>
    <bk>
      <rc t="2" v="3352"/>
    </bk>
    <bk>
      <rc t="2" v="3353"/>
    </bk>
    <bk>
      <rc t="2" v="3354"/>
    </bk>
    <bk>
      <rc t="2" v="3355"/>
    </bk>
    <bk>
      <rc t="2" v="3356"/>
    </bk>
    <bk>
      <rc t="2" v="3357"/>
    </bk>
    <bk>
      <rc t="2" v="3358"/>
    </bk>
    <bk>
      <rc t="2" v="3359"/>
    </bk>
    <bk>
      <rc t="2" v="3360"/>
    </bk>
    <bk>
      <rc t="2" v="3361"/>
    </bk>
    <bk>
      <rc t="2" v="3362"/>
    </bk>
    <bk>
      <rc t="2" v="3363"/>
    </bk>
    <bk>
      <rc t="2" v="3364"/>
    </bk>
    <bk>
      <rc t="2" v="3365"/>
    </bk>
    <bk>
      <rc t="2" v="3366"/>
    </bk>
    <bk>
      <rc t="2" v="3367"/>
    </bk>
    <bk>
      <rc t="2" v="3368"/>
    </bk>
    <bk>
      <rc t="2" v="3369"/>
    </bk>
    <bk>
      <rc t="2" v="3370"/>
    </bk>
    <bk>
      <rc t="2" v="3371"/>
    </bk>
    <bk>
      <rc t="2" v="3372"/>
    </bk>
    <bk>
      <rc t="2" v="3373"/>
    </bk>
    <bk>
      <rc t="2" v="3374"/>
    </bk>
    <bk>
      <rc t="2" v="3375"/>
    </bk>
    <bk>
      <rc t="2" v="3376"/>
    </bk>
    <bk>
      <rc t="2" v="3377"/>
    </bk>
    <bk>
      <rc t="2" v="3378"/>
    </bk>
    <bk>
      <rc t="2" v="3379"/>
    </bk>
    <bk>
      <rc t="2" v="3380"/>
    </bk>
    <bk>
      <rc t="2" v="3381"/>
    </bk>
    <bk>
      <rc t="2" v="3382"/>
    </bk>
    <bk>
      <rc t="2" v="3383"/>
    </bk>
    <bk>
      <rc t="2" v="3384"/>
    </bk>
    <bk>
      <rc t="2" v="3385"/>
    </bk>
    <bk>
      <rc t="2" v="3386"/>
    </bk>
    <bk>
      <rc t="2" v="3387"/>
    </bk>
    <bk>
      <rc t="2" v="3388"/>
    </bk>
    <bk>
      <rc t="2" v="3389"/>
    </bk>
    <bk>
      <rc t="2" v="3390"/>
    </bk>
    <bk>
      <rc t="2" v="3391"/>
    </bk>
    <bk>
      <rc t="2" v="3392"/>
    </bk>
    <bk>
      <rc t="2" v="3393"/>
    </bk>
    <bk>
      <rc t="2" v="3394"/>
    </bk>
    <bk>
      <rc t="2" v="3395"/>
    </bk>
    <bk>
      <rc t="2" v="3396"/>
    </bk>
    <bk>
      <rc t="2" v="3397"/>
    </bk>
    <bk>
      <rc t="2" v="3398"/>
    </bk>
    <bk>
      <rc t="2" v="3399"/>
    </bk>
    <bk>
      <rc t="2" v="3400"/>
    </bk>
    <bk>
      <rc t="2" v="3401"/>
    </bk>
    <bk>
      <rc t="2" v="3402"/>
    </bk>
    <bk>
      <rc t="2" v="3403"/>
    </bk>
    <bk>
      <rc t="2" v="3404"/>
    </bk>
    <bk>
      <rc t="2" v="3405"/>
    </bk>
    <bk>
      <rc t="2" v="3406"/>
    </bk>
    <bk>
      <rc t="2" v="3407"/>
    </bk>
    <bk>
      <rc t="2" v="3408"/>
    </bk>
    <bk>
      <rc t="2" v="3409"/>
    </bk>
    <bk>
      <rc t="2" v="3410"/>
    </bk>
    <bk>
      <rc t="2" v="3411"/>
    </bk>
    <bk>
      <rc t="2" v="3412"/>
    </bk>
    <bk>
      <rc t="2" v="3413"/>
    </bk>
    <bk>
      <rc t="2" v="3414"/>
    </bk>
    <bk>
      <rc t="2" v="3415"/>
    </bk>
    <bk>
      <rc t="2" v="3416"/>
    </bk>
    <bk>
      <rc t="2" v="3417"/>
    </bk>
    <bk>
      <rc t="2" v="3418"/>
    </bk>
    <bk>
      <rc t="2" v="3419"/>
    </bk>
    <bk>
      <rc t="2" v="3420"/>
    </bk>
    <bk>
      <rc t="2" v="3421"/>
    </bk>
    <bk>
      <rc t="2" v="3422"/>
    </bk>
    <bk>
      <rc t="2" v="3423"/>
    </bk>
    <bk>
      <rc t="2" v="3424"/>
    </bk>
    <bk>
      <rc t="2" v="3425"/>
    </bk>
    <bk>
      <rc t="2" v="3426"/>
    </bk>
    <bk>
      <rc t="2" v="3427"/>
    </bk>
    <bk>
      <rc t="2" v="3428"/>
    </bk>
    <bk>
      <rc t="2" v="3429"/>
    </bk>
    <bk>
      <rc t="2" v="3430"/>
    </bk>
    <bk>
      <rc t="2" v="3431"/>
    </bk>
    <bk>
      <rc t="2" v="3432"/>
    </bk>
    <bk>
      <rc t="2" v="3433"/>
    </bk>
    <bk>
      <rc t="2" v="3434"/>
    </bk>
    <bk>
      <rc t="2" v="3435"/>
    </bk>
    <bk>
      <rc t="2" v="3436"/>
    </bk>
    <bk>
      <rc t="2" v="3437"/>
    </bk>
    <bk>
      <rc t="2" v="3438"/>
    </bk>
    <bk>
      <rc t="2" v="3439"/>
    </bk>
    <bk>
      <rc t="2" v="3440"/>
    </bk>
    <bk>
      <rc t="2" v="3441"/>
    </bk>
    <bk>
      <rc t="2" v="3442"/>
    </bk>
    <bk>
      <rc t="2" v="3443"/>
    </bk>
    <bk>
      <rc t="2" v="3444"/>
    </bk>
    <bk>
      <rc t="2" v="3445"/>
    </bk>
    <bk>
      <rc t="2" v="3446"/>
    </bk>
    <bk>
      <rc t="2" v="3447"/>
    </bk>
    <bk>
      <rc t="2" v="3448"/>
    </bk>
    <bk>
      <rc t="2" v="3449"/>
    </bk>
    <bk>
      <rc t="2" v="3450"/>
    </bk>
    <bk>
      <rc t="2" v="3451"/>
    </bk>
    <bk>
      <rc t="2" v="3452"/>
    </bk>
    <bk>
      <rc t="2" v="3453"/>
    </bk>
    <bk>
      <rc t="2" v="3454"/>
    </bk>
    <bk>
      <rc t="2" v="3455"/>
    </bk>
    <bk>
      <rc t="2" v="3456"/>
    </bk>
    <bk>
      <rc t="2" v="3457"/>
    </bk>
    <bk>
      <rc t="2" v="3458"/>
    </bk>
    <bk>
      <rc t="2" v="3459"/>
    </bk>
    <bk>
      <rc t="2" v="3460"/>
    </bk>
    <bk>
      <rc t="2" v="3461"/>
    </bk>
    <bk>
      <rc t="2" v="3462"/>
    </bk>
    <bk>
      <rc t="2" v="3463"/>
    </bk>
    <bk>
      <rc t="2" v="3464"/>
    </bk>
    <bk>
      <rc t="2" v="3465"/>
    </bk>
    <bk>
      <rc t="2" v="3466"/>
    </bk>
    <bk>
      <rc t="2" v="3467"/>
    </bk>
    <bk>
      <rc t="2" v="3468"/>
    </bk>
    <bk>
      <rc t="2" v="3469"/>
    </bk>
    <bk>
      <rc t="2" v="3470"/>
    </bk>
    <bk>
      <rc t="2" v="3471"/>
    </bk>
    <bk>
      <rc t="2" v="3472"/>
    </bk>
    <bk>
      <rc t="2" v="3473"/>
    </bk>
    <bk>
      <rc t="2" v="3474"/>
    </bk>
    <bk>
      <rc t="2" v="3475"/>
    </bk>
    <bk>
      <rc t="2" v="3476"/>
    </bk>
    <bk>
      <rc t="2" v="3477"/>
    </bk>
    <bk>
      <rc t="2" v="3478"/>
    </bk>
    <bk>
      <rc t="2" v="3479"/>
    </bk>
    <bk>
      <rc t="2" v="3480"/>
    </bk>
    <bk>
      <rc t="2" v="3481"/>
    </bk>
    <bk>
      <rc t="2" v="3482"/>
    </bk>
    <bk>
      <rc t="2" v="3483"/>
    </bk>
    <bk>
      <rc t="2" v="3484"/>
    </bk>
    <bk>
      <rc t="2" v="3485"/>
    </bk>
    <bk>
      <rc t="2" v="3486"/>
    </bk>
    <bk>
      <rc t="2" v="3487"/>
    </bk>
    <bk>
      <rc t="2" v="3488"/>
    </bk>
    <bk>
      <rc t="2" v="3489"/>
    </bk>
    <bk>
      <rc t="2" v="3490"/>
    </bk>
    <bk>
      <rc t="2" v="3491"/>
    </bk>
    <bk>
      <rc t="2" v="3492"/>
    </bk>
    <bk>
      <rc t="2" v="3493"/>
    </bk>
    <bk>
      <rc t="2" v="3494"/>
    </bk>
    <bk>
      <rc t="2" v="3495"/>
    </bk>
    <bk>
      <rc t="2" v="3496"/>
    </bk>
    <bk>
      <rc t="2" v="3497"/>
    </bk>
    <bk>
      <rc t="2" v="3498"/>
    </bk>
    <bk>
      <rc t="2" v="3499"/>
    </bk>
    <bk>
      <rc t="2" v="3500"/>
    </bk>
    <bk>
      <rc t="2" v="3501"/>
    </bk>
    <bk>
      <rc t="2" v="3502"/>
    </bk>
    <bk>
      <rc t="2" v="3503"/>
    </bk>
    <bk>
      <rc t="2" v="3504"/>
    </bk>
    <bk>
      <rc t="2" v="3505"/>
    </bk>
    <bk>
      <rc t="2" v="3506"/>
    </bk>
    <bk>
      <rc t="2" v="3507"/>
    </bk>
    <bk>
      <rc t="2" v="3508"/>
    </bk>
    <bk>
      <rc t="2" v="3509"/>
    </bk>
    <bk>
      <rc t="2" v="3510"/>
    </bk>
    <bk>
      <rc t="2" v="3511"/>
    </bk>
    <bk>
      <rc t="2" v="3512"/>
    </bk>
    <bk>
      <rc t="2" v="3513"/>
    </bk>
    <bk>
      <rc t="2" v="3514"/>
    </bk>
    <bk>
      <rc t="2" v="3515"/>
    </bk>
    <bk>
      <rc t="2" v="3516"/>
    </bk>
    <bk>
      <rc t="2" v="3517"/>
    </bk>
    <bk>
      <rc t="2" v="3518"/>
    </bk>
    <bk>
      <rc t="2" v="3519"/>
    </bk>
    <bk>
      <rc t="2" v="3520"/>
    </bk>
    <bk>
      <rc t="2" v="3521"/>
    </bk>
    <bk>
      <rc t="2" v="3522"/>
    </bk>
    <bk>
      <rc t="2" v="3523"/>
    </bk>
    <bk>
      <rc t="2" v="3524"/>
    </bk>
    <bk>
      <rc t="2" v="3525"/>
    </bk>
    <bk>
      <rc t="2" v="3526"/>
    </bk>
    <bk>
      <rc t="2" v="3527"/>
    </bk>
    <bk>
      <rc t="2" v="3528"/>
    </bk>
    <bk>
      <rc t="2" v="3529"/>
    </bk>
    <bk>
      <rc t="2" v="3530"/>
    </bk>
    <bk>
      <rc t="2" v="3531"/>
    </bk>
    <bk>
      <rc t="2" v="3532"/>
    </bk>
    <bk>
      <rc t="2" v="3533"/>
    </bk>
    <bk>
      <rc t="2" v="3534"/>
    </bk>
    <bk>
      <rc t="2" v="3535"/>
    </bk>
    <bk>
      <rc t="2" v="3536"/>
    </bk>
    <bk>
      <rc t="2" v="3537"/>
    </bk>
    <bk>
      <rc t="2" v="3538"/>
    </bk>
    <bk>
      <rc t="2" v="3539"/>
    </bk>
    <bk>
      <rc t="2" v="3540"/>
    </bk>
    <bk>
      <rc t="2" v="3541"/>
    </bk>
    <bk>
      <rc t="2" v="3542"/>
    </bk>
    <bk>
      <rc t="2" v="3543"/>
    </bk>
    <bk>
      <rc t="2" v="3544"/>
    </bk>
    <bk>
      <rc t="2" v="3545"/>
    </bk>
    <bk>
      <rc t="2" v="3546"/>
    </bk>
    <bk>
      <rc t="2" v="3547"/>
    </bk>
    <bk>
      <rc t="2" v="3548"/>
    </bk>
    <bk>
      <rc t="2" v="3549"/>
    </bk>
    <bk>
      <rc t="2" v="3550"/>
    </bk>
    <bk>
      <rc t="2" v="3551"/>
    </bk>
    <bk>
      <rc t="2" v="3552"/>
    </bk>
    <bk>
      <rc t="2" v="3553"/>
    </bk>
    <bk>
      <rc t="2" v="3554"/>
    </bk>
    <bk>
      <rc t="2" v="3555"/>
    </bk>
    <bk>
      <rc t="2" v="3556"/>
    </bk>
    <bk>
      <rc t="2" v="3557"/>
    </bk>
    <bk>
      <rc t="2" v="3558"/>
    </bk>
    <bk>
      <rc t="2" v="3559"/>
    </bk>
    <bk>
      <rc t="2" v="3560"/>
    </bk>
    <bk>
      <rc t="2" v="3561"/>
    </bk>
    <bk>
      <rc t="2" v="3562"/>
    </bk>
    <bk>
      <rc t="2" v="3563"/>
    </bk>
    <bk>
      <rc t="2" v="3564"/>
    </bk>
    <bk>
      <rc t="2" v="3565"/>
    </bk>
    <bk>
      <rc t="2" v="3566"/>
    </bk>
    <bk>
      <rc t="2" v="3567"/>
    </bk>
    <bk>
      <rc t="2" v="3568"/>
    </bk>
    <bk>
      <rc t="2" v="3569"/>
    </bk>
    <bk>
      <rc t="2" v="3570"/>
    </bk>
    <bk>
      <rc t="2" v="3571"/>
    </bk>
    <bk>
      <rc t="2" v="3572"/>
    </bk>
    <bk>
      <rc t="2" v="3573"/>
    </bk>
    <bk>
      <rc t="2" v="3574"/>
    </bk>
    <bk>
      <rc t="2" v="3575"/>
    </bk>
    <bk>
      <rc t="2" v="3576"/>
    </bk>
    <bk>
      <rc t="2" v="3577"/>
    </bk>
    <bk>
      <rc t="2" v="3578"/>
    </bk>
    <bk>
      <rc t="2" v="3579"/>
    </bk>
    <bk>
      <rc t="2" v="3580"/>
    </bk>
    <bk>
      <rc t="2" v="3581"/>
    </bk>
    <bk>
      <rc t="2" v="3582"/>
    </bk>
    <bk>
      <rc t="2" v="3583"/>
    </bk>
    <bk>
      <rc t="2" v="3584"/>
    </bk>
    <bk>
      <rc t="2" v="3585"/>
    </bk>
    <bk>
      <rc t="2" v="3586"/>
    </bk>
    <bk>
      <rc t="2" v="3587"/>
    </bk>
    <bk>
      <rc t="2" v="3588"/>
    </bk>
    <bk>
      <rc t="2" v="3589"/>
    </bk>
    <bk>
      <rc t="2" v="3590"/>
    </bk>
    <bk>
      <rc t="2" v="3591"/>
    </bk>
    <bk>
      <rc t="2" v="3592"/>
    </bk>
    <bk>
      <rc t="2" v="3593"/>
    </bk>
    <bk>
      <rc t="2" v="3594"/>
    </bk>
    <bk>
      <rc t="2" v="3595"/>
    </bk>
    <bk>
      <rc t="2" v="3596"/>
    </bk>
    <bk>
      <rc t="2" v="3597"/>
    </bk>
    <bk>
      <rc t="2" v="3598"/>
    </bk>
    <bk>
      <rc t="2" v="3599"/>
    </bk>
    <bk>
      <rc t="2" v="3600"/>
    </bk>
    <bk>
      <rc t="2" v="3601"/>
    </bk>
    <bk>
      <rc t="2" v="3602"/>
    </bk>
    <bk>
      <rc t="2" v="3603"/>
    </bk>
    <bk>
      <rc t="2" v="3604"/>
    </bk>
    <bk>
      <rc t="2" v="3605"/>
    </bk>
    <bk>
      <rc t="2" v="3606"/>
    </bk>
    <bk>
      <rc t="2" v="3607"/>
    </bk>
    <bk>
      <rc t="2" v="3608"/>
    </bk>
    <bk>
      <rc t="2" v="3609"/>
    </bk>
    <bk>
      <rc t="2" v="3610"/>
    </bk>
    <bk>
      <rc t="2" v="3611"/>
    </bk>
    <bk>
      <rc t="2" v="3612"/>
    </bk>
    <bk>
      <rc t="2" v="3613"/>
    </bk>
    <bk>
      <rc t="2" v="3614"/>
    </bk>
    <bk>
      <rc t="2" v="3615"/>
    </bk>
    <bk>
      <rc t="2" v="3616"/>
    </bk>
    <bk>
      <rc t="2" v="3617"/>
    </bk>
    <bk>
      <rc t="2" v="3618"/>
    </bk>
    <bk>
      <rc t="2" v="3619"/>
    </bk>
    <bk>
      <rc t="2" v="3620"/>
    </bk>
    <bk>
      <rc t="2" v="3621"/>
    </bk>
    <bk>
      <rc t="2" v="3622"/>
    </bk>
    <bk>
      <rc t="2" v="3623"/>
    </bk>
    <bk>
      <rc t="2" v="3624"/>
    </bk>
    <bk>
      <rc t="2" v="3625"/>
    </bk>
    <bk>
      <rc t="2" v="3626"/>
    </bk>
    <bk>
      <rc t="2" v="3627"/>
    </bk>
    <bk>
      <rc t="2" v="3628"/>
    </bk>
    <bk>
      <rc t="2" v="3629"/>
    </bk>
    <bk>
      <rc t="2" v="3630"/>
    </bk>
    <bk>
      <rc t="2" v="3631"/>
    </bk>
    <bk>
      <rc t="2" v="3632"/>
    </bk>
    <bk>
      <rc t="2" v="3633"/>
    </bk>
    <bk>
      <rc t="2" v="3634"/>
    </bk>
    <bk>
      <rc t="2" v="3635"/>
    </bk>
    <bk>
      <rc t="2" v="3636"/>
    </bk>
    <bk>
      <rc t="2" v="3637"/>
    </bk>
    <bk>
      <rc t="2" v="3638"/>
    </bk>
    <bk>
      <rc t="2" v="3639"/>
    </bk>
    <bk>
      <rc t="2" v="3640"/>
    </bk>
    <bk>
      <rc t="2" v="3641"/>
    </bk>
    <bk>
      <rc t="2" v="3642"/>
    </bk>
    <bk>
      <rc t="2" v="3643"/>
    </bk>
    <bk>
      <rc t="2" v="3644"/>
    </bk>
    <bk>
      <rc t="2" v="3645"/>
    </bk>
    <bk>
      <rc t="2" v="3646"/>
    </bk>
    <bk>
      <rc t="2" v="3647"/>
    </bk>
    <bk>
      <rc t="2" v="3648"/>
    </bk>
    <bk>
      <rc t="2" v="3649"/>
    </bk>
    <bk>
      <rc t="2" v="3650"/>
    </bk>
    <bk>
      <rc t="2" v="3651"/>
    </bk>
    <bk>
      <rc t="2" v="3652"/>
    </bk>
    <bk>
      <rc t="2" v="3653"/>
    </bk>
    <bk>
      <rc t="2" v="3654"/>
    </bk>
    <bk>
      <rc t="2" v="3655"/>
    </bk>
    <bk>
      <rc t="2" v="3656"/>
    </bk>
    <bk>
      <rc t="2" v="3657"/>
    </bk>
    <bk>
      <rc t="2" v="3658"/>
    </bk>
    <bk>
      <rc t="2" v="3659"/>
    </bk>
    <bk>
      <rc t="2" v="3660"/>
    </bk>
    <bk>
      <rc t="2" v="3661"/>
    </bk>
    <bk>
      <rc t="2" v="3662"/>
    </bk>
    <bk>
      <rc t="2" v="3663"/>
    </bk>
    <bk>
      <rc t="2" v="3664"/>
    </bk>
    <bk>
      <rc t="2" v="3665"/>
    </bk>
    <bk>
      <rc t="2" v="3666"/>
    </bk>
    <bk>
      <rc t="2" v="3667"/>
    </bk>
    <bk>
      <rc t="2" v="3668"/>
    </bk>
    <bk>
      <rc t="2" v="3669"/>
    </bk>
    <bk>
      <rc t="2" v="3670"/>
    </bk>
    <bk>
      <rc t="2" v="3671"/>
    </bk>
    <bk>
      <rc t="2" v="3672"/>
    </bk>
    <bk>
      <rc t="2" v="3673"/>
    </bk>
    <bk>
      <rc t="2" v="3674"/>
    </bk>
    <bk>
      <rc t="2" v="3675"/>
    </bk>
    <bk>
      <rc t="2" v="3676"/>
    </bk>
    <bk>
      <rc t="2" v="3677"/>
    </bk>
    <bk>
      <rc t="2" v="3678"/>
    </bk>
    <bk>
      <rc t="2" v="3679"/>
    </bk>
    <bk>
      <rc t="2" v="3680"/>
    </bk>
    <bk>
      <rc t="2" v="3681"/>
    </bk>
    <bk>
      <rc t="2" v="3682"/>
    </bk>
    <bk>
      <rc t="2" v="3683"/>
    </bk>
    <bk>
      <rc t="2" v="3684"/>
    </bk>
    <bk>
      <rc t="2" v="3685"/>
    </bk>
    <bk>
      <rc t="2" v="3686"/>
    </bk>
    <bk>
      <rc t="2" v="3687"/>
    </bk>
    <bk>
      <rc t="2" v="3688"/>
    </bk>
    <bk>
      <rc t="2" v="3689"/>
    </bk>
    <bk>
      <rc t="2" v="3690"/>
    </bk>
    <bk>
      <rc t="2" v="3691"/>
    </bk>
    <bk>
      <rc t="2" v="3692"/>
    </bk>
    <bk>
      <rc t="2" v="3693"/>
    </bk>
    <bk>
      <rc t="2" v="3694"/>
    </bk>
    <bk>
      <rc t="2" v="3695"/>
    </bk>
    <bk>
      <rc t="2" v="3696"/>
    </bk>
    <bk>
      <rc t="2" v="3697"/>
    </bk>
    <bk>
      <rc t="2" v="3698"/>
    </bk>
    <bk>
      <rc t="2" v="3699"/>
    </bk>
    <bk>
      <rc t="2" v="3700"/>
    </bk>
    <bk>
      <rc t="2" v="3701"/>
    </bk>
    <bk>
      <rc t="2" v="3702"/>
    </bk>
    <bk>
      <rc t="2" v="3703"/>
    </bk>
    <bk>
      <rc t="2" v="3704"/>
    </bk>
    <bk>
      <rc t="2" v="3705"/>
    </bk>
    <bk>
      <rc t="2" v="3706"/>
    </bk>
    <bk>
      <rc t="2" v="3707"/>
    </bk>
    <bk>
      <rc t="2" v="3708"/>
    </bk>
    <bk>
      <rc t="2" v="3709"/>
    </bk>
    <bk>
      <rc t="2" v="3710"/>
    </bk>
    <bk>
      <rc t="2" v="3711"/>
    </bk>
    <bk>
      <rc t="2" v="3712"/>
    </bk>
    <bk>
      <rc t="2" v="3713"/>
    </bk>
    <bk>
      <rc t="2" v="3714"/>
    </bk>
    <bk>
      <rc t="2" v="3715"/>
    </bk>
    <bk>
      <rc t="2" v="3716"/>
    </bk>
    <bk>
      <rc t="2" v="3717"/>
    </bk>
    <bk>
      <rc t="2" v="3718"/>
    </bk>
    <bk>
      <rc t="2" v="3719"/>
    </bk>
    <bk>
      <rc t="2" v="3720"/>
    </bk>
    <bk>
      <rc t="2" v="3721"/>
    </bk>
    <bk>
      <rc t="2" v="3722"/>
    </bk>
    <bk>
      <rc t="2" v="3723"/>
    </bk>
    <bk>
      <rc t="2" v="3724"/>
    </bk>
    <bk>
      <rc t="2" v="3725"/>
    </bk>
    <bk>
      <rc t="2" v="3726"/>
    </bk>
    <bk>
      <rc t="2" v="3727"/>
    </bk>
    <bk>
      <rc t="2" v="3728"/>
    </bk>
    <bk>
      <rc t="2" v="3729"/>
    </bk>
    <bk>
      <rc t="2" v="3730"/>
    </bk>
    <bk>
      <rc t="2" v="3731"/>
    </bk>
    <bk>
      <rc t="2" v="3732"/>
    </bk>
    <bk>
      <rc t="2" v="3733"/>
    </bk>
    <bk>
      <rc t="2" v="3734"/>
    </bk>
    <bk>
      <rc t="2" v="3735"/>
    </bk>
    <bk>
      <rc t="2" v="3736"/>
    </bk>
    <bk>
      <rc t="2" v="3737"/>
    </bk>
    <bk>
      <rc t="2" v="3738"/>
    </bk>
    <bk>
      <rc t="2" v="3739"/>
    </bk>
    <bk>
      <rc t="2" v="3740"/>
    </bk>
    <bk>
      <rc t="2" v="3741"/>
    </bk>
    <bk>
      <rc t="2" v="3742"/>
    </bk>
    <bk>
      <rc t="2" v="3743"/>
    </bk>
    <bk>
      <rc t="2" v="3744"/>
    </bk>
    <bk>
      <rc t="2" v="3745"/>
    </bk>
    <bk>
      <rc t="2" v="3746"/>
    </bk>
    <bk>
      <rc t="2" v="3747"/>
    </bk>
    <bk>
      <rc t="2" v="3748"/>
    </bk>
    <bk>
      <rc t="2" v="3749"/>
    </bk>
    <bk>
      <rc t="2" v="3750"/>
    </bk>
    <bk>
      <rc t="2" v="3751"/>
    </bk>
    <bk>
      <rc t="2" v="3752"/>
    </bk>
    <bk>
      <rc t="2" v="3753"/>
    </bk>
    <bk>
      <rc t="2" v="3754"/>
    </bk>
    <bk>
      <rc t="2" v="3755"/>
    </bk>
    <bk>
      <rc t="2" v="3756"/>
    </bk>
    <bk>
      <rc t="2" v="3757"/>
    </bk>
    <bk>
      <rc t="2" v="3758"/>
    </bk>
    <bk>
      <rc t="2" v="3759"/>
    </bk>
    <bk>
      <rc t="2" v="3760"/>
    </bk>
    <bk>
      <rc t="2" v="3761"/>
    </bk>
    <bk>
      <rc t="2" v="3762"/>
    </bk>
    <bk>
      <rc t="2" v="3763"/>
    </bk>
    <bk>
      <rc t="2" v="3764"/>
    </bk>
    <bk>
      <rc t="2" v="3765"/>
    </bk>
    <bk>
      <rc t="2" v="3766"/>
    </bk>
    <bk>
      <rc t="2" v="3767"/>
    </bk>
    <bk>
      <rc t="2" v="3768"/>
    </bk>
    <bk>
      <rc t="2" v="3769"/>
    </bk>
    <bk>
      <rc t="2" v="3770"/>
    </bk>
    <bk>
      <rc t="2" v="3771"/>
    </bk>
    <bk>
      <rc t="2" v="3772"/>
    </bk>
    <bk>
      <rc t="2" v="3773"/>
    </bk>
    <bk>
      <rc t="2" v="3774"/>
    </bk>
    <bk>
      <rc t="2" v="3775"/>
    </bk>
    <bk>
      <rc t="2" v="3776"/>
    </bk>
    <bk>
      <rc t="2" v="3777"/>
    </bk>
    <bk>
      <rc t="2" v="3778"/>
    </bk>
    <bk>
      <rc t="2" v="3779"/>
    </bk>
    <bk>
      <rc t="2" v="3780"/>
    </bk>
    <bk>
      <rc t="2" v="3781"/>
    </bk>
    <bk>
      <rc t="2" v="3782"/>
    </bk>
    <bk>
      <rc t="2" v="3783"/>
    </bk>
    <bk>
      <rc t="2" v="3784"/>
    </bk>
    <bk>
      <rc t="2" v="3785"/>
    </bk>
    <bk>
      <rc t="2" v="3786"/>
    </bk>
    <bk>
      <rc t="2" v="3787"/>
    </bk>
    <bk>
      <rc t="2" v="3788"/>
    </bk>
    <bk>
      <rc t="2" v="3789"/>
    </bk>
    <bk>
      <rc t="2" v="3790"/>
    </bk>
    <bk>
      <rc t="2" v="3791"/>
    </bk>
    <bk>
      <rc t="2" v="3792"/>
    </bk>
    <bk>
      <rc t="2" v="3793"/>
    </bk>
    <bk>
      <rc t="2" v="3794"/>
    </bk>
    <bk>
      <rc t="2" v="3795"/>
    </bk>
    <bk>
      <rc t="2" v="3796"/>
    </bk>
    <bk>
      <rc t="2" v="3797"/>
    </bk>
    <bk>
      <rc t="2" v="3798"/>
    </bk>
    <bk>
      <rc t="2" v="3799"/>
    </bk>
    <bk>
      <rc t="2" v="3800"/>
    </bk>
    <bk>
      <rc t="2" v="3801"/>
    </bk>
    <bk>
      <rc t="2" v="3802"/>
    </bk>
    <bk>
      <rc t="2" v="3803"/>
    </bk>
    <bk>
      <rc t="2" v="3804"/>
    </bk>
    <bk>
      <rc t="2" v="3805"/>
    </bk>
    <bk>
      <rc t="2" v="3806"/>
    </bk>
    <bk>
      <rc t="2" v="3807"/>
    </bk>
    <bk>
      <rc t="2" v="3808"/>
    </bk>
    <bk>
      <rc t="2" v="3809"/>
    </bk>
    <bk>
      <rc t="2" v="3810"/>
    </bk>
    <bk>
      <rc t="2" v="3811"/>
    </bk>
    <bk>
      <rc t="2" v="3812"/>
    </bk>
    <bk>
      <rc t="2" v="3813"/>
    </bk>
    <bk>
      <rc t="2" v="3814"/>
    </bk>
    <bk>
      <rc t="2" v="3815"/>
    </bk>
    <bk>
      <rc t="2" v="3816"/>
    </bk>
    <bk>
      <rc t="2" v="3817"/>
    </bk>
    <bk>
      <rc t="2" v="3818"/>
    </bk>
    <bk>
      <rc t="2" v="3819"/>
    </bk>
    <bk>
      <rc t="2" v="3820"/>
    </bk>
    <bk>
      <rc t="2" v="3821"/>
    </bk>
    <bk>
      <rc t="2" v="3822"/>
    </bk>
    <bk>
      <rc t="2" v="3823"/>
    </bk>
    <bk>
      <rc t="2" v="3824"/>
    </bk>
    <bk>
      <rc t="2" v="3825"/>
    </bk>
    <bk>
      <rc t="2" v="3826"/>
    </bk>
    <bk>
      <rc t="2" v="3827"/>
    </bk>
    <bk>
      <rc t="2" v="3828"/>
    </bk>
    <bk>
      <rc t="2" v="3829"/>
    </bk>
    <bk>
      <rc t="2" v="3830"/>
    </bk>
    <bk>
      <rc t="2" v="3831"/>
    </bk>
    <bk>
      <rc t="2" v="3832"/>
    </bk>
    <bk>
      <rc t="2" v="3833"/>
    </bk>
    <bk>
      <rc t="2" v="3834"/>
    </bk>
    <bk>
      <rc t="2" v="3835"/>
    </bk>
    <bk>
      <rc t="2" v="3836"/>
    </bk>
    <bk>
      <rc t="2" v="3837"/>
    </bk>
    <bk>
      <rc t="2" v="3838"/>
    </bk>
    <bk>
      <rc t="2" v="3839"/>
    </bk>
    <bk>
      <rc t="2" v="3840"/>
    </bk>
    <bk>
      <rc t="2" v="3841"/>
    </bk>
    <bk>
      <rc t="2" v="3842"/>
    </bk>
    <bk>
      <rc t="2" v="3843"/>
    </bk>
    <bk>
      <rc t="2" v="3844"/>
    </bk>
    <bk>
      <rc t="2" v="3845"/>
    </bk>
    <bk>
      <rc t="2" v="3846"/>
    </bk>
    <bk>
      <rc t="2" v="3847"/>
    </bk>
    <bk>
      <rc t="2" v="3848"/>
    </bk>
    <bk>
      <rc t="2" v="3849"/>
    </bk>
    <bk>
      <rc t="2" v="3850"/>
    </bk>
    <bk>
      <rc t="2" v="3851"/>
    </bk>
    <bk>
      <rc t="2" v="3852"/>
    </bk>
    <bk>
      <rc t="2" v="3853"/>
    </bk>
    <bk>
      <rc t="2" v="3854"/>
    </bk>
    <bk>
      <rc t="2" v="3855"/>
    </bk>
    <bk>
      <rc t="2" v="3856"/>
    </bk>
    <bk>
      <rc t="2" v="3857"/>
    </bk>
    <bk>
      <rc t="2" v="3858"/>
    </bk>
    <bk>
      <rc t="2" v="3859"/>
    </bk>
    <bk>
      <rc t="2" v="3860"/>
    </bk>
    <bk>
      <rc t="2" v="3861"/>
    </bk>
    <bk>
      <rc t="2" v="3862"/>
    </bk>
    <bk>
      <rc t="2" v="3863"/>
    </bk>
    <bk>
      <rc t="2" v="3864"/>
    </bk>
    <bk>
      <rc t="2" v="3865"/>
    </bk>
    <bk>
      <rc t="2" v="3866"/>
    </bk>
    <bk>
      <rc t="2" v="3867"/>
    </bk>
    <bk>
      <rc t="2" v="3868"/>
    </bk>
    <bk>
      <rc t="2" v="3869"/>
    </bk>
    <bk>
      <rc t="2" v="3870"/>
    </bk>
    <bk>
      <rc t="2" v="3871"/>
    </bk>
    <bk>
      <rc t="2" v="3872"/>
    </bk>
    <bk>
      <rc t="2" v="3873"/>
    </bk>
    <bk>
      <rc t="2" v="3874"/>
    </bk>
    <bk>
      <rc t="2" v="3875"/>
    </bk>
    <bk>
      <rc t="2" v="3876"/>
    </bk>
    <bk>
      <rc t="2" v="3877"/>
    </bk>
    <bk>
      <rc t="2" v="3878"/>
    </bk>
    <bk>
      <rc t="2" v="3879"/>
    </bk>
    <bk>
      <rc t="2" v="3880"/>
    </bk>
    <bk>
      <rc t="2" v="3881"/>
    </bk>
    <bk>
      <rc t="2" v="3882"/>
    </bk>
    <bk>
      <rc t="2" v="3883"/>
    </bk>
    <bk>
      <rc t="2" v="3884"/>
    </bk>
    <bk>
      <rc t="2" v="3885"/>
    </bk>
    <bk>
      <rc t="2" v="3886"/>
    </bk>
    <bk>
      <rc t="2" v="3887"/>
    </bk>
    <bk>
      <rc t="2" v="3888"/>
    </bk>
    <bk>
      <rc t="2" v="3889"/>
    </bk>
    <bk>
      <rc t="2" v="3890"/>
    </bk>
    <bk>
      <rc t="2" v="3891"/>
    </bk>
    <bk>
      <rc t="2" v="3892"/>
    </bk>
    <bk>
      <rc t="2" v="3893"/>
    </bk>
    <bk>
      <rc t="2" v="3894"/>
    </bk>
    <bk>
      <rc t="2" v="3895"/>
    </bk>
    <bk>
      <rc t="2" v="3896"/>
    </bk>
    <bk>
      <rc t="2" v="3897"/>
    </bk>
    <bk>
      <rc t="2" v="3898"/>
    </bk>
    <bk>
      <rc t="2" v="3899"/>
    </bk>
    <bk>
      <rc t="2" v="3900"/>
    </bk>
    <bk>
      <rc t="2" v="3901"/>
    </bk>
    <bk>
      <rc t="2" v="3902"/>
    </bk>
    <bk>
      <rc t="2" v="3903"/>
    </bk>
    <bk>
      <rc t="2" v="3904"/>
    </bk>
    <bk>
      <rc t="2" v="3905"/>
    </bk>
    <bk>
      <rc t="2" v="3906"/>
    </bk>
    <bk>
      <rc t="2" v="3907"/>
    </bk>
    <bk>
      <rc t="2" v="3908"/>
    </bk>
    <bk>
      <rc t="2" v="3909"/>
    </bk>
    <bk>
      <rc t="2" v="3910"/>
    </bk>
    <bk>
      <rc t="2" v="3911"/>
    </bk>
    <bk>
      <rc t="2" v="3912"/>
    </bk>
    <bk>
      <rc t="2" v="3913"/>
    </bk>
    <bk>
      <rc t="2" v="3914"/>
    </bk>
    <bk>
      <rc t="2" v="3915"/>
    </bk>
    <bk>
      <rc t="2" v="3916"/>
    </bk>
    <bk>
      <rc t="2" v="3917"/>
    </bk>
    <bk>
      <rc t="2" v="3918"/>
    </bk>
    <bk>
      <rc t="2" v="3919"/>
    </bk>
    <bk>
      <rc t="2" v="3920"/>
    </bk>
    <bk>
      <rc t="2" v="3921"/>
    </bk>
    <bk>
      <rc t="2" v="3922"/>
    </bk>
    <bk>
      <rc t="2" v="3923"/>
    </bk>
    <bk>
      <rc t="2" v="3924"/>
    </bk>
    <bk>
      <rc t="2" v="3925"/>
    </bk>
    <bk>
      <rc t="2" v="3926"/>
    </bk>
    <bk>
      <rc t="2" v="3927"/>
    </bk>
    <bk>
      <rc t="2" v="3928"/>
    </bk>
    <bk>
      <rc t="2" v="3929"/>
    </bk>
    <bk>
      <rc t="2" v="3930"/>
    </bk>
    <bk>
      <rc t="2" v="3931"/>
    </bk>
    <bk>
      <rc t="2" v="3932"/>
    </bk>
    <bk>
      <rc t="2" v="3933"/>
    </bk>
    <bk>
      <rc t="2" v="3934"/>
    </bk>
    <bk>
      <rc t="2" v="3935"/>
    </bk>
    <bk>
      <rc t="2" v="3936"/>
    </bk>
    <bk>
      <rc t="2" v="3937"/>
    </bk>
    <bk>
      <rc t="2" v="3938"/>
    </bk>
    <bk>
      <rc t="2" v="3939"/>
    </bk>
    <bk>
      <rc t="2" v="3940"/>
    </bk>
    <bk>
      <rc t="2" v="3941"/>
    </bk>
    <bk>
      <rc t="2" v="3942"/>
    </bk>
    <bk>
      <rc t="2" v="3943"/>
    </bk>
    <bk>
      <rc t="2" v="3944"/>
    </bk>
    <bk>
      <rc t="2" v="3945"/>
    </bk>
    <bk>
      <rc t="2" v="3946"/>
    </bk>
    <bk>
      <rc t="2" v="3947"/>
    </bk>
    <bk>
      <rc t="2" v="3948"/>
    </bk>
    <bk>
      <rc t="2" v="3949"/>
    </bk>
    <bk>
      <rc t="2" v="3950"/>
    </bk>
    <bk>
      <rc t="2" v="3951"/>
    </bk>
    <bk>
      <rc t="2" v="3952"/>
    </bk>
    <bk>
      <rc t="2" v="3953"/>
    </bk>
    <bk>
      <rc t="2" v="3954"/>
    </bk>
    <bk>
      <rc t="2" v="3955"/>
    </bk>
    <bk>
      <rc t="2" v="3956"/>
    </bk>
    <bk>
      <rc t="2" v="3957"/>
    </bk>
    <bk>
      <rc t="2" v="3958"/>
    </bk>
    <bk>
      <rc t="2" v="3959"/>
    </bk>
    <bk>
      <rc t="2" v="3960"/>
    </bk>
    <bk>
      <rc t="2" v="3961"/>
    </bk>
    <bk>
      <rc t="2" v="3962"/>
    </bk>
    <bk>
      <rc t="2" v="3963"/>
    </bk>
    <bk>
      <rc t="2" v="3964"/>
    </bk>
    <bk>
      <rc t="2" v="3965"/>
    </bk>
    <bk>
      <rc t="2" v="3966"/>
    </bk>
    <bk>
      <rc t="2" v="3967"/>
    </bk>
    <bk>
      <rc t="2" v="3968"/>
    </bk>
    <bk>
      <rc t="2" v="3969"/>
    </bk>
    <bk>
      <rc t="2" v="3970"/>
    </bk>
    <bk>
      <rc t="2" v="3971"/>
    </bk>
    <bk>
      <rc t="2" v="3972"/>
    </bk>
    <bk>
      <rc t="2" v="3973"/>
    </bk>
    <bk>
      <rc t="2" v="3974"/>
    </bk>
    <bk>
      <rc t="2" v="3975"/>
    </bk>
    <bk>
      <rc t="2" v="3976"/>
    </bk>
    <bk>
      <rc t="2" v="3977"/>
    </bk>
    <bk>
      <rc t="2" v="3978"/>
    </bk>
    <bk>
      <rc t="2" v="3979"/>
    </bk>
    <bk>
      <rc t="2" v="3980"/>
    </bk>
    <bk>
      <rc t="2" v="3981"/>
    </bk>
    <bk>
      <rc t="2" v="3982"/>
    </bk>
    <bk>
      <rc t="2" v="3983"/>
    </bk>
    <bk>
      <rc t="2" v="3984"/>
    </bk>
    <bk>
      <rc t="2" v="3985"/>
    </bk>
    <bk>
      <rc t="2" v="3986"/>
    </bk>
    <bk>
      <rc t="2" v="3987"/>
    </bk>
    <bk>
      <rc t="2" v="3988"/>
    </bk>
    <bk>
      <rc t="2" v="3989"/>
    </bk>
    <bk>
      <rc t="2" v="3990"/>
    </bk>
    <bk>
      <rc t="2" v="3991"/>
    </bk>
    <bk>
      <rc t="2" v="3992"/>
    </bk>
    <bk>
      <rc t="2" v="3993"/>
    </bk>
    <bk>
      <rc t="2" v="3994"/>
    </bk>
    <bk>
      <rc t="2" v="3995"/>
    </bk>
    <bk>
      <rc t="2" v="3996"/>
    </bk>
    <bk>
      <rc t="2" v="3997"/>
    </bk>
    <bk>
      <rc t="2" v="3998"/>
    </bk>
    <bk>
      <rc t="2" v="3999"/>
    </bk>
    <bk>
      <rc t="2" v="4000"/>
    </bk>
    <bk>
      <rc t="2" v="4001"/>
    </bk>
    <bk>
      <rc t="2" v="4002"/>
    </bk>
    <bk>
      <rc t="2" v="4003"/>
    </bk>
    <bk>
      <rc t="2" v="4004"/>
    </bk>
    <bk>
      <rc t="2" v="4005"/>
    </bk>
    <bk>
      <rc t="2" v="4006"/>
    </bk>
    <bk>
      <rc t="2" v="4007"/>
    </bk>
    <bk>
      <rc t="2" v="4008"/>
    </bk>
    <bk>
      <rc t="2" v="4009"/>
    </bk>
    <bk>
      <rc t="2" v="4010"/>
    </bk>
    <bk>
      <rc t="2" v="4011"/>
    </bk>
    <bk>
      <rc t="2" v="4012"/>
    </bk>
    <bk>
      <rc t="2" v="4013"/>
    </bk>
    <bk>
      <rc t="2" v="4014"/>
    </bk>
    <bk>
      <rc t="2" v="4015"/>
    </bk>
    <bk>
      <rc t="2" v="4016"/>
    </bk>
    <bk>
      <rc t="2" v="4017"/>
    </bk>
    <bk>
      <rc t="2" v="4018"/>
    </bk>
    <bk>
      <rc t="2" v="4019"/>
    </bk>
    <bk>
      <rc t="2" v="4020"/>
    </bk>
    <bk>
      <rc t="2" v="4021"/>
    </bk>
    <bk>
      <rc t="2" v="4022"/>
    </bk>
    <bk>
      <rc t="2" v="4023"/>
    </bk>
    <bk>
      <rc t="2" v="4024"/>
    </bk>
    <bk>
      <rc t="2" v="4025"/>
    </bk>
    <bk>
      <rc t="2" v="4026"/>
    </bk>
    <bk>
      <rc t="2" v="4027"/>
    </bk>
    <bk>
      <rc t="2" v="4028"/>
    </bk>
    <bk>
      <rc t="2" v="4029"/>
    </bk>
    <bk>
      <rc t="2" v="4030"/>
    </bk>
    <bk>
      <rc t="2" v="4031"/>
    </bk>
    <bk>
      <rc t="2" v="4032"/>
    </bk>
    <bk>
      <rc t="2" v="4033"/>
    </bk>
    <bk>
      <rc t="2" v="4034"/>
    </bk>
    <bk>
      <rc t="2" v="4035"/>
    </bk>
    <bk>
      <rc t="2" v="4036"/>
    </bk>
    <bk>
      <rc t="2" v="4037"/>
    </bk>
    <bk>
      <rc t="2" v="4038"/>
    </bk>
    <bk>
      <rc t="2" v="4039"/>
    </bk>
    <bk>
      <rc t="2" v="4040"/>
    </bk>
    <bk>
      <rc t="2" v="4041"/>
    </bk>
    <bk>
      <rc t="2" v="4042"/>
    </bk>
    <bk>
      <rc t="2" v="4043"/>
    </bk>
    <bk>
      <rc t="2" v="4044"/>
    </bk>
    <bk>
      <rc t="2" v="4045"/>
    </bk>
    <bk>
      <rc t="2" v="4046"/>
    </bk>
    <bk>
      <rc t="2" v="4047"/>
    </bk>
    <bk>
      <rc t="2" v="4048"/>
    </bk>
    <bk>
      <rc t="2" v="4049"/>
    </bk>
    <bk>
      <rc t="2" v="4050"/>
    </bk>
    <bk>
      <rc t="2" v="4051"/>
    </bk>
    <bk>
      <rc t="2" v="4052"/>
    </bk>
    <bk>
      <rc t="2" v="4053"/>
    </bk>
    <bk>
      <rc t="2" v="4054"/>
    </bk>
    <bk>
      <rc t="2" v="4055"/>
    </bk>
    <bk>
      <rc t="2" v="4056"/>
    </bk>
    <bk>
      <rc t="2" v="4057"/>
    </bk>
    <bk>
      <rc t="2" v="4058"/>
    </bk>
    <bk>
      <rc t="2" v="4059"/>
    </bk>
    <bk>
      <rc t="2" v="4060"/>
    </bk>
    <bk>
      <rc t="2" v="4061"/>
    </bk>
    <bk>
      <rc t="2" v="4062"/>
    </bk>
    <bk>
      <rc t="2" v="4063"/>
    </bk>
    <bk>
      <rc t="2" v="4064"/>
    </bk>
    <bk>
      <rc t="2" v="4065"/>
    </bk>
    <bk>
      <rc t="2" v="4066"/>
    </bk>
    <bk>
      <rc t="2" v="4067"/>
    </bk>
    <bk>
      <rc t="2" v="4068"/>
    </bk>
    <bk>
      <rc t="2" v="4069"/>
    </bk>
    <bk>
      <rc t="2" v="4070"/>
    </bk>
    <bk>
      <rc t="2" v="4071"/>
    </bk>
    <bk>
      <rc t="2" v="4072"/>
    </bk>
    <bk>
      <rc t="2" v="4073"/>
    </bk>
    <bk>
      <rc t="2" v="4074"/>
    </bk>
    <bk>
      <rc t="2" v="4075"/>
    </bk>
    <bk>
      <rc t="2" v="4076"/>
    </bk>
    <bk>
      <rc t="2" v="4077"/>
    </bk>
    <bk>
      <rc t="2" v="4078"/>
    </bk>
    <bk>
      <rc t="2" v="4079"/>
    </bk>
    <bk>
      <rc t="2" v="4080"/>
    </bk>
    <bk>
      <rc t="2" v="4081"/>
    </bk>
    <bk>
      <rc t="2" v="4082"/>
    </bk>
    <bk>
      <rc t="2" v="4083"/>
    </bk>
    <bk>
      <rc t="2" v="4084"/>
    </bk>
    <bk>
      <rc t="2" v="4085"/>
    </bk>
    <bk>
      <rc t="2" v="4086"/>
    </bk>
    <bk>
      <rc t="2" v="4087"/>
    </bk>
    <bk>
      <rc t="2" v="4088"/>
    </bk>
    <bk>
      <rc t="2" v="4089"/>
    </bk>
    <bk>
      <rc t="2" v="4090"/>
    </bk>
    <bk>
      <rc t="2" v="4091"/>
    </bk>
    <bk>
      <rc t="2" v="4092"/>
    </bk>
    <bk>
      <rc t="2" v="4093"/>
    </bk>
    <bk>
      <rc t="2" v="4094"/>
    </bk>
    <bk>
      <rc t="2" v="4095"/>
    </bk>
    <bk>
      <rc t="2" v="4096"/>
    </bk>
    <bk>
      <rc t="2" v="4097"/>
    </bk>
    <bk>
      <rc t="2" v="4098"/>
    </bk>
    <bk>
      <rc t="2" v="4099"/>
    </bk>
    <bk>
      <rc t="2" v="4100"/>
    </bk>
    <bk>
      <rc t="2" v="4101"/>
    </bk>
    <bk>
      <rc t="2" v="4102"/>
    </bk>
    <bk>
      <rc t="2" v="4103"/>
    </bk>
    <bk>
      <rc t="2" v="4104"/>
    </bk>
    <bk>
      <rc t="2" v="4105"/>
    </bk>
    <bk>
      <rc t="2" v="4106"/>
    </bk>
    <bk>
      <rc t="2" v="4107"/>
    </bk>
    <bk>
      <rc t="2" v="4108"/>
    </bk>
    <bk>
      <rc t="2" v="4109"/>
    </bk>
    <bk>
      <rc t="2" v="4110"/>
    </bk>
    <bk>
      <rc t="2" v="4111"/>
    </bk>
    <bk>
      <rc t="2" v="4112"/>
    </bk>
    <bk>
      <rc t="2" v="4113"/>
    </bk>
    <bk>
      <rc t="2" v="4114"/>
    </bk>
    <bk>
      <rc t="2" v="4115"/>
    </bk>
    <bk>
      <rc t="2" v="4116"/>
    </bk>
    <bk>
      <rc t="2" v="4117"/>
    </bk>
    <bk>
      <rc t="2" v="4118"/>
    </bk>
    <bk>
      <rc t="2" v="4119"/>
    </bk>
    <bk>
      <rc t="2" v="4120"/>
    </bk>
    <bk>
      <rc t="2" v="4121"/>
    </bk>
    <bk>
      <rc t="2" v="4122"/>
    </bk>
    <bk>
      <rc t="2" v="4123"/>
    </bk>
    <bk>
      <rc t="2" v="4124"/>
    </bk>
    <bk>
      <rc t="2" v="4125"/>
    </bk>
    <bk>
      <rc t="2" v="4126"/>
    </bk>
    <bk>
      <rc t="2" v="4127"/>
    </bk>
    <bk>
      <rc t="2" v="4128"/>
    </bk>
    <bk>
      <rc t="2" v="4129"/>
    </bk>
    <bk>
      <rc t="2" v="4130"/>
    </bk>
    <bk>
      <rc t="2" v="4131"/>
    </bk>
    <bk>
      <rc t="2" v="4132"/>
    </bk>
    <bk>
      <rc t="2" v="4133"/>
    </bk>
    <bk>
      <rc t="2" v="4134"/>
    </bk>
    <bk>
      <rc t="2" v="4135"/>
    </bk>
    <bk>
      <rc t="2" v="4136"/>
    </bk>
    <bk>
      <rc t="2" v="4137"/>
    </bk>
    <bk>
      <rc t="2" v="4138"/>
    </bk>
    <bk>
      <rc t="2" v="4139"/>
    </bk>
    <bk>
      <rc t="2" v="4140"/>
    </bk>
    <bk>
      <rc t="2" v="4141"/>
    </bk>
    <bk>
      <rc t="2" v="4142"/>
    </bk>
    <bk>
      <rc t="2" v="4143"/>
    </bk>
    <bk>
      <rc t="2" v="4144"/>
    </bk>
    <bk>
      <rc t="2" v="4145"/>
    </bk>
    <bk>
      <rc t="2" v="4146"/>
    </bk>
    <bk>
      <rc t="2" v="4147"/>
    </bk>
    <bk>
      <rc t="2" v="4148"/>
    </bk>
    <bk>
      <rc t="2" v="4149"/>
    </bk>
    <bk>
      <rc t="2" v="4150"/>
    </bk>
    <bk>
      <rc t="2" v="4151"/>
    </bk>
    <bk>
      <rc t="2" v="4152"/>
    </bk>
    <bk>
      <rc t="2" v="4153"/>
    </bk>
    <bk>
      <rc t="2" v="4154"/>
    </bk>
    <bk>
      <rc t="2" v="4155"/>
    </bk>
    <bk>
      <rc t="2" v="4156"/>
    </bk>
    <bk>
      <rc t="2" v="4157"/>
    </bk>
    <bk>
      <rc t="2" v="4158"/>
    </bk>
    <bk>
      <rc t="2" v="4159"/>
    </bk>
    <bk>
      <rc t="2" v="4160"/>
    </bk>
    <bk>
      <rc t="2" v="4161"/>
    </bk>
    <bk>
      <rc t="2" v="4162"/>
    </bk>
    <bk>
      <rc t="2" v="4163"/>
    </bk>
    <bk>
      <rc t="2" v="4164"/>
    </bk>
    <bk>
      <rc t="2" v="4165"/>
    </bk>
    <bk>
      <rc t="2" v="4166"/>
    </bk>
    <bk>
      <rc t="2" v="4167"/>
    </bk>
    <bk>
      <rc t="2" v="4168"/>
    </bk>
    <bk>
      <rc t="2" v="4169"/>
    </bk>
    <bk>
      <rc t="2" v="4170"/>
    </bk>
    <bk>
      <rc t="2" v="4171"/>
    </bk>
    <bk>
      <rc t="2" v="4172"/>
    </bk>
    <bk>
      <rc t="2" v="4173"/>
    </bk>
    <bk>
      <rc t="2" v="4174"/>
    </bk>
    <bk>
      <rc t="2" v="4175"/>
    </bk>
    <bk>
      <rc t="2" v="4176"/>
    </bk>
    <bk>
      <rc t="2" v="4177"/>
    </bk>
    <bk>
      <rc t="2" v="4178"/>
    </bk>
    <bk>
      <rc t="2" v="4179"/>
    </bk>
    <bk>
      <rc t="2" v="4180"/>
    </bk>
    <bk>
      <rc t="2" v="4181"/>
    </bk>
    <bk>
      <rc t="2" v="4182"/>
    </bk>
    <bk>
      <rc t="2" v="4183"/>
    </bk>
    <bk>
      <rc t="2" v="4184"/>
    </bk>
    <bk>
      <rc t="2" v="4185"/>
    </bk>
    <bk>
      <rc t="2" v="4186"/>
    </bk>
    <bk>
      <rc t="2" v="4187"/>
    </bk>
    <bk>
      <rc t="2" v="4188"/>
    </bk>
    <bk>
      <rc t="2" v="4189"/>
    </bk>
    <bk>
      <rc t="2" v="4190"/>
    </bk>
    <bk>
      <rc t="2" v="4191"/>
    </bk>
    <bk>
      <rc t="2" v="4192"/>
    </bk>
    <bk>
      <rc t="2" v="4193"/>
    </bk>
    <bk>
      <rc t="2" v="4194"/>
    </bk>
    <bk>
      <rc t="2" v="4195"/>
    </bk>
    <bk>
      <rc t="2" v="4196"/>
    </bk>
    <bk>
      <rc t="2" v="4197"/>
    </bk>
    <bk>
      <rc t="2" v="4198"/>
    </bk>
    <bk>
      <rc t="2" v="4199"/>
    </bk>
    <bk>
      <rc t="2" v="4200"/>
    </bk>
    <bk>
      <rc t="2" v="4201"/>
    </bk>
    <bk>
      <rc t="2" v="4202"/>
    </bk>
    <bk>
      <rc t="2" v="4203"/>
    </bk>
    <bk>
      <rc t="2" v="4204"/>
    </bk>
    <bk>
      <rc t="2" v="4205"/>
    </bk>
    <bk>
      <rc t="2" v="4206"/>
    </bk>
    <bk>
      <rc t="2" v="4207"/>
    </bk>
    <bk>
      <rc t="2" v="4208"/>
    </bk>
    <bk>
      <rc t="2" v="4209"/>
    </bk>
    <bk>
      <rc t="2" v="4210"/>
    </bk>
    <bk>
      <rc t="2" v="4211"/>
    </bk>
    <bk>
      <rc t="2" v="4212"/>
    </bk>
    <bk>
      <rc t="2" v="4213"/>
    </bk>
    <bk>
      <rc t="2" v="4214"/>
    </bk>
    <bk>
      <rc t="2" v="4215"/>
    </bk>
    <bk>
      <rc t="2" v="4216"/>
    </bk>
    <bk>
      <rc t="2" v="4217"/>
    </bk>
    <bk>
      <rc t="2" v="4218"/>
    </bk>
    <bk>
      <rc t="2" v="4219"/>
    </bk>
    <bk>
      <rc t="2" v="4220"/>
    </bk>
    <bk>
      <rc t="2" v="4221"/>
    </bk>
    <bk>
      <rc t="2" v="4222"/>
    </bk>
    <bk>
      <rc t="2" v="4223"/>
    </bk>
    <bk>
      <rc t="2" v="4224"/>
    </bk>
    <bk>
      <rc t="2" v="4225"/>
    </bk>
    <bk>
      <rc t="2" v="4226"/>
    </bk>
    <bk>
      <rc t="2" v="4227"/>
    </bk>
    <bk>
      <rc t="2" v="4228"/>
    </bk>
    <bk>
      <rc t="2" v="4229"/>
    </bk>
    <bk>
      <rc t="2" v="4230"/>
    </bk>
    <bk>
      <rc t="2" v="4231"/>
    </bk>
    <bk>
      <rc t="2" v="4232"/>
    </bk>
    <bk>
      <rc t="2" v="4233"/>
    </bk>
    <bk>
      <rc t="2" v="4234"/>
    </bk>
    <bk>
      <rc t="2" v="4235"/>
    </bk>
    <bk>
      <rc t="2" v="4236"/>
    </bk>
    <bk>
      <rc t="2" v="4237"/>
    </bk>
    <bk>
      <rc t="2" v="4238"/>
    </bk>
    <bk>
      <rc t="2" v="4239"/>
    </bk>
    <bk>
      <rc t="2" v="4240"/>
    </bk>
    <bk>
      <rc t="2" v="4241"/>
    </bk>
    <bk>
      <rc t="2" v="4242"/>
    </bk>
    <bk>
      <rc t="2" v="4243"/>
    </bk>
    <bk>
      <rc t="2" v="4244"/>
    </bk>
    <bk>
      <rc t="2" v="4245"/>
    </bk>
    <bk>
      <rc t="2" v="4246"/>
    </bk>
    <bk>
      <rc t="2" v="4247"/>
    </bk>
    <bk>
      <rc t="2" v="4248"/>
    </bk>
    <bk>
      <rc t="2" v="4249"/>
    </bk>
    <bk>
      <rc t="2" v="4250"/>
    </bk>
    <bk>
      <rc t="2" v="4251"/>
    </bk>
    <bk>
      <rc t="2" v="4252"/>
    </bk>
    <bk>
      <rc t="2" v="4253"/>
    </bk>
    <bk>
      <rc t="2" v="4254"/>
    </bk>
    <bk>
      <rc t="2" v="4255"/>
    </bk>
    <bk>
      <rc t="2" v="4256"/>
    </bk>
    <bk>
      <rc t="2" v="4257"/>
    </bk>
    <bk>
      <rc t="2" v="4258"/>
    </bk>
    <bk>
      <rc t="2" v="4259"/>
    </bk>
    <bk>
      <rc t="2" v="4260"/>
    </bk>
    <bk>
      <rc t="2" v="4261"/>
    </bk>
    <bk>
      <rc t="2" v="4262"/>
    </bk>
    <bk>
      <rc t="2" v="4263"/>
    </bk>
    <bk>
      <rc t="2" v="4264"/>
    </bk>
    <bk>
      <rc t="2" v="4265"/>
    </bk>
    <bk>
      <rc t="2" v="4266"/>
    </bk>
    <bk>
      <rc t="2" v="4267"/>
    </bk>
    <bk>
      <rc t="2" v="4268"/>
    </bk>
    <bk>
      <rc t="2" v="4269"/>
    </bk>
    <bk>
      <rc t="2" v="4270"/>
    </bk>
    <bk>
      <rc t="2" v="4271"/>
    </bk>
    <bk>
      <rc t="2" v="4272"/>
    </bk>
    <bk>
      <rc t="2" v="4273"/>
    </bk>
    <bk>
      <rc t="2" v="4274"/>
    </bk>
    <bk>
      <rc t="2" v="4275"/>
    </bk>
    <bk>
      <rc t="2" v="4276"/>
    </bk>
    <bk>
      <rc t="2" v="4277"/>
    </bk>
    <bk>
      <rc t="2" v="4278"/>
    </bk>
    <bk>
      <rc t="2" v="4279"/>
    </bk>
    <bk>
      <rc t="2" v="4280"/>
    </bk>
    <bk>
      <rc t="2" v="4281"/>
    </bk>
    <bk>
      <rc t="2" v="4282"/>
    </bk>
    <bk>
      <rc t="2" v="4283"/>
    </bk>
    <bk>
      <rc t="2" v="4284"/>
    </bk>
    <bk>
      <rc t="2" v="4285"/>
    </bk>
    <bk>
      <rc t="2" v="4286"/>
    </bk>
    <bk>
      <rc t="2" v="4287"/>
    </bk>
    <bk>
      <rc t="2" v="4288"/>
    </bk>
    <bk>
      <rc t="2" v="4289"/>
    </bk>
    <bk>
      <rc t="2" v="4290"/>
    </bk>
    <bk>
      <rc t="2" v="4291"/>
    </bk>
    <bk>
      <rc t="2" v="4292"/>
    </bk>
    <bk>
      <rc t="2" v="4293"/>
    </bk>
    <bk>
      <rc t="2" v="4294"/>
    </bk>
    <bk>
      <rc t="2" v="4295"/>
    </bk>
    <bk>
      <rc t="2" v="4296"/>
    </bk>
    <bk>
      <rc t="2" v="4297"/>
    </bk>
    <bk>
      <rc t="2" v="4298"/>
    </bk>
    <bk>
      <rc t="2" v="4299"/>
    </bk>
    <bk>
      <rc t="2" v="4300"/>
    </bk>
    <bk>
      <rc t="2" v="4301"/>
    </bk>
    <bk>
      <rc t="2" v="4302"/>
    </bk>
    <bk>
      <rc t="2" v="4303"/>
    </bk>
    <bk>
      <rc t="2" v="4304"/>
    </bk>
    <bk>
      <rc t="2" v="4305"/>
    </bk>
    <bk>
      <rc t="2" v="4306"/>
    </bk>
    <bk>
      <rc t="2" v="4307"/>
    </bk>
    <bk>
      <rc t="2" v="4308"/>
    </bk>
    <bk>
      <rc t="2" v="4309"/>
    </bk>
    <bk>
      <rc t="2" v="4310"/>
    </bk>
    <bk>
      <rc t="2" v="4311"/>
    </bk>
    <bk>
      <rc t="2" v="4312"/>
    </bk>
    <bk>
      <rc t="2" v="4313"/>
    </bk>
    <bk>
      <rc t="2" v="4314"/>
    </bk>
    <bk>
      <rc t="2" v="4315"/>
    </bk>
    <bk>
      <rc t="2" v="4316"/>
    </bk>
    <bk>
      <rc t="2" v="4317"/>
    </bk>
    <bk>
      <rc t="2" v="4318"/>
    </bk>
    <bk>
      <rc t="2" v="4319"/>
    </bk>
    <bk>
      <rc t="2" v="4320"/>
    </bk>
    <bk>
      <rc t="2" v="4321"/>
    </bk>
    <bk>
      <rc t="2" v="4322"/>
    </bk>
    <bk>
      <rc t="2" v="4323"/>
    </bk>
    <bk>
      <rc t="2" v="4324"/>
    </bk>
    <bk>
      <rc t="2" v="4325"/>
    </bk>
    <bk>
      <rc t="2" v="4326"/>
    </bk>
    <bk>
      <rc t="2" v="4327"/>
    </bk>
    <bk>
      <rc t="2" v="4328"/>
    </bk>
    <bk>
      <rc t="2" v="4329"/>
    </bk>
    <bk>
      <rc t="2" v="4330"/>
    </bk>
    <bk>
      <rc t="2" v="4331"/>
    </bk>
    <bk>
      <rc t="2" v="4332"/>
    </bk>
    <bk>
      <rc t="2" v="4333"/>
    </bk>
    <bk>
      <rc t="2" v="4334"/>
    </bk>
    <bk>
      <rc t="2" v="4335"/>
    </bk>
    <bk>
      <rc t="2" v="4336"/>
    </bk>
    <bk>
      <rc t="2" v="4337"/>
    </bk>
    <bk>
      <rc t="2" v="4338"/>
    </bk>
    <bk>
      <rc t="2" v="4339"/>
    </bk>
    <bk>
      <rc t="2" v="4340"/>
    </bk>
    <bk>
      <rc t="2" v="4341"/>
    </bk>
    <bk>
      <rc t="2" v="4342"/>
    </bk>
    <bk>
      <rc t="2" v="4343"/>
    </bk>
    <bk>
      <rc t="2" v="4344"/>
    </bk>
    <bk>
      <rc t="2" v="4345"/>
    </bk>
    <bk>
      <rc t="2" v="4346"/>
    </bk>
    <bk>
      <rc t="2" v="4347"/>
    </bk>
    <bk>
      <rc t="2" v="4348"/>
    </bk>
    <bk>
      <rc t="2" v="4349"/>
    </bk>
    <bk>
      <rc t="2" v="4350"/>
    </bk>
    <bk>
      <rc t="2" v="4351"/>
    </bk>
    <bk>
      <rc t="2" v="4352"/>
    </bk>
    <bk>
      <rc t="2" v="4353"/>
    </bk>
    <bk>
      <rc t="2" v="4354"/>
    </bk>
    <bk>
      <rc t="2" v="4355"/>
    </bk>
    <bk>
      <rc t="2" v="4356"/>
    </bk>
    <bk>
      <rc t="2" v="4357"/>
    </bk>
    <bk>
      <rc t="2" v="4358"/>
    </bk>
    <bk>
      <rc t="2" v="4359"/>
    </bk>
    <bk>
      <rc t="2" v="4360"/>
    </bk>
    <bk>
      <rc t="2" v="4361"/>
    </bk>
    <bk>
      <rc t="2" v="4362"/>
    </bk>
    <bk>
      <rc t="2" v="4363"/>
    </bk>
    <bk>
      <rc t="2" v="4364"/>
    </bk>
    <bk>
      <rc t="2" v="4365"/>
    </bk>
    <bk>
      <rc t="2" v="4366"/>
    </bk>
    <bk>
      <rc t="2" v="4367"/>
    </bk>
    <bk>
      <rc t="2" v="4368"/>
    </bk>
    <bk>
      <rc t="2" v="4369"/>
    </bk>
    <bk>
      <rc t="2" v="4370"/>
    </bk>
    <bk>
      <rc t="2" v="4371"/>
    </bk>
    <bk>
      <rc t="2" v="4372"/>
    </bk>
    <bk>
      <rc t="2" v="4373"/>
    </bk>
    <bk>
      <rc t="2" v="4374"/>
    </bk>
    <bk>
      <rc t="2" v="4375"/>
    </bk>
    <bk>
      <rc t="2" v="4376"/>
    </bk>
    <bk>
      <rc t="2" v="4377"/>
    </bk>
    <bk>
      <rc t="2" v="4378"/>
    </bk>
    <bk>
      <rc t="2" v="4379"/>
    </bk>
    <bk>
      <rc t="2" v="4380"/>
    </bk>
    <bk>
      <rc t="2" v="4381"/>
    </bk>
    <bk>
      <rc t="2" v="4382"/>
    </bk>
    <bk>
      <rc t="2" v="4383"/>
    </bk>
    <bk>
      <rc t="2" v="4384"/>
    </bk>
    <bk>
      <rc t="2" v="4385"/>
    </bk>
    <bk>
      <rc t="2" v="4386"/>
    </bk>
    <bk>
      <rc t="2" v="4387"/>
    </bk>
    <bk>
      <rc t="2" v="4388"/>
    </bk>
    <bk>
      <rc t="2" v="4389"/>
    </bk>
    <bk>
      <rc t="2" v="4390"/>
    </bk>
    <bk>
      <rc t="2" v="4391"/>
    </bk>
    <bk>
      <rc t="2" v="4392"/>
    </bk>
    <bk>
      <rc t="2" v="4393"/>
    </bk>
    <bk>
      <rc t="2" v="4394"/>
    </bk>
    <bk>
      <rc t="2" v="4395"/>
    </bk>
    <bk>
      <rc t="2" v="4396"/>
    </bk>
    <bk>
      <rc t="2" v="4397"/>
    </bk>
    <bk>
      <rc t="2" v="4398"/>
    </bk>
    <bk>
      <rc t="2" v="4399"/>
    </bk>
    <bk>
      <rc t="2" v="4400"/>
    </bk>
    <bk>
      <rc t="2" v="4401"/>
    </bk>
    <bk>
      <rc t="2" v="4402"/>
    </bk>
    <bk>
      <rc t="2" v="4403"/>
    </bk>
    <bk>
      <rc t="2" v="4404"/>
    </bk>
    <bk>
      <rc t="2" v="4405"/>
    </bk>
    <bk>
      <rc t="2" v="4406"/>
    </bk>
    <bk>
      <rc t="2" v="4407"/>
    </bk>
    <bk>
      <rc t="2" v="4408"/>
    </bk>
    <bk>
      <rc t="2" v="4409"/>
    </bk>
    <bk>
      <rc t="2" v="4410"/>
    </bk>
    <bk>
      <rc t="2" v="4411"/>
    </bk>
    <bk>
      <rc t="2" v="4412"/>
    </bk>
    <bk>
      <rc t="2" v="4413"/>
    </bk>
    <bk>
      <rc t="2" v="4414"/>
    </bk>
    <bk>
      <rc t="2" v="4415"/>
    </bk>
    <bk>
      <rc t="2" v="4416"/>
    </bk>
    <bk>
      <rc t="2" v="4417"/>
    </bk>
    <bk>
      <rc t="2" v="4418"/>
    </bk>
    <bk>
      <rc t="2" v="4419"/>
    </bk>
    <bk>
      <rc t="2" v="4420"/>
    </bk>
    <bk>
      <rc t="2" v="4421"/>
    </bk>
    <bk>
      <rc t="2" v="4422"/>
    </bk>
    <bk>
      <rc t="2" v="4423"/>
    </bk>
    <bk>
      <rc t="2" v="4424"/>
    </bk>
    <bk>
      <rc t="2" v="4425"/>
    </bk>
    <bk>
      <rc t="2" v="4426"/>
    </bk>
    <bk>
      <rc t="2" v="4427"/>
    </bk>
    <bk>
      <rc t="2" v="4428"/>
    </bk>
    <bk>
      <rc t="2" v="4429"/>
    </bk>
    <bk>
      <rc t="2" v="4430"/>
    </bk>
    <bk>
      <rc t="2" v="4431"/>
    </bk>
    <bk>
      <rc t="2" v="4432"/>
    </bk>
    <bk>
      <rc t="2" v="4433"/>
    </bk>
    <bk>
      <rc t="2" v="4434"/>
    </bk>
    <bk>
      <rc t="2" v="4435"/>
    </bk>
    <bk>
      <rc t="2" v="4436"/>
    </bk>
    <bk>
      <rc t="2" v="4437"/>
    </bk>
    <bk>
      <rc t="2" v="4438"/>
    </bk>
    <bk>
      <rc t="2" v="4439"/>
    </bk>
    <bk>
      <rc t="2" v="4440"/>
    </bk>
    <bk>
      <rc t="2" v="4441"/>
    </bk>
    <bk>
      <rc t="2" v="4442"/>
    </bk>
    <bk>
      <rc t="2" v="4443"/>
    </bk>
    <bk>
      <rc t="2" v="4444"/>
    </bk>
    <bk>
      <rc t="2" v="4445"/>
    </bk>
    <bk>
      <rc t="2" v="4446"/>
    </bk>
    <bk>
      <rc t="2" v="4447"/>
    </bk>
    <bk>
      <rc t="2" v="4448"/>
    </bk>
    <bk>
      <rc t="2" v="4449"/>
    </bk>
    <bk>
      <rc t="2" v="4450"/>
    </bk>
    <bk>
      <rc t="2" v="4451"/>
    </bk>
    <bk>
      <rc t="2" v="4452"/>
    </bk>
    <bk>
      <rc t="2" v="4453"/>
    </bk>
    <bk>
      <rc t="2" v="4454"/>
    </bk>
    <bk>
      <rc t="2" v="4455"/>
    </bk>
    <bk>
      <rc t="2" v="4456"/>
    </bk>
    <bk>
      <rc t="2" v="4457"/>
    </bk>
    <bk>
      <rc t="2" v="4458"/>
    </bk>
    <bk>
      <rc t="2" v="4459"/>
    </bk>
    <bk>
      <rc t="2" v="4460"/>
    </bk>
    <bk>
      <rc t="2" v="4461"/>
    </bk>
    <bk>
      <rc t="2" v="4462"/>
    </bk>
    <bk>
      <rc t="2" v="4463"/>
    </bk>
    <bk>
      <rc t="2" v="4464"/>
    </bk>
    <bk>
      <rc t="2" v="4465"/>
    </bk>
    <bk>
      <rc t="2" v="4466"/>
    </bk>
    <bk>
      <rc t="2" v="4467"/>
    </bk>
    <bk>
      <rc t="2" v="4468"/>
    </bk>
    <bk>
      <rc t="2" v="4469"/>
    </bk>
    <bk>
      <rc t="2" v="4470"/>
    </bk>
    <bk>
      <rc t="2" v="4471"/>
    </bk>
    <bk>
      <rc t="2" v="4472"/>
    </bk>
    <bk>
      <rc t="2" v="4473"/>
    </bk>
    <bk>
      <rc t="2" v="4474"/>
    </bk>
    <bk>
      <rc t="2" v="4475"/>
    </bk>
    <bk>
      <rc t="2" v="4476"/>
    </bk>
    <bk>
      <rc t="2" v="4477"/>
    </bk>
    <bk>
      <rc t="2" v="4478"/>
    </bk>
    <bk>
      <rc t="2" v="4479"/>
    </bk>
    <bk>
      <rc t="2" v="4480"/>
    </bk>
    <bk>
      <rc t="2" v="4481"/>
    </bk>
    <bk>
      <rc t="2" v="4482"/>
    </bk>
    <bk>
      <rc t="2" v="4483"/>
    </bk>
    <bk>
      <rc t="2" v="4484"/>
    </bk>
    <bk>
      <rc t="2" v="4485"/>
    </bk>
    <bk>
      <rc t="2" v="4486"/>
    </bk>
    <bk>
      <rc t="2" v="4487"/>
    </bk>
    <bk>
      <rc t="2" v="4488"/>
    </bk>
    <bk>
      <rc t="2" v="4489"/>
    </bk>
    <bk>
      <rc t="2" v="4490"/>
    </bk>
    <bk>
      <rc t="2" v="4491"/>
    </bk>
    <bk>
      <rc t="2" v="4492"/>
    </bk>
    <bk>
      <rc t="2" v="4493"/>
    </bk>
    <bk>
      <rc t="2" v="4494"/>
    </bk>
    <bk>
      <rc t="2" v="4495"/>
    </bk>
    <bk>
      <rc t="2" v="4496"/>
    </bk>
    <bk>
      <rc t="2" v="4497"/>
    </bk>
    <bk>
      <rc t="2" v="4498"/>
    </bk>
    <bk>
      <rc t="2" v="4499"/>
    </bk>
    <bk>
      <rc t="2" v="4500"/>
    </bk>
    <bk>
      <rc t="2" v="4501"/>
    </bk>
    <bk>
      <rc t="2" v="4502"/>
    </bk>
    <bk>
      <rc t="2" v="4503"/>
    </bk>
    <bk>
      <rc t="2" v="4504"/>
    </bk>
    <bk>
      <rc t="2" v="4505"/>
    </bk>
    <bk>
      <rc t="2" v="4506"/>
    </bk>
    <bk>
      <rc t="2" v="4507"/>
    </bk>
    <bk>
      <rc t="2" v="4508"/>
    </bk>
    <bk>
      <rc t="2" v="4509"/>
    </bk>
    <bk>
      <rc t="2" v="4510"/>
    </bk>
    <bk>
      <rc t="2" v="4511"/>
    </bk>
    <bk>
      <rc t="2" v="4512"/>
    </bk>
    <bk>
      <rc t="2" v="4513"/>
    </bk>
    <bk>
      <rc t="2" v="4514"/>
    </bk>
    <bk>
      <rc t="2" v="4515"/>
    </bk>
    <bk>
      <rc t="2" v="4516"/>
    </bk>
    <bk>
      <rc t="2" v="4517"/>
    </bk>
    <bk>
      <rc t="2" v="4518"/>
    </bk>
    <bk>
      <rc t="2" v="4519"/>
    </bk>
    <bk>
      <rc t="2" v="4520"/>
    </bk>
    <bk>
      <rc t="2" v="4521"/>
    </bk>
    <bk>
      <rc t="2" v="4522"/>
    </bk>
    <bk>
      <rc t="2" v="4523"/>
    </bk>
    <bk>
      <rc t="2" v="4524"/>
    </bk>
    <bk>
      <rc t="2" v="4525"/>
    </bk>
    <bk>
      <rc t="2" v="4526"/>
    </bk>
    <bk>
      <rc t="2" v="4527"/>
    </bk>
    <bk>
      <rc t="2" v="4528"/>
    </bk>
    <bk>
      <rc t="2" v="4529"/>
    </bk>
    <bk>
      <rc t="2" v="4530"/>
    </bk>
    <bk>
      <rc t="2" v="4531"/>
    </bk>
    <bk>
      <rc t="2" v="4532"/>
    </bk>
    <bk>
      <rc t="2" v="4533"/>
    </bk>
    <bk>
      <rc t="2" v="4534"/>
    </bk>
    <bk>
      <rc t="2" v="4535"/>
    </bk>
    <bk>
      <rc t="2" v="4536"/>
    </bk>
    <bk>
      <rc t="2" v="4537"/>
    </bk>
    <bk>
      <rc t="2" v="4538"/>
    </bk>
    <bk>
      <rc t="2" v="4539"/>
    </bk>
    <bk>
      <rc t="2" v="4540"/>
    </bk>
    <bk>
      <rc t="2" v="4541"/>
    </bk>
    <bk>
      <rc t="2" v="4542"/>
    </bk>
    <bk>
      <rc t="2" v="4543"/>
    </bk>
    <bk>
      <rc t="2" v="4544"/>
    </bk>
    <bk>
      <rc t="2" v="4545"/>
    </bk>
    <bk>
      <rc t="2" v="4546"/>
    </bk>
    <bk>
      <rc t="2" v="4547"/>
    </bk>
    <bk>
      <rc t="2" v="4548"/>
    </bk>
    <bk>
      <rc t="2" v="4549"/>
    </bk>
    <bk>
      <rc t="2" v="4550"/>
    </bk>
    <bk>
      <rc t="2" v="4551"/>
    </bk>
    <bk>
      <rc t="2" v="4552"/>
    </bk>
    <bk>
      <rc t="2" v="4553"/>
    </bk>
    <bk>
      <rc t="2" v="4554"/>
    </bk>
    <bk>
      <rc t="2" v="4555"/>
    </bk>
    <bk>
      <rc t="2" v="4556"/>
    </bk>
    <bk>
      <rc t="2" v="4557"/>
    </bk>
    <bk>
      <rc t="2" v="4558"/>
    </bk>
    <bk>
      <rc t="2" v="4559"/>
    </bk>
    <bk>
      <rc t="2" v="4560"/>
    </bk>
    <bk>
      <rc t="2" v="4561"/>
    </bk>
    <bk>
      <rc t="2" v="4562"/>
    </bk>
    <bk>
      <rc t="2" v="4563"/>
    </bk>
    <bk>
      <rc t="2" v="4564"/>
    </bk>
    <bk>
      <rc t="2" v="4565"/>
    </bk>
    <bk>
      <rc t="2" v="4566"/>
    </bk>
    <bk>
      <rc t="2" v="4567"/>
    </bk>
    <bk>
      <rc t="2" v="4568"/>
    </bk>
    <bk>
      <rc t="2" v="4569"/>
    </bk>
    <bk>
      <rc t="2" v="4570"/>
    </bk>
    <bk>
      <rc t="2" v="4571"/>
    </bk>
    <bk>
      <rc t="2" v="4572"/>
    </bk>
    <bk>
      <rc t="2" v="4573"/>
    </bk>
    <bk>
      <rc t="2" v="4574"/>
    </bk>
    <bk>
      <rc t="2" v="4575"/>
    </bk>
    <bk>
      <rc t="2" v="4576"/>
    </bk>
    <bk>
      <rc t="2" v="4577"/>
    </bk>
    <bk>
      <rc t="2" v="4578"/>
    </bk>
    <bk>
      <rc t="2" v="4579"/>
    </bk>
    <bk>
      <rc t="2" v="4580"/>
    </bk>
    <bk>
      <rc t="2" v="4581"/>
    </bk>
    <bk>
      <rc t="2" v="4582"/>
    </bk>
    <bk>
      <rc t="2" v="4583"/>
    </bk>
    <bk>
      <rc t="2" v="4584"/>
    </bk>
    <bk>
      <rc t="2" v="4585"/>
    </bk>
    <bk>
      <rc t="2" v="4586"/>
    </bk>
    <bk>
      <rc t="2" v="4587"/>
    </bk>
    <bk>
      <rc t="2" v="4588"/>
    </bk>
    <bk>
      <rc t="2" v="4589"/>
    </bk>
    <bk>
      <rc t="2" v="4590"/>
    </bk>
    <bk>
      <rc t="2" v="4591"/>
    </bk>
    <bk>
      <rc t="2" v="4592"/>
    </bk>
    <bk>
      <rc t="2" v="4593"/>
    </bk>
    <bk>
      <rc t="2" v="4594"/>
    </bk>
    <bk>
      <rc t="2" v="4595"/>
    </bk>
    <bk>
      <rc t="2" v="4596"/>
    </bk>
    <bk>
      <rc t="2" v="4597"/>
    </bk>
    <bk>
      <rc t="2" v="4598"/>
    </bk>
    <bk>
      <rc t="2" v="4599"/>
    </bk>
    <bk>
      <rc t="2" v="4600"/>
    </bk>
    <bk>
      <rc t="2" v="4601"/>
    </bk>
    <bk>
      <rc t="2" v="4602"/>
    </bk>
    <bk>
      <rc t="2" v="4603"/>
    </bk>
    <bk>
      <rc t="2" v="4604"/>
    </bk>
    <bk>
      <rc t="2" v="4605"/>
    </bk>
    <bk>
      <rc t="2" v="4606"/>
    </bk>
    <bk>
      <rc t="2" v="4607"/>
    </bk>
    <bk>
      <rc t="2" v="4608"/>
    </bk>
    <bk>
      <rc t="2" v="4609"/>
    </bk>
    <bk>
      <rc t="2" v="4610"/>
    </bk>
    <bk>
      <rc t="2" v="4611"/>
    </bk>
    <bk>
      <rc t="2" v="4612"/>
    </bk>
    <bk>
      <rc t="2" v="4613"/>
    </bk>
    <bk>
      <rc t="2" v="4614"/>
    </bk>
    <bk>
      <rc t="2" v="4615"/>
    </bk>
    <bk>
      <rc t="2" v="4616"/>
    </bk>
    <bk>
      <rc t="2" v="4617"/>
    </bk>
    <bk>
      <rc t="2" v="4618"/>
    </bk>
    <bk>
      <rc t="2" v="4619"/>
    </bk>
    <bk>
      <rc t="2" v="4620"/>
    </bk>
    <bk>
      <rc t="2" v="4621"/>
    </bk>
    <bk>
      <rc t="2" v="4622"/>
    </bk>
    <bk>
      <rc t="2" v="4623"/>
    </bk>
    <bk>
      <rc t="2" v="4624"/>
    </bk>
    <bk>
      <rc t="2" v="4625"/>
    </bk>
    <bk>
      <rc t="2" v="4626"/>
    </bk>
    <bk>
      <rc t="2" v="4627"/>
    </bk>
    <bk>
      <rc t="2" v="4628"/>
    </bk>
    <bk>
      <rc t="2" v="4629"/>
    </bk>
    <bk>
      <rc t="2" v="4630"/>
    </bk>
    <bk>
      <rc t="2" v="4631"/>
    </bk>
    <bk>
      <rc t="2" v="4632"/>
    </bk>
    <bk>
      <rc t="2" v="4633"/>
    </bk>
    <bk>
      <rc t="2" v="4634"/>
    </bk>
    <bk>
      <rc t="2" v="4635"/>
    </bk>
    <bk>
      <rc t="2" v="4636"/>
    </bk>
    <bk>
      <rc t="2" v="4637"/>
    </bk>
    <bk>
      <rc t="2" v="4638"/>
    </bk>
    <bk>
      <rc t="2" v="4639"/>
    </bk>
    <bk>
      <rc t="2" v="4640"/>
    </bk>
    <bk>
      <rc t="2" v="4641"/>
    </bk>
    <bk>
      <rc t="2" v="4642"/>
    </bk>
    <bk>
      <rc t="2" v="4643"/>
    </bk>
    <bk>
      <rc t="2" v="4644"/>
    </bk>
    <bk>
      <rc t="2" v="4645"/>
    </bk>
    <bk>
      <rc t="2" v="4646"/>
    </bk>
    <bk>
      <rc t="2" v="4647"/>
    </bk>
    <bk>
      <rc t="2" v="4648"/>
    </bk>
    <bk>
      <rc t="2" v="4649"/>
    </bk>
    <bk>
      <rc t="2" v="4650"/>
    </bk>
    <bk>
      <rc t="2" v="4651"/>
    </bk>
    <bk>
      <rc t="2" v="4652"/>
    </bk>
    <bk>
      <rc t="2" v="4653"/>
    </bk>
    <bk>
      <rc t="2" v="4654"/>
    </bk>
    <bk>
      <rc t="2" v="4655"/>
    </bk>
    <bk>
      <rc t="2" v="4656"/>
    </bk>
    <bk>
      <rc t="2" v="4657"/>
    </bk>
    <bk>
      <rc t="2" v="4658"/>
    </bk>
    <bk>
      <rc t="2" v="4659"/>
    </bk>
    <bk>
      <rc t="2" v="4660"/>
    </bk>
    <bk>
      <rc t="2" v="4661"/>
    </bk>
    <bk>
      <rc t="2" v="4662"/>
    </bk>
    <bk>
      <rc t="2" v="4663"/>
    </bk>
    <bk>
      <rc t="2" v="4664"/>
    </bk>
    <bk>
      <rc t="2" v="4665"/>
    </bk>
    <bk>
      <rc t="2" v="4666"/>
    </bk>
    <bk>
      <rc t="2" v="4667"/>
    </bk>
    <bk>
      <rc t="2" v="4668"/>
    </bk>
    <bk>
      <rc t="2" v="4669"/>
    </bk>
    <bk>
      <rc t="2" v="4670"/>
    </bk>
    <bk>
      <rc t="2" v="4671"/>
    </bk>
    <bk>
      <rc t="2" v="4672"/>
    </bk>
    <bk>
      <rc t="2" v="4673"/>
    </bk>
    <bk>
      <rc t="2" v="4674"/>
    </bk>
    <bk>
      <rc t="2" v="4675"/>
    </bk>
    <bk>
      <rc t="2" v="4676"/>
    </bk>
    <bk>
      <rc t="2" v="4677"/>
    </bk>
    <bk>
      <rc t="2" v="4678"/>
    </bk>
    <bk>
      <rc t="2" v="4679"/>
    </bk>
    <bk>
      <rc t="2" v="4680"/>
    </bk>
    <bk>
      <rc t="2" v="4681"/>
    </bk>
    <bk>
      <rc t="2" v="4682"/>
    </bk>
    <bk>
      <rc t="2" v="4683"/>
    </bk>
    <bk>
      <rc t="2" v="4684"/>
    </bk>
    <bk>
      <rc t="2" v="4685"/>
    </bk>
    <bk>
      <rc t="2" v="4686"/>
    </bk>
    <bk>
      <rc t="2" v="4687"/>
    </bk>
    <bk>
      <rc t="2" v="4688"/>
    </bk>
    <bk>
      <rc t="2" v="4689"/>
    </bk>
    <bk>
      <rc t="2" v="4690"/>
    </bk>
    <bk>
      <rc t="2" v="4691"/>
    </bk>
    <bk>
      <rc t="2" v="4692"/>
    </bk>
    <bk>
      <rc t="2" v="4693"/>
    </bk>
    <bk>
      <rc t="2" v="4694"/>
    </bk>
    <bk>
      <rc t="2" v="4695"/>
    </bk>
    <bk>
      <rc t="2" v="4696"/>
    </bk>
    <bk>
      <rc t="2" v="4697"/>
    </bk>
    <bk>
      <rc t="2" v="4698"/>
    </bk>
    <bk>
      <rc t="2" v="4699"/>
    </bk>
    <bk>
      <rc t="2" v="4700"/>
    </bk>
    <bk>
      <rc t="2" v="4701"/>
    </bk>
    <bk>
      <rc t="2" v="4702"/>
    </bk>
    <bk>
      <rc t="2" v="4703"/>
    </bk>
    <bk>
      <rc t="2" v="4704"/>
    </bk>
    <bk>
      <rc t="2" v="4705"/>
    </bk>
    <bk>
      <rc t="2" v="4706"/>
    </bk>
    <bk>
      <rc t="2" v="4707"/>
    </bk>
    <bk>
      <rc t="2" v="4708"/>
    </bk>
    <bk>
      <rc t="2" v="4709"/>
    </bk>
    <bk>
      <rc t="2" v="4710"/>
    </bk>
    <bk>
      <rc t="2" v="4711"/>
    </bk>
    <bk>
      <rc t="2" v="4712"/>
    </bk>
    <bk>
      <rc t="2" v="4713"/>
    </bk>
    <bk>
      <rc t="2" v="4714"/>
    </bk>
    <bk>
      <rc t="2" v="4715"/>
    </bk>
    <bk>
      <rc t="2" v="4716"/>
    </bk>
    <bk>
      <rc t="2" v="4717"/>
    </bk>
    <bk>
      <rc t="2" v="4718"/>
    </bk>
    <bk>
      <rc t="2" v="4719"/>
    </bk>
    <bk>
      <rc t="2" v="4720"/>
    </bk>
    <bk>
      <rc t="2" v="4721"/>
    </bk>
    <bk>
      <rc t="2" v="4722"/>
    </bk>
    <bk>
      <rc t="2" v="4723"/>
    </bk>
    <bk>
      <rc t="2" v="4724"/>
    </bk>
    <bk>
      <rc t="2" v="4725"/>
    </bk>
    <bk>
      <rc t="2" v="4726"/>
    </bk>
    <bk>
      <rc t="2" v="4727"/>
    </bk>
    <bk>
      <rc t="2" v="4728"/>
    </bk>
    <bk>
      <rc t="2" v="4729"/>
    </bk>
    <bk>
      <rc t="2" v="4730"/>
    </bk>
    <bk>
      <rc t="2" v="4731"/>
    </bk>
    <bk>
      <rc t="2" v="4732"/>
    </bk>
    <bk>
      <rc t="2" v="4733"/>
    </bk>
    <bk>
      <rc t="2" v="4734"/>
    </bk>
    <bk>
      <rc t="2" v="4735"/>
    </bk>
    <bk>
      <rc t="2" v="4736"/>
    </bk>
    <bk>
      <rc t="2" v="4737"/>
    </bk>
    <bk>
      <rc t="2" v="4738"/>
    </bk>
    <bk>
      <rc t="2" v="4739"/>
    </bk>
    <bk>
      <rc t="2" v="4740"/>
    </bk>
    <bk>
      <rc t="2" v="4741"/>
    </bk>
    <bk>
      <rc t="2" v="4742"/>
    </bk>
    <bk>
      <rc t="2" v="4743"/>
    </bk>
    <bk>
      <rc t="2" v="4744"/>
    </bk>
    <bk>
      <rc t="2" v="4745"/>
    </bk>
    <bk>
      <rc t="2" v="4746"/>
    </bk>
    <bk>
      <rc t="2" v="4747"/>
    </bk>
    <bk>
      <rc t="2" v="4748"/>
    </bk>
    <bk>
      <rc t="2" v="4749"/>
    </bk>
    <bk>
      <rc t="2" v="4750"/>
    </bk>
    <bk>
      <rc t="2" v="4751"/>
    </bk>
    <bk>
      <rc t="2" v="4752"/>
    </bk>
    <bk>
      <rc t="2" v="4753"/>
    </bk>
    <bk>
      <rc t="2" v="4754"/>
    </bk>
    <bk>
      <rc t="2" v="4755"/>
    </bk>
    <bk>
      <rc t="2" v="4756"/>
    </bk>
    <bk>
      <rc t="2" v="4757"/>
    </bk>
    <bk>
      <rc t="2" v="4758"/>
    </bk>
    <bk>
      <rc t="2" v="4759"/>
    </bk>
    <bk>
      <rc t="2" v="4760"/>
    </bk>
    <bk>
      <rc t="2" v="4761"/>
    </bk>
    <bk>
      <rc t="2" v="4762"/>
    </bk>
    <bk>
      <rc t="2" v="4763"/>
    </bk>
    <bk>
      <rc t="2" v="4764"/>
    </bk>
    <bk>
      <rc t="2" v="4765"/>
    </bk>
    <bk>
      <rc t="2" v="4766"/>
    </bk>
    <bk>
      <rc t="2" v="4767"/>
    </bk>
    <bk>
      <rc t="2" v="4768"/>
    </bk>
    <bk>
      <rc t="2" v="4769"/>
    </bk>
    <bk>
      <rc t="2" v="4770"/>
    </bk>
    <bk>
      <rc t="2" v="4771"/>
    </bk>
    <bk>
      <rc t="2" v="4772"/>
    </bk>
    <bk>
      <rc t="2" v="4773"/>
    </bk>
    <bk>
      <rc t="2" v="4774"/>
    </bk>
    <bk>
      <rc t="2" v="4775"/>
    </bk>
    <bk>
      <rc t="2" v="4776"/>
    </bk>
    <bk>
      <rc t="2" v="4777"/>
    </bk>
    <bk>
      <rc t="2" v="4778"/>
    </bk>
    <bk>
      <rc t="2" v="4779"/>
    </bk>
    <bk>
      <rc t="2" v="4780"/>
    </bk>
    <bk>
      <rc t="2" v="4781"/>
    </bk>
    <bk>
      <rc t="2" v="4782"/>
    </bk>
    <bk>
      <rc t="2" v="4783"/>
    </bk>
    <bk>
      <rc t="2" v="4784"/>
    </bk>
    <bk>
      <rc t="2" v="4785"/>
    </bk>
    <bk>
      <rc t="2" v="4786"/>
    </bk>
    <bk>
      <rc t="2" v="4787"/>
    </bk>
    <bk>
      <rc t="2" v="4788"/>
    </bk>
    <bk>
      <rc t="2" v="4789"/>
    </bk>
    <bk>
      <rc t="2" v="4790"/>
    </bk>
    <bk>
      <rc t="2" v="4791"/>
    </bk>
    <bk>
      <rc t="2" v="4792"/>
    </bk>
    <bk>
      <rc t="2" v="4793"/>
    </bk>
    <bk>
      <rc t="2" v="4794"/>
    </bk>
    <bk>
      <rc t="2" v="4795"/>
    </bk>
    <bk>
      <rc t="2" v="4796"/>
    </bk>
    <bk>
      <rc t="2" v="4797"/>
    </bk>
    <bk>
      <rc t="2" v="4798"/>
    </bk>
    <bk>
      <rc t="2" v="4799"/>
    </bk>
    <bk>
      <rc t="2" v="4800"/>
    </bk>
    <bk>
      <rc t="2" v="4801"/>
    </bk>
    <bk>
      <rc t="2" v="4802"/>
    </bk>
    <bk>
      <rc t="2" v="4803"/>
    </bk>
    <bk>
      <rc t="2" v="4804"/>
    </bk>
    <bk>
      <rc t="2" v="4805"/>
    </bk>
    <bk>
      <rc t="2" v="4806"/>
    </bk>
    <bk>
      <rc t="2" v="4807"/>
    </bk>
    <bk>
      <rc t="2" v="4808"/>
    </bk>
    <bk>
      <rc t="2" v="4809"/>
    </bk>
    <bk>
      <rc t="2" v="4810"/>
    </bk>
    <bk>
      <rc t="2" v="4811"/>
    </bk>
    <bk>
      <rc t="2" v="4812"/>
    </bk>
    <bk>
      <rc t="2" v="4813"/>
    </bk>
    <bk>
      <rc t="2" v="4814"/>
    </bk>
    <bk>
      <rc t="2" v="4815"/>
    </bk>
    <bk>
      <rc t="2" v="4816"/>
    </bk>
    <bk>
      <rc t="2" v="4817"/>
    </bk>
    <bk>
      <rc t="2" v="4818"/>
    </bk>
    <bk>
      <rc t="2" v="4819"/>
    </bk>
    <bk>
      <rc t="2" v="4820"/>
    </bk>
    <bk>
      <rc t="2" v="4821"/>
    </bk>
    <bk>
      <rc t="2" v="4822"/>
    </bk>
    <bk>
      <rc t="2" v="4823"/>
    </bk>
    <bk>
      <rc t="2" v="4824"/>
    </bk>
    <bk>
      <rc t="2" v="4825"/>
    </bk>
    <bk>
      <rc t="2" v="4826"/>
    </bk>
    <bk>
      <rc t="2" v="4827"/>
    </bk>
    <bk>
      <rc t="2" v="4828"/>
    </bk>
    <bk>
      <rc t="2" v="4829"/>
    </bk>
    <bk>
      <rc t="2" v="4830"/>
    </bk>
    <bk>
      <rc t="2" v="4831"/>
    </bk>
    <bk>
      <rc t="2" v="4832"/>
    </bk>
    <bk>
      <rc t="2" v="4833"/>
    </bk>
    <bk>
      <rc t="2" v="4834"/>
    </bk>
    <bk>
      <rc t="2" v="4835"/>
    </bk>
    <bk>
      <rc t="2" v="4836"/>
    </bk>
    <bk>
      <rc t="2" v="4837"/>
    </bk>
    <bk>
      <rc t="2" v="4838"/>
    </bk>
    <bk>
      <rc t="2" v="4839"/>
    </bk>
    <bk>
      <rc t="2" v="4840"/>
    </bk>
    <bk>
      <rc t="2" v="4841"/>
    </bk>
    <bk>
      <rc t="2" v="4842"/>
    </bk>
    <bk>
      <rc t="2" v="4843"/>
    </bk>
    <bk>
      <rc t="2" v="4844"/>
    </bk>
    <bk>
      <rc t="2" v="4845"/>
    </bk>
    <bk>
      <rc t="2" v="4846"/>
    </bk>
    <bk>
      <rc t="2" v="4847"/>
    </bk>
    <bk>
      <rc t="2" v="4848"/>
    </bk>
    <bk>
      <rc t="2" v="4849"/>
    </bk>
    <bk>
      <rc t="2" v="4850"/>
    </bk>
    <bk>
      <rc t="2" v="4851"/>
    </bk>
    <bk>
      <rc t="2" v="4852"/>
    </bk>
    <bk>
      <rc t="2" v="4853"/>
    </bk>
    <bk>
      <rc t="2" v="4854"/>
    </bk>
    <bk>
      <rc t="2" v="4855"/>
    </bk>
    <bk>
      <rc t="2" v="4856"/>
    </bk>
    <bk>
      <rc t="2" v="4857"/>
    </bk>
    <bk>
      <rc t="2" v="4858"/>
    </bk>
    <bk>
      <rc t="2" v="4859"/>
    </bk>
    <bk>
      <rc t="2" v="4860"/>
    </bk>
    <bk>
      <rc t="2" v="4861"/>
    </bk>
    <bk>
      <rc t="2" v="4862"/>
    </bk>
    <bk>
      <rc t="2" v="4863"/>
    </bk>
    <bk>
      <rc t="2" v="4864"/>
    </bk>
    <bk>
      <rc t="2" v="4865"/>
    </bk>
    <bk>
      <rc t="2" v="4866"/>
    </bk>
    <bk>
      <rc t="2" v="4867"/>
    </bk>
    <bk>
      <rc t="2" v="4868"/>
    </bk>
    <bk>
      <rc t="2" v="4869"/>
    </bk>
    <bk>
      <rc t="2" v="4870"/>
    </bk>
    <bk>
      <rc t="2" v="4871"/>
    </bk>
    <bk>
      <rc t="2" v="4872"/>
    </bk>
    <bk>
      <rc t="2" v="4873"/>
    </bk>
    <bk>
      <rc t="2" v="4874"/>
    </bk>
    <bk>
      <rc t="2" v="4875"/>
    </bk>
    <bk>
      <rc t="2" v="4876"/>
    </bk>
    <bk>
      <rc t="2" v="4877"/>
    </bk>
    <bk>
      <rc t="2" v="4878"/>
    </bk>
    <bk>
      <rc t="2" v="4879"/>
    </bk>
    <bk>
      <rc t="2" v="4880"/>
    </bk>
    <bk>
      <rc t="2" v="4881"/>
    </bk>
    <bk>
      <rc t="2" v="4882"/>
    </bk>
    <bk>
      <rc t="2" v="4883"/>
    </bk>
    <bk>
      <rc t="2" v="4884"/>
    </bk>
    <bk>
      <rc t="2" v="4885"/>
    </bk>
    <bk>
      <rc t="2" v="4886"/>
    </bk>
    <bk>
      <rc t="2" v="4887"/>
    </bk>
    <bk>
      <rc t="2" v="4888"/>
    </bk>
    <bk>
      <rc t="2" v="4889"/>
    </bk>
    <bk>
      <rc t="2" v="4890"/>
    </bk>
    <bk>
      <rc t="2" v="4891"/>
    </bk>
    <bk>
      <rc t="2" v="4892"/>
    </bk>
    <bk>
      <rc t="2" v="4893"/>
    </bk>
    <bk>
      <rc t="2" v="4894"/>
    </bk>
    <bk>
      <rc t="2" v="4895"/>
    </bk>
    <bk>
      <rc t="2" v="4896"/>
    </bk>
    <bk>
      <rc t="2" v="4897"/>
    </bk>
    <bk>
      <rc t="2" v="4898"/>
    </bk>
    <bk>
      <rc t="2" v="4899"/>
    </bk>
    <bk>
      <rc t="2" v="4900"/>
    </bk>
    <bk>
      <rc t="2" v="4901"/>
    </bk>
    <bk>
      <rc t="2" v="4902"/>
    </bk>
    <bk>
      <rc t="2" v="4903"/>
    </bk>
    <bk>
      <rc t="2" v="4904"/>
    </bk>
    <bk>
      <rc t="2" v="4905"/>
    </bk>
    <bk>
      <rc t="2" v="4906"/>
    </bk>
    <bk>
      <rc t="2" v="4907"/>
    </bk>
    <bk>
      <rc t="2" v="4908"/>
    </bk>
    <bk>
      <rc t="2" v="4909"/>
    </bk>
    <bk>
      <rc t="2" v="4910"/>
    </bk>
    <bk>
      <rc t="2" v="4911"/>
    </bk>
    <bk>
      <rc t="2" v="4912"/>
    </bk>
    <bk>
      <rc t="2" v="4913"/>
    </bk>
    <bk>
      <rc t="2" v="4914"/>
    </bk>
    <bk>
      <rc t="2" v="4915"/>
    </bk>
    <bk>
      <rc t="2" v="4916"/>
    </bk>
    <bk>
      <rc t="2" v="4917"/>
    </bk>
    <bk>
      <rc t="2" v="4918"/>
    </bk>
    <bk>
      <rc t="2" v="4919"/>
    </bk>
    <bk>
      <rc t="2" v="4920"/>
    </bk>
    <bk>
      <rc t="2" v="4921"/>
    </bk>
    <bk>
      <rc t="2" v="4922"/>
    </bk>
    <bk>
      <rc t="2" v="4923"/>
    </bk>
    <bk>
      <rc t="2" v="4924"/>
    </bk>
    <bk>
      <rc t="2" v="4925"/>
    </bk>
    <bk>
      <rc t="2" v="4926"/>
    </bk>
    <bk>
      <rc t="2" v="4927"/>
    </bk>
    <bk>
      <rc t="2" v="4928"/>
    </bk>
    <bk>
      <rc t="2" v="4929"/>
    </bk>
    <bk>
      <rc t="2" v="4930"/>
    </bk>
    <bk>
      <rc t="2" v="4931"/>
    </bk>
    <bk>
      <rc t="2" v="4932"/>
    </bk>
    <bk>
      <rc t="2" v="4933"/>
    </bk>
    <bk>
      <rc t="2" v="4934"/>
    </bk>
    <bk>
      <rc t="2" v="4935"/>
    </bk>
    <bk>
      <rc t="2" v="4936"/>
    </bk>
    <bk>
      <rc t="2" v="4937"/>
    </bk>
    <bk>
      <rc t="2" v="4938"/>
    </bk>
    <bk>
      <rc t="2" v="4939"/>
    </bk>
    <bk>
      <rc t="2" v="4940"/>
    </bk>
    <bk>
      <rc t="2" v="4941"/>
    </bk>
    <bk>
      <rc t="2" v="4942"/>
    </bk>
    <bk>
      <rc t="2" v="4943"/>
    </bk>
    <bk>
      <rc t="2" v="4944"/>
    </bk>
    <bk>
      <rc t="2" v="4945"/>
    </bk>
    <bk>
      <rc t="2" v="4946"/>
    </bk>
    <bk>
      <rc t="2" v="4947"/>
    </bk>
    <bk>
      <rc t="2" v="4948"/>
    </bk>
    <bk>
      <rc t="2" v="4949"/>
    </bk>
    <bk>
      <rc t="2" v="4950"/>
    </bk>
    <bk>
      <rc t="2" v="4951"/>
    </bk>
    <bk>
      <rc t="2" v="4952"/>
    </bk>
    <bk>
      <rc t="2" v="4953"/>
    </bk>
    <bk>
      <rc t="2" v="4954"/>
    </bk>
    <bk>
      <rc t="2" v="4955"/>
    </bk>
    <bk>
      <rc t="2" v="4956"/>
    </bk>
    <bk>
      <rc t="2" v="4957"/>
    </bk>
    <bk>
      <rc t="2" v="4958"/>
    </bk>
    <bk>
      <rc t="2" v="4959"/>
    </bk>
    <bk>
      <rc t="2" v="4960"/>
    </bk>
    <bk>
      <rc t="2" v="4961"/>
    </bk>
    <bk>
      <rc t="2" v="4962"/>
    </bk>
    <bk>
      <rc t="2" v="4963"/>
    </bk>
    <bk>
      <rc t="2" v="4964"/>
    </bk>
    <bk>
      <rc t="2" v="4965"/>
    </bk>
    <bk>
      <rc t="2" v="4966"/>
    </bk>
    <bk>
      <rc t="2" v="4967"/>
    </bk>
    <bk>
      <rc t="2" v="4968"/>
    </bk>
    <bk>
      <rc t="2" v="4969"/>
    </bk>
    <bk>
      <rc t="2" v="4970"/>
    </bk>
    <bk>
      <rc t="2" v="4971"/>
    </bk>
    <bk>
      <rc t="2" v="4972"/>
    </bk>
    <bk>
      <rc t="2" v="4973"/>
    </bk>
    <bk>
      <rc t="2" v="4974"/>
    </bk>
    <bk>
      <rc t="2" v="4975"/>
    </bk>
    <bk>
      <rc t="2" v="4976"/>
    </bk>
    <bk>
      <rc t="2" v="4977"/>
    </bk>
    <bk>
      <rc t="2" v="4978"/>
    </bk>
    <bk>
      <rc t="2" v="4979"/>
    </bk>
    <bk>
      <rc t="2" v="4980"/>
    </bk>
    <bk>
      <rc t="2" v="4981"/>
    </bk>
    <bk>
      <rc t="2" v="4982"/>
    </bk>
    <bk>
      <rc t="2" v="4983"/>
    </bk>
    <bk>
      <rc t="2" v="4984"/>
    </bk>
    <bk>
      <rc t="2" v="4985"/>
    </bk>
    <bk>
      <rc t="2" v="4986"/>
    </bk>
    <bk>
      <rc t="2" v="4987"/>
    </bk>
    <bk>
      <rc t="2" v="4988"/>
    </bk>
    <bk>
      <rc t="2" v="4989"/>
    </bk>
    <bk>
      <rc t="2" v="4990"/>
    </bk>
    <bk>
      <rc t="2" v="4991"/>
    </bk>
    <bk>
      <rc t="2" v="4992"/>
    </bk>
    <bk>
      <rc t="2" v="4993"/>
    </bk>
    <bk>
      <rc t="2" v="4994"/>
    </bk>
    <bk>
      <rc t="2" v="4995"/>
    </bk>
    <bk>
      <rc t="2" v="4996"/>
    </bk>
    <bk>
      <rc t="2" v="4997"/>
    </bk>
    <bk>
      <rc t="2" v="4998"/>
    </bk>
    <bk>
      <rc t="2" v="4999"/>
    </bk>
    <bk>
      <rc t="2" v="5000"/>
    </bk>
    <bk>
      <rc t="2" v="5001"/>
    </bk>
    <bk>
      <rc t="2" v="5002"/>
    </bk>
    <bk>
      <rc t="2" v="5003"/>
    </bk>
    <bk>
      <rc t="2" v="5004"/>
    </bk>
    <bk>
      <rc t="2" v="5005"/>
    </bk>
    <bk>
      <rc t="2" v="5006"/>
    </bk>
    <bk>
      <rc t="2" v="5007"/>
    </bk>
    <bk>
      <rc t="2" v="5008"/>
    </bk>
    <bk>
      <rc t="2" v="5009"/>
    </bk>
    <bk>
      <rc t="2" v="5010"/>
    </bk>
    <bk>
      <rc t="2" v="5011"/>
    </bk>
    <bk>
      <rc t="2" v="5012"/>
    </bk>
    <bk>
      <rc t="2" v="5013"/>
    </bk>
    <bk>
      <rc t="2" v="5014"/>
    </bk>
    <bk>
      <rc t="2" v="5015"/>
    </bk>
    <bk>
      <rc t="2" v="5016"/>
    </bk>
    <bk>
      <rc t="2" v="5017"/>
    </bk>
    <bk>
      <rc t="2" v="5018"/>
    </bk>
    <bk>
      <rc t="2" v="5019"/>
    </bk>
    <bk>
      <rc t="2" v="5020"/>
    </bk>
    <bk>
      <rc t="2" v="5021"/>
    </bk>
    <bk>
      <rc t="2" v="5022"/>
    </bk>
    <bk>
      <rc t="2" v="5023"/>
    </bk>
    <bk>
      <rc t="2" v="5024"/>
    </bk>
    <bk>
      <rc t="2" v="5025"/>
    </bk>
    <bk>
      <rc t="2" v="5026"/>
    </bk>
    <bk>
      <rc t="2" v="5027"/>
    </bk>
    <bk>
      <rc t="2" v="5028"/>
    </bk>
    <bk>
      <rc t="2" v="5029"/>
    </bk>
    <bk>
      <rc t="2" v="5030"/>
    </bk>
    <bk>
      <rc t="2" v="5031"/>
    </bk>
    <bk>
      <rc t="2" v="5032"/>
    </bk>
    <bk>
      <rc t="2" v="5033"/>
    </bk>
    <bk>
      <rc t="2" v="5034"/>
    </bk>
    <bk>
      <rc t="2" v="5035"/>
    </bk>
    <bk>
      <rc t="2" v="5036"/>
    </bk>
    <bk>
      <rc t="2" v="5037"/>
    </bk>
    <bk>
      <rc t="2" v="5038"/>
    </bk>
    <bk>
      <rc t="2" v="5039"/>
    </bk>
    <bk>
      <rc t="2" v="5040"/>
    </bk>
    <bk>
      <rc t="2" v="5041"/>
    </bk>
    <bk>
      <rc t="2" v="5042"/>
    </bk>
    <bk>
      <rc t="2" v="5043"/>
    </bk>
    <bk>
      <rc t="2" v="5044"/>
    </bk>
    <bk>
      <rc t="2" v="5045"/>
    </bk>
    <bk>
      <rc t="2" v="5046"/>
    </bk>
    <bk>
      <rc t="2" v="5047"/>
    </bk>
    <bk>
      <rc t="2" v="5048"/>
    </bk>
    <bk>
      <rc t="2" v="5049"/>
    </bk>
    <bk>
      <rc t="2" v="5050"/>
    </bk>
    <bk>
      <rc t="2" v="5051"/>
    </bk>
    <bk>
      <rc t="2" v="5052"/>
    </bk>
    <bk>
      <rc t="2" v="5053"/>
    </bk>
    <bk>
      <rc t="2" v="5054"/>
    </bk>
    <bk>
      <rc t="2" v="5055"/>
    </bk>
    <bk>
      <rc t="2" v="5056"/>
    </bk>
    <bk>
      <rc t="2" v="5057"/>
    </bk>
    <bk>
      <rc t="2" v="5058"/>
    </bk>
    <bk>
      <rc t="2" v="5059"/>
    </bk>
    <bk>
      <rc t="2" v="5060"/>
    </bk>
    <bk>
      <rc t="2" v="5061"/>
    </bk>
    <bk>
      <rc t="2" v="5062"/>
    </bk>
    <bk>
      <rc t="2" v="5063"/>
    </bk>
    <bk>
      <rc t="2" v="5064"/>
    </bk>
    <bk>
      <rc t="2" v="5065"/>
    </bk>
    <bk>
      <rc t="2" v="5066"/>
    </bk>
    <bk>
      <rc t="2" v="5067"/>
    </bk>
    <bk>
      <rc t="2" v="5068"/>
    </bk>
    <bk>
      <rc t="2" v="5069"/>
    </bk>
    <bk>
      <rc t="2" v="5070"/>
    </bk>
    <bk>
      <rc t="2" v="5071"/>
    </bk>
    <bk>
      <rc t="2" v="5072"/>
    </bk>
    <bk>
      <rc t="2" v="5073"/>
    </bk>
    <bk>
      <rc t="2" v="5074"/>
    </bk>
    <bk>
      <rc t="2" v="5075"/>
    </bk>
    <bk>
      <rc t="2" v="5076"/>
    </bk>
    <bk>
      <rc t="2" v="5077"/>
    </bk>
    <bk>
      <rc t="2" v="5078"/>
    </bk>
    <bk>
      <rc t="2" v="5079"/>
    </bk>
    <bk>
      <rc t="2" v="5080"/>
    </bk>
    <bk>
      <rc t="2" v="5081"/>
    </bk>
    <bk>
      <rc t="2" v="5082"/>
    </bk>
    <bk>
      <rc t="2" v="5083"/>
    </bk>
    <bk>
      <rc t="2" v="5084"/>
    </bk>
    <bk>
      <rc t="2" v="5085"/>
    </bk>
    <bk>
      <rc t="2" v="5086"/>
    </bk>
    <bk>
      <rc t="2" v="5087"/>
    </bk>
    <bk>
      <rc t="2" v="5088"/>
    </bk>
    <bk>
      <rc t="2" v="5089"/>
    </bk>
    <bk>
      <rc t="2" v="5090"/>
    </bk>
    <bk>
      <rc t="2" v="5091"/>
    </bk>
    <bk>
      <rc t="2" v="5092"/>
    </bk>
    <bk>
      <rc t="2" v="5093"/>
    </bk>
    <bk>
      <rc t="2" v="5094"/>
    </bk>
    <bk>
      <rc t="2" v="5095"/>
    </bk>
    <bk>
      <rc t="2" v="5096"/>
    </bk>
    <bk>
      <rc t="2" v="5097"/>
    </bk>
    <bk>
      <rc t="2" v="5098"/>
    </bk>
    <bk>
      <rc t="2" v="5099"/>
    </bk>
    <bk>
      <rc t="2" v="5100"/>
    </bk>
    <bk>
      <rc t="2" v="5101"/>
    </bk>
    <bk>
      <rc t="2" v="5102"/>
    </bk>
    <bk>
      <rc t="2" v="5103"/>
    </bk>
    <bk>
      <rc t="2" v="5104"/>
    </bk>
    <bk>
      <rc t="2" v="5105"/>
    </bk>
    <bk>
      <rc t="2" v="5106"/>
    </bk>
    <bk>
      <rc t="2" v="5107"/>
    </bk>
    <bk>
      <rc t="2" v="5108"/>
    </bk>
    <bk>
      <rc t="2" v="5109"/>
    </bk>
    <bk>
      <rc t="2" v="5110"/>
    </bk>
    <bk>
      <rc t="2" v="5111"/>
    </bk>
    <bk>
      <rc t="2" v="5112"/>
    </bk>
    <bk>
      <rc t="2" v="5113"/>
    </bk>
    <bk>
      <rc t="2" v="5114"/>
    </bk>
    <bk>
      <rc t="2" v="5115"/>
    </bk>
    <bk>
      <rc t="2" v="5116"/>
    </bk>
    <bk>
      <rc t="2" v="5117"/>
    </bk>
    <bk>
      <rc t="2" v="5118"/>
    </bk>
    <bk>
      <rc t="2" v="5119"/>
    </bk>
    <bk>
      <rc t="2" v="5120"/>
    </bk>
    <bk>
      <rc t="2" v="5121"/>
    </bk>
    <bk>
      <rc t="2" v="5122"/>
    </bk>
    <bk>
      <rc t="2" v="5123"/>
    </bk>
    <bk>
      <rc t="2" v="5124"/>
    </bk>
    <bk>
      <rc t="2" v="5125"/>
    </bk>
    <bk>
      <rc t="2" v="5126"/>
    </bk>
    <bk>
      <rc t="2" v="5127"/>
    </bk>
    <bk>
      <rc t="2" v="5128"/>
    </bk>
    <bk>
      <rc t="2" v="5129"/>
    </bk>
    <bk>
      <rc t="2" v="5130"/>
    </bk>
    <bk>
      <rc t="2" v="5131"/>
    </bk>
    <bk>
      <rc t="2" v="5132"/>
    </bk>
    <bk>
      <rc t="2" v="5133"/>
    </bk>
    <bk>
      <rc t="2" v="5134"/>
    </bk>
    <bk>
      <rc t="2" v="5135"/>
    </bk>
    <bk>
      <rc t="2" v="5136"/>
    </bk>
    <bk>
      <rc t="2" v="5137"/>
    </bk>
    <bk>
      <rc t="2" v="5138"/>
    </bk>
    <bk>
      <rc t="2" v="5139"/>
    </bk>
    <bk>
      <rc t="2" v="5140"/>
    </bk>
    <bk>
      <rc t="2" v="5141"/>
    </bk>
    <bk>
      <rc t="2" v="5142"/>
    </bk>
    <bk>
      <rc t="2" v="5143"/>
    </bk>
    <bk>
      <rc t="2" v="5144"/>
    </bk>
    <bk>
      <rc t="2" v="5145"/>
    </bk>
    <bk>
      <rc t="2" v="5146"/>
    </bk>
    <bk>
      <rc t="2" v="5147"/>
    </bk>
    <bk>
      <rc t="2" v="5148"/>
    </bk>
    <bk>
      <rc t="2" v="5149"/>
    </bk>
    <bk>
      <rc t="2" v="5150"/>
    </bk>
    <bk>
      <rc t="2" v="5151"/>
    </bk>
    <bk>
      <rc t="2" v="5152"/>
    </bk>
    <bk>
      <rc t="2" v="5153"/>
    </bk>
    <bk>
      <rc t="2" v="5154"/>
    </bk>
    <bk>
      <rc t="2" v="5155"/>
    </bk>
    <bk>
      <rc t="2" v="5156"/>
    </bk>
    <bk>
      <rc t="2" v="5157"/>
    </bk>
    <bk>
      <rc t="2" v="5158"/>
    </bk>
    <bk>
      <rc t="2" v="5159"/>
    </bk>
    <bk>
      <rc t="2" v="5160"/>
    </bk>
    <bk>
      <rc t="2" v="5161"/>
    </bk>
    <bk>
      <rc t="2" v="5162"/>
    </bk>
    <bk>
      <rc t="2" v="5163"/>
    </bk>
    <bk>
      <rc t="2" v="5164"/>
    </bk>
    <bk>
      <rc t="2" v="5165"/>
    </bk>
    <bk>
      <rc t="2" v="5166"/>
    </bk>
    <bk>
      <rc t="2" v="5167"/>
    </bk>
    <bk>
      <rc t="2" v="5168"/>
    </bk>
    <bk>
      <rc t="2" v="5169"/>
    </bk>
    <bk>
      <rc t="2" v="5170"/>
    </bk>
    <bk>
      <rc t="2" v="5171"/>
    </bk>
    <bk>
      <rc t="2" v="5172"/>
    </bk>
    <bk>
      <rc t="2" v="5173"/>
    </bk>
    <bk>
      <rc t="2" v="5174"/>
    </bk>
    <bk>
      <rc t="2" v="5175"/>
    </bk>
    <bk>
      <rc t="2" v="5176"/>
    </bk>
    <bk>
      <rc t="2" v="5177"/>
    </bk>
    <bk>
      <rc t="2" v="5178"/>
    </bk>
    <bk>
      <rc t="2" v="5179"/>
    </bk>
    <bk>
      <rc t="2" v="5180"/>
    </bk>
    <bk>
      <rc t="2" v="5181"/>
    </bk>
    <bk>
      <rc t="2" v="5182"/>
    </bk>
    <bk>
      <rc t="2" v="5183"/>
    </bk>
    <bk>
      <rc t="2" v="5184"/>
    </bk>
    <bk>
      <rc t="2" v="5185"/>
    </bk>
    <bk>
      <rc t="2" v="5186"/>
    </bk>
    <bk>
      <rc t="2" v="5187"/>
    </bk>
    <bk>
      <rc t="2" v="5188"/>
    </bk>
    <bk>
      <rc t="2" v="5189"/>
    </bk>
    <bk>
      <rc t="2" v="5190"/>
    </bk>
    <bk>
      <rc t="2" v="5191"/>
    </bk>
    <bk>
      <rc t="2" v="5192"/>
    </bk>
    <bk>
      <rc t="2" v="5193"/>
    </bk>
    <bk>
      <rc t="2" v="5194"/>
    </bk>
    <bk>
      <rc t="2" v="5195"/>
    </bk>
    <bk>
      <rc t="2" v="5196"/>
    </bk>
    <bk>
      <rc t="2" v="5197"/>
    </bk>
    <bk>
      <rc t="2" v="5198"/>
    </bk>
    <bk>
      <rc t="2" v="5199"/>
    </bk>
    <bk>
      <rc t="2" v="5200"/>
    </bk>
    <bk>
      <rc t="2" v="5201"/>
    </bk>
    <bk>
      <rc t="2" v="5202"/>
    </bk>
    <bk>
      <rc t="2" v="5203"/>
    </bk>
    <bk>
      <rc t="2" v="5204"/>
    </bk>
    <bk>
      <rc t="2" v="5205"/>
    </bk>
    <bk>
      <rc t="2" v="5206"/>
    </bk>
    <bk>
      <rc t="2" v="5207"/>
    </bk>
    <bk>
      <rc t="2" v="5208"/>
    </bk>
    <bk>
      <rc t="2" v="5209"/>
    </bk>
    <bk>
      <rc t="2" v="5210"/>
    </bk>
    <bk>
      <rc t="2" v="5211"/>
    </bk>
    <bk>
      <rc t="2" v="5212"/>
    </bk>
    <bk>
      <rc t="2" v="5213"/>
    </bk>
    <bk>
      <rc t="2" v="5214"/>
    </bk>
    <bk>
      <rc t="2" v="5215"/>
    </bk>
    <bk>
      <rc t="2" v="5216"/>
    </bk>
    <bk>
      <rc t="2" v="5217"/>
    </bk>
    <bk>
      <rc t="2" v="5218"/>
    </bk>
    <bk>
      <rc t="2" v="5219"/>
    </bk>
    <bk>
      <rc t="2" v="5220"/>
    </bk>
    <bk>
      <rc t="2" v="5221"/>
    </bk>
    <bk>
      <rc t="2" v="5222"/>
    </bk>
    <bk>
      <rc t="2" v="5223"/>
    </bk>
    <bk>
      <rc t="2" v="5224"/>
    </bk>
    <bk>
      <rc t="2" v="5225"/>
    </bk>
    <bk>
      <rc t="2" v="5226"/>
    </bk>
    <bk>
      <rc t="2" v="5227"/>
    </bk>
    <bk>
      <rc t="2" v="5228"/>
    </bk>
    <bk>
      <rc t="2" v="5229"/>
    </bk>
    <bk>
      <rc t="2" v="5230"/>
    </bk>
    <bk>
      <rc t="2" v="5231"/>
    </bk>
    <bk>
      <rc t="2" v="5232"/>
    </bk>
    <bk>
      <rc t="2" v="5233"/>
    </bk>
    <bk>
      <rc t="2" v="5234"/>
    </bk>
    <bk>
      <rc t="2" v="5235"/>
    </bk>
    <bk>
      <rc t="2" v="5236"/>
    </bk>
    <bk>
      <rc t="2" v="5237"/>
    </bk>
    <bk>
      <rc t="2" v="5238"/>
    </bk>
    <bk>
      <rc t="2" v="5239"/>
    </bk>
    <bk>
      <rc t="2" v="5240"/>
    </bk>
    <bk>
      <rc t="2" v="5241"/>
    </bk>
    <bk>
      <rc t="2" v="5242"/>
    </bk>
    <bk>
      <rc t="2" v="5243"/>
    </bk>
    <bk>
      <rc t="2" v="5244"/>
    </bk>
    <bk>
      <rc t="2" v="5245"/>
    </bk>
    <bk>
      <rc t="2" v="5246"/>
    </bk>
    <bk>
      <rc t="2" v="5247"/>
    </bk>
    <bk>
      <rc t="2" v="5248"/>
    </bk>
    <bk>
      <rc t="2" v="5249"/>
    </bk>
    <bk>
      <rc t="2" v="5250"/>
    </bk>
    <bk>
      <rc t="2" v="5251"/>
    </bk>
    <bk>
      <rc t="2" v="5252"/>
    </bk>
    <bk>
      <rc t="2" v="5253"/>
    </bk>
    <bk>
      <rc t="2" v="5254"/>
    </bk>
    <bk>
      <rc t="2" v="5255"/>
    </bk>
    <bk>
      <rc t="2" v="5256"/>
    </bk>
    <bk>
      <rc t="2" v="5257"/>
    </bk>
    <bk>
      <rc t="2" v="5258"/>
    </bk>
    <bk>
      <rc t="2" v="5259"/>
    </bk>
    <bk>
      <rc t="2" v="5260"/>
    </bk>
    <bk>
      <rc t="2" v="5261"/>
    </bk>
    <bk>
      <rc t="2" v="5262"/>
    </bk>
    <bk>
      <rc t="2" v="5263"/>
    </bk>
    <bk>
      <rc t="2" v="5264"/>
    </bk>
    <bk>
      <rc t="2" v="5265"/>
    </bk>
    <bk>
      <rc t="2" v="5266"/>
    </bk>
    <bk>
      <rc t="2" v="5267"/>
    </bk>
    <bk>
      <rc t="2" v="5268"/>
    </bk>
    <bk>
      <rc t="2" v="5269"/>
    </bk>
    <bk>
      <rc t="2" v="5270"/>
    </bk>
    <bk>
      <rc t="2" v="5271"/>
    </bk>
    <bk>
      <rc t="2" v="5272"/>
    </bk>
    <bk>
      <rc t="2" v="5273"/>
    </bk>
    <bk>
      <rc t="2" v="5274"/>
    </bk>
    <bk>
      <rc t="2" v="5275"/>
    </bk>
    <bk>
      <rc t="2" v="5276"/>
    </bk>
    <bk>
      <rc t="2" v="5277"/>
    </bk>
    <bk>
      <rc t="2" v="5278"/>
    </bk>
    <bk>
      <rc t="2" v="5279"/>
    </bk>
    <bk>
      <rc t="2" v="5280"/>
    </bk>
    <bk>
      <rc t="2" v="5281"/>
    </bk>
    <bk>
      <rc t="2" v="5282"/>
    </bk>
    <bk>
      <rc t="2" v="5283"/>
    </bk>
    <bk>
      <rc t="2" v="5284"/>
    </bk>
    <bk>
      <rc t="2" v="5285"/>
    </bk>
    <bk>
      <rc t="2" v="5286"/>
    </bk>
    <bk>
      <rc t="2" v="5287"/>
    </bk>
    <bk>
      <rc t="2" v="5288"/>
    </bk>
    <bk>
      <rc t="2" v="5289"/>
    </bk>
    <bk>
      <rc t="2" v="5290"/>
    </bk>
    <bk>
      <rc t="2" v="5291"/>
    </bk>
    <bk>
      <rc t="2" v="5292"/>
    </bk>
    <bk>
      <rc t="2" v="5293"/>
    </bk>
    <bk>
      <rc t="2" v="5294"/>
    </bk>
    <bk>
      <rc t="2" v="5295"/>
    </bk>
    <bk>
      <rc t="2" v="5296"/>
    </bk>
    <bk>
      <rc t="2" v="5297"/>
    </bk>
    <bk>
      <rc t="2" v="5298"/>
    </bk>
    <bk>
      <rc t="2" v="5299"/>
    </bk>
    <bk>
      <rc t="2" v="5300"/>
    </bk>
    <bk>
      <rc t="2" v="5301"/>
    </bk>
    <bk>
      <rc t="2" v="5302"/>
    </bk>
    <bk>
      <rc t="2" v="5303"/>
    </bk>
    <bk>
      <rc t="2" v="5304"/>
    </bk>
    <bk>
      <rc t="2" v="5305"/>
    </bk>
    <bk>
      <rc t="2" v="5306"/>
    </bk>
    <bk>
      <rc t="2" v="5307"/>
    </bk>
    <bk>
      <rc t="2" v="5308"/>
    </bk>
    <bk>
      <rc t="2" v="5309"/>
    </bk>
    <bk>
      <rc t="2" v="5310"/>
    </bk>
    <bk>
      <rc t="2" v="5311"/>
    </bk>
    <bk>
      <rc t="2" v="5312"/>
    </bk>
    <bk>
      <rc t="2" v="5313"/>
    </bk>
    <bk>
      <rc t="2" v="5314"/>
    </bk>
    <bk>
      <rc t="2" v="5315"/>
    </bk>
    <bk>
      <rc t="2" v="5316"/>
    </bk>
    <bk>
      <rc t="2" v="5317"/>
    </bk>
    <bk>
      <rc t="2" v="5318"/>
    </bk>
    <bk>
      <rc t="2" v="5319"/>
    </bk>
    <bk>
      <rc t="2" v="5320"/>
    </bk>
    <bk>
      <rc t="2" v="5321"/>
    </bk>
    <bk>
      <rc t="2" v="5322"/>
    </bk>
    <bk>
      <rc t="2" v="5323"/>
    </bk>
    <bk>
      <rc t="2" v="5324"/>
    </bk>
    <bk>
      <rc t="2" v="5325"/>
    </bk>
    <bk>
      <rc t="2" v="5326"/>
    </bk>
    <bk>
      <rc t="2" v="5327"/>
    </bk>
    <bk>
      <rc t="2" v="5328"/>
    </bk>
    <bk>
      <rc t="2" v="5329"/>
    </bk>
    <bk>
      <rc t="2" v="5330"/>
    </bk>
    <bk>
      <rc t="2" v="5331"/>
    </bk>
    <bk>
      <rc t="2" v="5332"/>
    </bk>
    <bk>
      <rc t="2" v="5333"/>
    </bk>
    <bk>
      <rc t="2" v="5334"/>
    </bk>
    <bk>
      <rc t="2" v="5335"/>
    </bk>
    <bk>
      <rc t="2" v="5336"/>
    </bk>
    <bk>
      <rc t="2" v="5337"/>
    </bk>
    <bk>
      <rc t="2" v="5338"/>
    </bk>
    <bk>
      <rc t="2" v="5339"/>
    </bk>
    <bk>
      <rc t="2" v="5340"/>
    </bk>
    <bk>
      <rc t="2" v="5341"/>
    </bk>
    <bk>
      <rc t="2" v="5342"/>
    </bk>
    <bk>
      <rc t="2" v="5343"/>
    </bk>
    <bk>
      <rc t="2" v="5344"/>
    </bk>
    <bk>
      <rc t="2" v="5345"/>
    </bk>
    <bk>
      <rc t="2" v="5346"/>
    </bk>
    <bk>
      <rc t="2" v="5347"/>
    </bk>
    <bk>
      <rc t="2" v="5348"/>
    </bk>
    <bk>
      <rc t="2" v="5349"/>
    </bk>
    <bk>
      <rc t="2" v="5350"/>
    </bk>
    <bk>
      <rc t="2" v="5351"/>
    </bk>
    <bk>
      <rc t="2" v="5352"/>
    </bk>
    <bk>
      <rc t="2" v="5353"/>
    </bk>
    <bk>
      <rc t="2" v="5354"/>
    </bk>
    <bk>
      <rc t="2" v="5355"/>
    </bk>
    <bk>
      <rc t="2" v="5356"/>
    </bk>
    <bk>
      <rc t="2" v="5357"/>
    </bk>
    <bk>
      <rc t="2" v="5358"/>
    </bk>
    <bk>
      <rc t="2" v="5359"/>
    </bk>
    <bk>
      <rc t="2" v="5360"/>
    </bk>
    <bk>
      <rc t="2" v="5361"/>
    </bk>
    <bk>
      <rc t="2" v="5362"/>
    </bk>
    <bk>
      <rc t="2" v="5363"/>
    </bk>
    <bk>
      <rc t="2" v="5364"/>
    </bk>
    <bk>
      <rc t="2" v="5365"/>
    </bk>
    <bk>
      <rc t="2" v="5366"/>
    </bk>
    <bk>
      <rc t="2" v="5367"/>
    </bk>
    <bk>
      <rc t="2" v="5368"/>
    </bk>
    <bk>
      <rc t="2" v="5369"/>
    </bk>
    <bk>
      <rc t="2" v="5370"/>
    </bk>
    <bk>
      <rc t="2" v="5371"/>
    </bk>
    <bk>
      <rc t="2" v="5372"/>
    </bk>
    <bk>
      <rc t="2" v="5373"/>
    </bk>
    <bk>
      <rc t="2" v="5374"/>
    </bk>
    <bk>
      <rc t="2" v="5375"/>
    </bk>
    <bk>
      <rc t="2" v="5376"/>
    </bk>
    <bk>
      <rc t="2" v="5377"/>
    </bk>
    <bk>
      <rc t="2" v="5378"/>
    </bk>
    <bk>
      <rc t="2" v="5379"/>
    </bk>
    <bk>
      <rc t="2" v="5380"/>
    </bk>
    <bk>
      <rc t="2" v="5381"/>
    </bk>
    <bk>
      <rc t="2" v="5382"/>
    </bk>
    <bk>
      <rc t="2" v="5383"/>
    </bk>
    <bk>
      <rc t="2" v="5384"/>
    </bk>
    <bk>
      <rc t="2" v="5385"/>
    </bk>
    <bk>
      <rc t="2" v="5386"/>
    </bk>
    <bk>
      <rc t="2" v="5387"/>
    </bk>
    <bk>
      <rc t="2" v="5388"/>
    </bk>
    <bk>
      <rc t="2" v="5389"/>
    </bk>
    <bk>
      <rc t="2" v="5390"/>
    </bk>
    <bk>
      <rc t="2" v="5391"/>
    </bk>
    <bk>
      <rc t="2" v="5392"/>
    </bk>
    <bk>
      <rc t="2" v="5393"/>
    </bk>
    <bk>
      <rc t="2" v="5394"/>
    </bk>
    <bk>
      <rc t="2" v="5395"/>
    </bk>
    <bk>
      <rc t="2" v="5396"/>
    </bk>
    <bk>
      <rc t="2" v="5397"/>
    </bk>
    <bk>
      <rc t="2" v="5398"/>
    </bk>
    <bk>
      <rc t="2" v="5399"/>
    </bk>
    <bk>
      <rc t="2" v="5400"/>
    </bk>
    <bk>
      <rc t="2" v="5401"/>
    </bk>
    <bk>
      <rc t="2" v="5402"/>
    </bk>
    <bk>
      <rc t="2" v="5403"/>
    </bk>
    <bk>
      <rc t="2" v="5404"/>
    </bk>
    <bk>
      <rc t="2" v="5405"/>
    </bk>
    <bk>
      <rc t="2" v="5406"/>
    </bk>
    <bk>
      <rc t="2" v="5407"/>
    </bk>
    <bk>
      <rc t="2" v="5408"/>
    </bk>
    <bk>
      <rc t="2" v="5409"/>
    </bk>
    <bk>
      <rc t="2" v="5410"/>
    </bk>
    <bk>
      <rc t="2" v="5411"/>
    </bk>
    <bk>
      <rc t="2" v="5412"/>
    </bk>
    <bk>
      <rc t="2" v="5413"/>
    </bk>
    <bk>
      <rc t="2" v="5414"/>
    </bk>
    <bk>
      <rc t="2" v="5415"/>
    </bk>
    <bk>
      <rc t="2" v="5416"/>
    </bk>
    <bk>
      <rc t="2" v="5417"/>
    </bk>
    <bk>
      <rc t="2" v="5418"/>
    </bk>
    <bk>
      <rc t="2" v="5419"/>
    </bk>
    <bk>
      <rc t="2" v="5420"/>
    </bk>
    <bk>
      <rc t="2" v="5421"/>
    </bk>
    <bk>
      <rc t="2" v="5422"/>
    </bk>
    <bk>
      <rc t="2" v="5423"/>
    </bk>
    <bk>
      <rc t="2" v="5424"/>
    </bk>
    <bk>
      <rc t="2" v="5425"/>
    </bk>
    <bk>
      <rc t="2" v="5426"/>
    </bk>
    <bk>
      <rc t="2" v="5427"/>
    </bk>
    <bk>
      <rc t="2" v="5428"/>
    </bk>
    <bk>
      <rc t="2" v="5429"/>
    </bk>
    <bk>
      <rc t="2" v="5430"/>
    </bk>
    <bk>
      <rc t="2" v="5431"/>
    </bk>
    <bk>
      <rc t="2" v="5432"/>
    </bk>
    <bk>
      <rc t="2" v="5433"/>
    </bk>
    <bk>
      <rc t="2" v="5434"/>
    </bk>
    <bk>
      <rc t="2" v="5435"/>
    </bk>
    <bk>
      <rc t="2" v="5436"/>
    </bk>
    <bk>
      <rc t="2" v="5437"/>
    </bk>
    <bk>
      <rc t="2" v="5438"/>
    </bk>
    <bk>
      <rc t="2" v="5439"/>
    </bk>
    <bk>
      <rc t="2" v="5440"/>
    </bk>
    <bk>
      <rc t="2" v="5441"/>
    </bk>
    <bk>
      <rc t="2" v="5442"/>
    </bk>
    <bk>
      <rc t="2" v="5443"/>
    </bk>
    <bk>
      <rc t="2" v="5444"/>
    </bk>
    <bk>
      <rc t="2" v="5445"/>
    </bk>
    <bk>
      <rc t="2" v="5446"/>
    </bk>
    <bk>
      <rc t="2" v="5447"/>
    </bk>
    <bk>
      <rc t="2" v="5448"/>
    </bk>
    <bk>
      <rc t="2" v="5449"/>
    </bk>
    <bk>
      <rc t="2" v="5450"/>
    </bk>
    <bk>
      <rc t="2" v="5451"/>
    </bk>
    <bk>
      <rc t="2" v="5452"/>
    </bk>
    <bk>
      <rc t="2" v="5453"/>
    </bk>
    <bk>
      <rc t="2" v="5454"/>
    </bk>
    <bk>
      <rc t="2" v="5455"/>
    </bk>
    <bk>
      <rc t="2" v="5456"/>
    </bk>
    <bk>
      <rc t="2" v="5457"/>
    </bk>
    <bk>
      <rc t="2" v="5458"/>
    </bk>
    <bk>
      <rc t="2" v="5459"/>
    </bk>
    <bk>
      <rc t="2" v="5460"/>
    </bk>
    <bk>
      <rc t="2" v="5461"/>
    </bk>
    <bk>
      <rc t="2" v="5462"/>
    </bk>
    <bk>
      <rc t="2" v="5463"/>
    </bk>
    <bk>
      <rc t="2" v="5464"/>
    </bk>
    <bk>
      <rc t="2" v="5465"/>
    </bk>
    <bk>
      <rc t="2" v="5466"/>
    </bk>
    <bk>
      <rc t="2" v="5467"/>
    </bk>
    <bk>
      <rc t="2" v="5468"/>
    </bk>
    <bk>
      <rc t="2" v="5469"/>
    </bk>
    <bk>
      <rc t="2" v="5470"/>
    </bk>
    <bk>
      <rc t="2" v="5471"/>
    </bk>
    <bk>
      <rc t="2" v="5472"/>
    </bk>
    <bk>
      <rc t="2" v="5473"/>
    </bk>
    <bk>
      <rc t="2" v="5474"/>
    </bk>
    <bk>
      <rc t="2" v="5475"/>
    </bk>
    <bk>
      <rc t="2" v="5476"/>
    </bk>
    <bk>
      <rc t="2" v="5477"/>
    </bk>
    <bk>
      <rc t="2" v="5478"/>
    </bk>
    <bk>
      <rc t="2" v="5479"/>
    </bk>
    <bk>
      <rc t="2" v="5480"/>
    </bk>
    <bk>
      <rc t="2" v="5481"/>
    </bk>
    <bk>
      <rc t="2" v="5482"/>
    </bk>
    <bk>
      <rc t="2" v="5483"/>
    </bk>
    <bk>
      <rc t="2" v="5484"/>
    </bk>
    <bk>
      <rc t="2" v="5485"/>
    </bk>
    <bk>
      <rc t="2" v="5486"/>
    </bk>
    <bk>
      <rc t="2" v="5487"/>
    </bk>
    <bk>
      <rc t="2" v="5488"/>
    </bk>
    <bk>
      <rc t="2" v="5489"/>
    </bk>
    <bk>
      <rc t="2" v="5490"/>
    </bk>
    <bk>
      <rc t="2" v="5491"/>
    </bk>
    <bk>
      <rc t="2" v="5492"/>
    </bk>
    <bk>
      <rc t="2" v="5493"/>
    </bk>
    <bk>
      <rc t="2" v="5494"/>
    </bk>
    <bk>
      <rc t="2" v="5495"/>
    </bk>
    <bk>
      <rc t="2" v="5496"/>
    </bk>
    <bk>
      <rc t="2" v="5497"/>
    </bk>
    <bk>
      <rc t="2" v="5498"/>
    </bk>
    <bk>
      <rc t="2" v="5499"/>
    </bk>
    <bk>
      <rc t="2" v="5500"/>
    </bk>
    <bk>
      <rc t="2" v="5501"/>
    </bk>
    <bk>
      <rc t="2" v="5502"/>
    </bk>
    <bk>
      <rc t="2" v="5503"/>
    </bk>
    <bk>
      <rc t="2" v="5504"/>
    </bk>
    <bk>
      <rc t="2" v="5505"/>
    </bk>
    <bk>
      <rc t="2" v="5506"/>
    </bk>
    <bk>
      <rc t="2" v="5507"/>
    </bk>
    <bk>
      <rc t="2" v="5508"/>
    </bk>
    <bk>
      <rc t="2" v="5509"/>
    </bk>
    <bk>
      <rc t="2" v="5510"/>
    </bk>
    <bk>
      <rc t="2" v="5511"/>
    </bk>
    <bk>
      <rc t="2" v="5512"/>
    </bk>
    <bk>
      <rc t="2" v="5513"/>
    </bk>
    <bk>
      <rc t="2" v="5514"/>
    </bk>
    <bk>
      <rc t="2" v="5515"/>
    </bk>
    <bk>
      <rc t="2" v="5516"/>
    </bk>
    <bk>
      <rc t="2" v="5517"/>
    </bk>
    <bk>
      <rc t="2" v="5518"/>
    </bk>
    <bk>
      <rc t="2" v="5519"/>
    </bk>
    <bk>
      <rc t="2" v="5520"/>
    </bk>
    <bk>
      <rc t="2" v="5521"/>
    </bk>
    <bk>
      <rc t="2" v="5522"/>
    </bk>
    <bk>
      <rc t="2" v="5523"/>
    </bk>
    <bk>
      <rc t="2" v="5524"/>
    </bk>
    <bk>
      <rc t="2" v="5525"/>
    </bk>
    <bk>
      <rc t="2" v="5526"/>
    </bk>
    <bk>
      <rc t="2" v="5527"/>
    </bk>
    <bk>
      <rc t="2" v="5528"/>
    </bk>
    <bk>
      <rc t="2" v="5529"/>
    </bk>
    <bk>
      <rc t="2" v="5530"/>
    </bk>
    <bk>
      <rc t="2" v="5531"/>
    </bk>
    <bk>
      <rc t="2" v="5532"/>
    </bk>
    <bk>
      <rc t="2" v="5533"/>
    </bk>
    <bk>
      <rc t="2" v="5534"/>
    </bk>
    <bk>
      <rc t="2" v="5535"/>
    </bk>
    <bk>
      <rc t="2" v="5536"/>
    </bk>
    <bk>
      <rc t="2" v="5537"/>
    </bk>
    <bk>
      <rc t="2" v="5538"/>
    </bk>
    <bk>
      <rc t="2" v="5539"/>
    </bk>
    <bk>
      <rc t="2" v="5540"/>
    </bk>
    <bk>
      <rc t="2" v="5541"/>
    </bk>
    <bk>
      <rc t="2" v="5542"/>
    </bk>
    <bk>
      <rc t="2" v="5543"/>
    </bk>
    <bk>
      <rc t="2" v="5544"/>
    </bk>
    <bk>
      <rc t="2" v="5545"/>
    </bk>
    <bk>
      <rc t="2" v="5546"/>
    </bk>
    <bk>
      <rc t="2" v="5547"/>
    </bk>
    <bk>
      <rc t="2" v="5548"/>
    </bk>
    <bk>
      <rc t="2" v="5549"/>
    </bk>
    <bk>
      <rc t="2" v="5550"/>
    </bk>
    <bk>
      <rc t="2" v="5551"/>
    </bk>
    <bk>
      <rc t="2" v="5552"/>
    </bk>
    <bk>
      <rc t="2" v="5553"/>
    </bk>
    <bk>
      <rc t="2" v="5554"/>
    </bk>
    <bk>
      <rc t="2" v="5555"/>
    </bk>
    <bk>
      <rc t="2" v="5556"/>
    </bk>
    <bk>
      <rc t="2" v="5557"/>
    </bk>
    <bk>
      <rc t="2" v="5558"/>
    </bk>
    <bk>
      <rc t="2" v="5559"/>
    </bk>
    <bk>
      <rc t="2" v="5560"/>
    </bk>
    <bk>
      <rc t="2" v="5561"/>
    </bk>
    <bk>
      <rc t="2" v="5562"/>
    </bk>
    <bk>
      <rc t="2" v="5563"/>
    </bk>
    <bk>
      <rc t="2" v="5564"/>
    </bk>
    <bk>
      <rc t="2" v="5565"/>
    </bk>
    <bk>
      <rc t="2" v="5566"/>
    </bk>
    <bk>
      <rc t="2" v="5567"/>
    </bk>
    <bk>
      <rc t="2" v="5568"/>
    </bk>
    <bk>
      <rc t="2" v="5569"/>
    </bk>
    <bk>
      <rc t="2" v="5570"/>
    </bk>
    <bk>
      <rc t="2" v="5571"/>
    </bk>
    <bk>
      <rc t="2" v="5572"/>
    </bk>
    <bk>
      <rc t="2" v="5573"/>
    </bk>
    <bk>
      <rc t="2" v="5574"/>
    </bk>
    <bk>
      <rc t="2" v="5575"/>
    </bk>
    <bk>
      <rc t="2" v="5576"/>
    </bk>
    <bk>
      <rc t="2" v="5577"/>
    </bk>
    <bk>
      <rc t="2" v="5578"/>
    </bk>
    <bk>
      <rc t="2" v="5579"/>
    </bk>
    <bk>
      <rc t="2" v="5580"/>
    </bk>
    <bk>
      <rc t="2" v="5581"/>
    </bk>
    <bk>
      <rc t="2" v="5582"/>
    </bk>
    <bk>
      <rc t="2" v="5583"/>
    </bk>
    <bk>
      <rc t="2" v="5584"/>
    </bk>
    <bk>
      <rc t="2" v="5585"/>
    </bk>
    <bk>
      <rc t="2" v="5586"/>
    </bk>
    <bk>
      <rc t="2" v="5587"/>
    </bk>
    <bk>
      <rc t="2" v="5588"/>
    </bk>
    <bk>
      <rc t="2" v="5589"/>
    </bk>
    <bk>
      <rc t="2" v="5590"/>
    </bk>
    <bk>
      <rc t="2" v="5591"/>
    </bk>
    <bk>
      <rc t="2" v="5592"/>
    </bk>
    <bk>
      <rc t="2" v="5593"/>
    </bk>
    <bk>
      <rc t="2" v="5594"/>
    </bk>
    <bk>
      <rc t="2" v="5595"/>
    </bk>
    <bk>
      <rc t="2" v="5596"/>
    </bk>
    <bk>
      <rc t="2" v="5597"/>
    </bk>
    <bk>
      <rc t="2" v="5598"/>
    </bk>
    <bk>
      <rc t="2" v="5599"/>
    </bk>
    <bk>
      <rc t="2" v="5600"/>
    </bk>
    <bk>
      <rc t="2" v="5601"/>
    </bk>
    <bk>
      <rc t="2" v="5602"/>
    </bk>
    <bk>
      <rc t="2" v="5603"/>
    </bk>
    <bk>
      <rc t="2" v="5604"/>
    </bk>
    <bk>
      <rc t="2" v="5605"/>
    </bk>
    <bk>
      <rc t="2" v="5606"/>
    </bk>
    <bk>
      <rc t="2" v="5607"/>
    </bk>
    <bk>
      <rc t="2" v="5608"/>
    </bk>
    <bk>
      <rc t="2" v="5609"/>
    </bk>
    <bk>
      <rc t="2" v="5610"/>
    </bk>
    <bk>
      <rc t="2" v="5611"/>
    </bk>
    <bk>
      <rc t="2" v="5612"/>
    </bk>
    <bk>
      <rc t="2" v="5613"/>
    </bk>
    <bk>
      <rc t="2" v="5614"/>
    </bk>
    <bk>
      <rc t="2" v="5615"/>
    </bk>
    <bk>
      <rc t="2" v="5616"/>
    </bk>
    <bk>
      <rc t="2" v="5617"/>
    </bk>
    <bk>
      <rc t="2" v="5618"/>
    </bk>
    <bk>
      <rc t="2" v="5619"/>
    </bk>
    <bk>
      <rc t="2" v="5620"/>
    </bk>
    <bk>
      <rc t="2" v="5621"/>
    </bk>
    <bk>
      <rc t="2" v="5622"/>
    </bk>
    <bk>
      <rc t="2" v="5623"/>
    </bk>
    <bk>
      <rc t="2" v="5624"/>
    </bk>
    <bk>
      <rc t="2" v="5625"/>
    </bk>
    <bk>
      <rc t="2" v="5626"/>
    </bk>
    <bk>
      <rc t="2" v="5627"/>
    </bk>
    <bk>
      <rc t="2" v="5628"/>
    </bk>
    <bk>
      <rc t="2" v="5629"/>
    </bk>
    <bk>
      <rc t="2" v="5630"/>
    </bk>
    <bk>
      <rc t="2" v="5631"/>
    </bk>
    <bk>
      <rc t="2" v="5632"/>
    </bk>
    <bk>
      <rc t="2" v="5633"/>
    </bk>
    <bk>
      <rc t="2" v="5634"/>
    </bk>
    <bk>
      <rc t="2" v="5635"/>
    </bk>
    <bk>
      <rc t="2" v="5636"/>
    </bk>
    <bk>
      <rc t="2" v="5637"/>
    </bk>
    <bk>
      <rc t="2" v="5638"/>
    </bk>
    <bk>
      <rc t="2" v="5639"/>
    </bk>
    <bk>
      <rc t="2" v="5640"/>
    </bk>
    <bk>
      <rc t="2" v="5641"/>
    </bk>
    <bk>
      <rc t="2" v="5642"/>
    </bk>
    <bk>
      <rc t="2" v="5643"/>
    </bk>
    <bk>
      <rc t="2" v="5644"/>
    </bk>
    <bk>
      <rc t="2" v="5645"/>
    </bk>
    <bk>
      <rc t="2" v="5646"/>
    </bk>
    <bk>
      <rc t="2" v="5647"/>
    </bk>
    <bk>
      <rc t="2" v="5648"/>
    </bk>
    <bk>
      <rc t="2" v="5649"/>
    </bk>
    <bk>
      <rc t="2" v="5650"/>
    </bk>
    <bk>
      <rc t="2" v="5651"/>
    </bk>
    <bk>
      <rc t="2" v="5652"/>
    </bk>
    <bk>
      <rc t="2" v="5653"/>
    </bk>
    <bk>
      <rc t="2" v="5654"/>
    </bk>
    <bk>
      <rc t="2" v="5655"/>
    </bk>
    <bk>
      <rc t="2" v="5656"/>
    </bk>
    <bk>
      <rc t="2" v="5657"/>
    </bk>
    <bk>
      <rc t="2" v="5658"/>
    </bk>
    <bk>
      <rc t="2" v="5659"/>
    </bk>
    <bk>
      <rc t="2" v="5660"/>
    </bk>
    <bk>
      <rc t="2" v="5661"/>
    </bk>
    <bk>
      <rc t="2" v="5662"/>
    </bk>
    <bk>
      <rc t="2" v="5663"/>
    </bk>
    <bk>
      <rc t="2" v="5664"/>
    </bk>
    <bk>
      <rc t="2" v="5665"/>
    </bk>
    <bk>
      <rc t="2" v="5666"/>
    </bk>
    <bk>
      <rc t="2" v="5667"/>
    </bk>
    <bk>
      <rc t="2" v="5668"/>
    </bk>
    <bk>
      <rc t="2" v="5669"/>
    </bk>
    <bk>
      <rc t="2" v="5670"/>
    </bk>
    <bk>
      <rc t="2" v="5671"/>
    </bk>
    <bk>
      <rc t="2" v="5672"/>
    </bk>
    <bk>
      <rc t="2" v="5673"/>
    </bk>
    <bk>
      <rc t="2" v="5674"/>
    </bk>
    <bk>
      <rc t="2" v="5675"/>
    </bk>
    <bk>
      <rc t="2" v="5676"/>
    </bk>
    <bk>
      <rc t="2" v="5677"/>
    </bk>
    <bk>
      <rc t="2" v="5678"/>
    </bk>
    <bk>
      <rc t="2" v="5679"/>
    </bk>
    <bk>
      <rc t="2" v="5680"/>
    </bk>
    <bk>
      <rc t="2" v="5681"/>
    </bk>
    <bk>
      <rc t="2" v="5682"/>
    </bk>
    <bk>
      <rc t="2" v="5683"/>
    </bk>
    <bk>
      <rc t="2" v="5684"/>
    </bk>
    <bk>
      <rc t="2" v="5685"/>
    </bk>
    <bk>
      <rc t="2" v="5686"/>
    </bk>
    <bk>
      <rc t="2" v="5687"/>
    </bk>
    <bk>
      <rc t="2" v="5688"/>
    </bk>
    <bk>
      <rc t="2" v="5689"/>
    </bk>
    <bk>
      <rc t="2" v="5690"/>
    </bk>
    <bk>
      <rc t="2" v="5691"/>
    </bk>
    <bk>
      <rc t="2" v="5692"/>
    </bk>
    <bk>
      <rc t="2" v="5693"/>
    </bk>
    <bk>
      <rc t="2" v="5694"/>
    </bk>
    <bk>
      <rc t="2" v="5695"/>
    </bk>
    <bk>
      <rc t="2" v="5696"/>
    </bk>
    <bk>
      <rc t="2" v="5697"/>
    </bk>
    <bk>
      <rc t="2" v="5698"/>
    </bk>
    <bk>
      <rc t="2" v="5699"/>
    </bk>
    <bk>
      <rc t="2" v="5700"/>
    </bk>
    <bk>
      <rc t="2" v="5701"/>
    </bk>
    <bk>
      <rc t="2" v="5702"/>
    </bk>
    <bk>
      <rc t="2" v="5703"/>
    </bk>
    <bk>
      <rc t="2" v="5704"/>
    </bk>
    <bk>
      <rc t="2" v="5705"/>
    </bk>
    <bk>
      <rc t="2" v="5706"/>
    </bk>
    <bk>
      <rc t="2" v="5707"/>
    </bk>
    <bk>
      <rc t="2" v="5708"/>
    </bk>
    <bk>
      <rc t="2" v="5709"/>
    </bk>
    <bk>
      <rc t="2" v="5710"/>
    </bk>
    <bk>
      <rc t="2" v="5711"/>
    </bk>
    <bk>
      <rc t="2" v="5712"/>
    </bk>
    <bk>
      <rc t="2" v="5713"/>
    </bk>
    <bk>
      <rc t="2" v="5714"/>
    </bk>
    <bk>
      <rc t="2" v="5715"/>
    </bk>
    <bk>
      <rc t="2" v="5716"/>
    </bk>
    <bk>
      <rc t="2" v="5717"/>
    </bk>
    <bk>
      <rc t="2" v="5718"/>
    </bk>
    <bk>
      <rc t="2" v="5719"/>
    </bk>
    <bk>
      <rc t="2" v="5720"/>
    </bk>
    <bk>
      <rc t="2" v="5721"/>
    </bk>
    <bk>
      <rc t="2" v="5722"/>
    </bk>
    <bk>
      <rc t="2" v="5723"/>
    </bk>
    <bk>
      <rc t="2" v="5724"/>
    </bk>
    <bk>
      <rc t="2" v="5725"/>
    </bk>
    <bk>
      <rc t="2" v="5726"/>
    </bk>
    <bk>
      <rc t="2" v="5727"/>
    </bk>
    <bk>
      <rc t="2" v="5728"/>
    </bk>
    <bk>
      <rc t="2" v="5729"/>
    </bk>
    <bk>
      <rc t="2" v="5730"/>
    </bk>
    <bk>
      <rc t="2" v="5731"/>
    </bk>
    <bk>
      <rc t="2" v="5732"/>
    </bk>
    <bk>
      <rc t="2" v="5733"/>
    </bk>
    <bk>
      <rc t="2" v="5734"/>
    </bk>
    <bk>
      <rc t="2" v="5735"/>
    </bk>
    <bk>
      <rc t="2" v="5736"/>
    </bk>
    <bk>
      <rc t="2" v="5737"/>
    </bk>
    <bk>
      <rc t="2" v="5738"/>
    </bk>
    <bk>
      <rc t="2" v="5739"/>
    </bk>
    <bk>
      <rc t="2" v="5740"/>
    </bk>
    <bk>
      <rc t="2" v="5741"/>
    </bk>
    <bk>
      <rc t="2" v="5742"/>
    </bk>
    <bk>
      <rc t="2" v="5743"/>
    </bk>
    <bk>
      <rc t="2" v="5744"/>
    </bk>
    <bk>
      <rc t="2" v="5745"/>
    </bk>
    <bk>
      <rc t="2" v="5746"/>
    </bk>
    <bk>
      <rc t="2" v="5747"/>
    </bk>
    <bk>
      <rc t="2" v="5748"/>
    </bk>
    <bk>
      <rc t="2" v="5749"/>
    </bk>
    <bk>
      <rc t="2" v="5750"/>
    </bk>
    <bk>
      <rc t="2" v="5751"/>
    </bk>
    <bk>
      <rc t="2" v="5752"/>
    </bk>
    <bk>
      <rc t="2" v="5753"/>
    </bk>
    <bk>
      <rc t="2" v="5754"/>
    </bk>
    <bk>
      <rc t="2" v="5755"/>
    </bk>
    <bk>
      <rc t="2" v="5756"/>
    </bk>
    <bk>
      <rc t="2" v="5757"/>
    </bk>
    <bk>
      <rc t="2" v="5758"/>
    </bk>
    <bk>
      <rc t="2" v="5759"/>
    </bk>
    <bk>
      <rc t="2" v="5760"/>
    </bk>
    <bk>
      <rc t="2" v="5761"/>
    </bk>
    <bk>
      <rc t="2" v="5762"/>
    </bk>
    <bk>
      <rc t="2" v="5763"/>
    </bk>
    <bk>
      <rc t="2" v="5764"/>
    </bk>
    <bk>
      <rc t="2" v="5765"/>
    </bk>
    <bk>
      <rc t="2" v="5766"/>
    </bk>
    <bk>
      <rc t="2" v="5767"/>
    </bk>
    <bk>
      <rc t="2" v="5768"/>
    </bk>
    <bk>
      <rc t="2" v="5769"/>
    </bk>
    <bk>
      <rc t="2" v="5770"/>
    </bk>
    <bk>
      <rc t="2" v="5771"/>
    </bk>
    <bk>
      <rc t="2" v="5772"/>
    </bk>
    <bk>
      <rc t="2" v="5773"/>
    </bk>
    <bk>
      <rc t="2" v="5774"/>
    </bk>
    <bk>
      <rc t="2" v="5775"/>
    </bk>
    <bk>
      <rc t="2" v="5776"/>
    </bk>
    <bk>
      <rc t="2" v="5777"/>
    </bk>
    <bk>
      <rc t="2" v="5778"/>
    </bk>
    <bk>
      <rc t="2" v="5779"/>
    </bk>
    <bk>
      <rc t="2" v="5780"/>
    </bk>
    <bk>
      <rc t="2" v="5781"/>
    </bk>
    <bk>
      <rc t="2" v="5782"/>
    </bk>
    <bk>
      <rc t="2" v="5783"/>
    </bk>
    <bk>
      <rc t="2" v="5784"/>
    </bk>
    <bk>
      <rc t="2" v="5785"/>
    </bk>
    <bk>
      <rc t="2" v="5786"/>
    </bk>
    <bk>
      <rc t="2" v="5787"/>
    </bk>
    <bk>
      <rc t="2" v="5788"/>
    </bk>
    <bk>
      <rc t="2" v="5789"/>
    </bk>
    <bk>
      <rc t="2" v="5790"/>
    </bk>
    <bk>
      <rc t="2" v="5791"/>
    </bk>
    <bk>
      <rc t="2" v="5792"/>
    </bk>
    <bk>
      <rc t="2" v="5793"/>
    </bk>
    <bk>
      <rc t="2" v="5794"/>
    </bk>
    <bk>
      <rc t="2" v="5795"/>
    </bk>
    <bk>
      <rc t="2" v="5796"/>
    </bk>
    <bk>
      <rc t="2" v="5797"/>
    </bk>
    <bk>
      <rc t="2" v="5798"/>
    </bk>
    <bk>
      <rc t="2" v="5799"/>
    </bk>
    <bk>
      <rc t="2" v="5800"/>
    </bk>
    <bk>
      <rc t="2" v="5801"/>
    </bk>
    <bk>
      <rc t="2" v="5802"/>
    </bk>
    <bk>
      <rc t="2" v="5803"/>
    </bk>
    <bk>
      <rc t="2" v="5804"/>
    </bk>
    <bk>
      <rc t="2" v="5805"/>
    </bk>
    <bk>
      <rc t="2" v="5806"/>
    </bk>
    <bk>
      <rc t="2" v="5807"/>
    </bk>
    <bk>
      <rc t="2" v="5808"/>
    </bk>
    <bk>
      <rc t="2" v="5809"/>
    </bk>
    <bk>
      <rc t="2" v="5810"/>
    </bk>
    <bk>
      <rc t="2" v="5811"/>
    </bk>
    <bk>
      <rc t="2" v="5812"/>
    </bk>
    <bk>
      <rc t="2" v="5813"/>
    </bk>
    <bk>
      <rc t="2" v="5814"/>
    </bk>
    <bk>
      <rc t="2" v="5815"/>
    </bk>
    <bk>
      <rc t="2" v="5816"/>
    </bk>
    <bk>
      <rc t="2" v="5817"/>
    </bk>
    <bk>
      <rc t="2" v="5818"/>
    </bk>
    <bk>
      <rc t="2" v="5819"/>
    </bk>
    <bk>
      <rc t="2" v="5820"/>
    </bk>
    <bk>
      <rc t="2" v="5821"/>
    </bk>
    <bk>
      <rc t="2" v="5822"/>
    </bk>
    <bk>
      <rc t="2" v="5823"/>
    </bk>
    <bk>
      <rc t="2" v="5824"/>
    </bk>
    <bk>
      <rc t="2" v="5825"/>
    </bk>
    <bk>
      <rc t="2" v="5826"/>
    </bk>
    <bk>
      <rc t="2" v="5827"/>
    </bk>
    <bk>
      <rc t="2" v="5828"/>
    </bk>
    <bk>
      <rc t="2" v="5829"/>
    </bk>
    <bk>
      <rc t="2" v="5830"/>
    </bk>
    <bk>
      <rc t="2" v="5831"/>
    </bk>
    <bk>
      <rc t="2" v="5832"/>
    </bk>
    <bk>
      <rc t="2" v="5833"/>
    </bk>
    <bk>
      <rc t="2" v="5834"/>
    </bk>
    <bk>
      <rc t="2" v="5835"/>
    </bk>
    <bk>
      <rc t="2" v="5836"/>
    </bk>
    <bk>
      <rc t="2" v="5837"/>
    </bk>
    <bk>
      <rc t="2" v="5838"/>
    </bk>
    <bk>
      <rc t="2" v="5839"/>
    </bk>
    <bk>
      <rc t="2" v="5840"/>
    </bk>
    <bk>
      <rc t="2" v="5841"/>
    </bk>
    <bk>
      <rc t="2" v="5842"/>
    </bk>
    <bk>
      <rc t="2" v="5843"/>
    </bk>
    <bk>
      <rc t="2" v="5844"/>
    </bk>
    <bk>
      <rc t="2" v="5845"/>
    </bk>
    <bk>
      <rc t="2" v="5846"/>
    </bk>
    <bk>
      <rc t="2" v="5847"/>
    </bk>
    <bk>
      <rc t="2" v="5848"/>
    </bk>
    <bk>
      <rc t="2" v="5849"/>
    </bk>
    <bk>
      <rc t="2" v="5850"/>
    </bk>
    <bk>
      <rc t="2" v="5851"/>
    </bk>
    <bk>
      <rc t="2" v="5852"/>
    </bk>
    <bk>
      <rc t="2" v="5853"/>
    </bk>
    <bk>
      <rc t="2" v="5854"/>
    </bk>
    <bk>
      <rc t="2" v="5855"/>
    </bk>
    <bk>
      <rc t="2" v="5856"/>
    </bk>
    <bk>
      <rc t="2" v="5857"/>
    </bk>
    <bk>
      <rc t="2" v="5858"/>
    </bk>
    <bk>
      <rc t="2" v="5859"/>
    </bk>
    <bk>
      <rc t="2" v="5860"/>
    </bk>
    <bk>
      <rc t="2" v="5861"/>
    </bk>
    <bk>
      <rc t="2" v="5862"/>
    </bk>
    <bk>
      <rc t="2" v="5863"/>
    </bk>
    <bk>
      <rc t="2" v="5864"/>
    </bk>
    <bk>
      <rc t="2" v="5865"/>
    </bk>
    <bk>
      <rc t="2" v="5866"/>
    </bk>
    <bk>
      <rc t="2" v="5867"/>
    </bk>
    <bk>
      <rc t="2" v="5868"/>
    </bk>
    <bk>
      <rc t="2" v="5869"/>
    </bk>
    <bk>
      <rc t="2" v="5870"/>
    </bk>
    <bk>
      <rc t="2" v="5871"/>
    </bk>
    <bk>
      <rc t="2" v="5872"/>
    </bk>
    <bk>
      <rc t="2" v="5873"/>
    </bk>
    <bk>
      <rc t="2" v="5874"/>
    </bk>
    <bk>
      <rc t="2" v="5875"/>
    </bk>
    <bk>
      <rc t="2" v="5876"/>
    </bk>
    <bk>
      <rc t="2" v="5877"/>
    </bk>
    <bk>
      <rc t="2" v="5878"/>
    </bk>
    <bk>
      <rc t="2" v="5879"/>
    </bk>
    <bk>
      <rc t="2" v="5880"/>
    </bk>
    <bk>
      <rc t="2" v="5881"/>
    </bk>
    <bk>
      <rc t="2" v="5882"/>
    </bk>
    <bk>
      <rc t="2" v="5883"/>
    </bk>
    <bk>
      <rc t="2" v="5884"/>
    </bk>
    <bk>
      <rc t="2" v="5885"/>
    </bk>
    <bk>
      <rc t="2" v="5886"/>
    </bk>
    <bk>
      <rc t="2" v="5887"/>
    </bk>
    <bk>
      <rc t="2" v="5888"/>
    </bk>
    <bk>
      <rc t="2" v="5889"/>
    </bk>
    <bk>
      <rc t="2" v="5890"/>
    </bk>
    <bk>
      <rc t="2" v="5891"/>
    </bk>
    <bk>
      <rc t="2" v="5892"/>
    </bk>
    <bk>
      <rc t="2" v="5893"/>
    </bk>
    <bk>
      <rc t="2" v="5894"/>
    </bk>
    <bk>
      <rc t="2" v="5895"/>
    </bk>
    <bk>
      <rc t="2" v="5896"/>
    </bk>
    <bk>
      <rc t="2" v="5897"/>
    </bk>
    <bk>
      <rc t="2" v="5898"/>
    </bk>
    <bk>
      <rc t="2" v="5899"/>
    </bk>
    <bk>
      <rc t="2" v="5900"/>
    </bk>
    <bk>
      <rc t="2" v="5901"/>
    </bk>
    <bk>
      <rc t="2" v="5902"/>
    </bk>
    <bk>
      <rc t="2" v="5903"/>
    </bk>
    <bk>
      <rc t="2" v="5904"/>
    </bk>
    <bk>
      <rc t="2" v="5905"/>
    </bk>
    <bk>
      <rc t="2" v="5906"/>
    </bk>
    <bk>
      <rc t="2" v="5907"/>
    </bk>
    <bk>
      <rc t="2" v="5908"/>
    </bk>
    <bk>
      <rc t="2" v="5909"/>
    </bk>
    <bk>
      <rc t="2" v="5910"/>
    </bk>
    <bk>
      <rc t="2" v="5911"/>
    </bk>
    <bk>
      <rc t="2" v="5912"/>
    </bk>
    <bk>
      <rc t="2" v="5913"/>
    </bk>
    <bk>
      <rc t="2" v="5914"/>
    </bk>
    <bk>
      <rc t="2" v="5915"/>
    </bk>
    <bk>
      <rc t="2" v="5916"/>
    </bk>
    <bk>
      <rc t="2" v="5917"/>
    </bk>
    <bk>
      <rc t="2" v="5918"/>
    </bk>
    <bk>
      <rc t="2" v="5919"/>
    </bk>
    <bk>
      <rc t="2" v="5920"/>
    </bk>
    <bk>
      <rc t="2" v="5921"/>
    </bk>
    <bk>
      <rc t="2" v="5922"/>
    </bk>
    <bk>
      <rc t="2" v="5923"/>
    </bk>
    <bk>
      <rc t="2" v="5924"/>
    </bk>
    <bk>
      <rc t="2" v="5925"/>
    </bk>
    <bk>
      <rc t="2" v="5926"/>
    </bk>
    <bk>
      <rc t="2" v="5927"/>
    </bk>
    <bk>
      <rc t="2" v="5928"/>
    </bk>
    <bk>
      <rc t="2" v="5929"/>
    </bk>
    <bk>
      <rc t="2" v="5930"/>
    </bk>
    <bk>
      <rc t="2" v="5931"/>
    </bk>
    <bk>
      <rc t="2" v="5932"/>
    </bk>
    <bk>
      <rc t="2" v="5933"/>
    </bk>
    <bk>
      <rc t="2" v="5934"/>
    </bk>
    <bk>
      <rc t="2" v="5935"/>
    </bk>
    <bk>
      <rc t="2" v="5936"/>
    </bk>
    <bk>
      <rc t="2" v="5937"/>
    </bk>
    <bk>
      <rc t="2" v="5938"/>
    </bk>
    <bk>
      <rc t="2" v="5939"/>
    </bk>
    <bk>
      <rc t="2" v="5940"/>
    </bk>
    <bk>
      <rc t="2" v="5941"/>
    </bk>
    <bk>
      <rc t="2" v="5942"/>
    </bk>
    <bk>
      <rc t="2" v="5943"/>
    </bk>
    <bk>
      <rc t="2" v="5944"/>
    </bk>
    <bk>
      <rc t="2" v="5945"/>
    </bk>
    <bk>
      <rc t="2" v="5946"/>
    </bk>
    <bk>
      <rc t="2" v="5947"/>
    </bk>
    <bk>
      <rc t="2" v="5948"/>
    </bk>
    <bk>
      <rc t="2" v="5949"/>
    </bk>
    <bk>
      <rc t="2" v="5950"/>
    </bk>
    <bk>
      <rc t="2" v="5951"/>
    </bk>
    <bk>
      <rc t="2" v="5952"/>
    </bk>
    <bk>
      <rc t="2" v="5953"/>
    </bk>
    <bk>
      <rc t="2" v="5954"/>
    </bk>
    <bk>
      <rc t="2" v="5955"/>
    </bk>
    <bk>
      <rc t="2" v="5956"/>
    </bk>
    <bk>
      <rc t="2" v="5957"/>
    </bk>
    <bk>
      <rc t="2" v="5958"/>
    </bk>
    <bk>
      <rc t="2" v="5959"/>
    </bk>
    <bk>
      <rc t="2" v="5960"/>
    </bk>
    <bk>
      <rc t="2" v="5961"/>
    </bk>
    <bk>
      <rc t="2" v="5962"/>
    </bk>
    <bk>
      <rc t="2" v="5963"/>
    </bk>
    <bk>
      <rc t="2" v="5964"/>
    </bk>
    <bk>
      <rc t="2" v="5965"/>
    </bk>
    <bk>
      <rc t="2" v="5966"/>
    </bk>
    <bk>
      <rc t="2" v="5967"/>
    </bk>
    <bk>
      <rc t="2" v="5968"/>
    </bk>
    <bk>
      <rc t="2" v="5969"/>
    </bk>
    <bk>
      <rc t="2" v="5970"/>
    </bk>
    <bk>
      <rc t="2" v="5971"/>
    </bk>
    <bk>
      <rc t="2" v="5972"/>
    </bk>
    <bk>
      <rc t="2" v="5973"/>
    </bk>
    <bk>
      <rc t="2" v="5974"/>
    </bk>
    <bk>
      <rc t="2" v="5975"/>
    </bk>
    <bk>
      <rc t="2" v="5976"/>
    </bk>
    <bk>
      <rc t="2" v="5977"/>
    </bk>
    <bk>
      <rc t="2" v="5978"/>
    </bk>
    <bk>
      <rc t="2" v="5979"/>
    </bk>
    <bk>
      <rc t="2" v="5980"/>
    </bk>
    <bk>
      <rc t="2" v="5981"/>
    </bk>
    <bk>
      <rc t="2" v="5982"/>
    </bk>
    <bk>
      <rc t="2" v="5983"/>
    </bk>
    <bk>
      <rc t="2" v="5984"/>
    </bk>
    <bk>
      <rc t="2" v="5985"/>
    </bk>
    <bk>
      <rc t="2" v="5986"/>
    </bk>
    <bk>
      <rc t="2" v="5987"/>
    </bk>
    <bk>
      <rc t="2" v="5988"/>
    </bk>
    <bk>
      <rc t="2" v="5989"/>
    </bk>
    <bk>
      <rc t="2" v="5990"/>
    </bk>
    <bk>
      <rc t="2" v="5991"/>
    </bk>
    <bk>
      <rc t="2" v="5992"/>
    </bk>
    <bk>
      <rc t="2" v="5993"/>
    </bk>
    <bk>
      <rc t="2" v="5994"/>
    </bk>
    <bk>
      <rc t="2" v="5995"/>
    </bk>
    <bk>
      <rc t="2" v="5996"/>
    </bk>
    <bk>
      <rc t="2" v="5997"/>
    </bk>
    <bk>
      <rc t="2" v="5998"/>
    </bk>
    <bk>
      <rc t="2" v="5999"/>
    </bk>
    <bk>
      <rc t="2" v="6000"/>
    </bk>
    <bk>
      <rc t="2" v="6001"/>
    </bk>
    <bk>
      <rc t="2" v="6002"/>
    </bk>
    <bk>
      <rc t="2" v="6003"/>
    </bk>
    <bk>
      <rc t="2" v="6004"/>
    </bk>
    <bk>
      <rc t="2" v="6005"/>
    </bk>
    <bk>
      <rc t="2" v="6006"/>
    </bk>
    <bk>
      <rc t="2" v="6007"/>
    </bk>
    <bk>
      <rc t="2" v="6008"/>
    </bk>
    <bk>
      <rc t="2" v="6009"/>
    </bk>
    <bk>
      <rc t="2" v="6010"/>
    </bk>
    <bk>
      <rc t="2" v="6011"/>
    </bk>
    <bk>
      <rc t="2" v="6012"/>
    </bk>
    <bk>
      <rc t="2" v="6013"/>
    </bk>
    <bk>
      <rc t="2" v="6014"/>
    </bk>
    <bk>
      <rc t="2" v="6015"/>
    </bk>
    <bk>
      <rc t="2" v="6016"/>
    </bk>
    <bk>
      <rc t="2" v="6017"/>
    </bk>
    <bk>
      <rc t="2" v="6018"/>
    </bk>
    <bk>
      <rc t="2" v="6019"/>
    </bk>
    <bk>
      <rc t="2" v="6020"/>
    </bk>
    <bk>
      <rc t="2" v="6021"/>
    </bk>
    <bk>
      <rc t="2" v="6022"/>
    </bk>
    <bk>
      <rc t="2" v="6023"/>
    </bk>
    <bk>
      <rc t="2" v="6024"/>
    </bk>
    <bk>
      <rc t="2" v="6025"/>
    </bk>
    <bk>
      <rc t="2" v="6026"/>
    </bk>
    <bk>
      <rc t="2" v="6027"/>
    </bk>
    <bk>
      <rc t="2" v="6028"/>
    </bk>
    <bk>
      <rc t="2" v="6029"/>
    </bk>
    <bk>
      <rc t="2" v="6030"/>
    </bk>
    <bk>
      <rc t="2" v="6031"/>
    </bk>
    <bk>
      <rc t="2" v="6032"/>
    </bk>
    <bk>
      <rc t="2" v="6033"/>
    </bk>
    <bk>
      <rc t="2" v="6034"/>
    </bk>
    <bk>
      <rc t="2" v="6035"/>
    </bk>
    <bk>
      <rc t="2" v="6036"/>
    </bk>
    <bk>
      <rc t="2" v="6037"/>
    </bk>
    <bk>
      <rc t="2" v="6038"/>
    </bk>
    <bk>
      <rc t="2" v="6039"/>
    </bk>
    <bk>
      <rc t="2" v="6040"/>
    </bk>
    <bk>
      <rc t="2" v="6041"/>
    </bk>
    <bk>
      <rc t="2" v="6042"/>
    </bk>
    <bk>
      <rc t="2" v="6043"/>
    </bk>
    <bk>
      <rc t="2" v="6044"/>
    </bk>
    <bk>
      <rc t="2" v="6045"/>
    </bk>
    <bk>
      <rc t="2" v="6046"/>
    </bk>
    <bk>
      <rc t="2" v="6047"/>
    </bk>
    <bk>
      <rc t="2" v="6048"/>
    </bk>
    <bk>
      <rc t="2" v="6049"/>
    </bk>
    <bk>
      <rc t="2" v="6050"/>
    </bk>
    <bk>
      <rc t="2" v="6051"/>
    </bk>
    <bk>
      <rc t="2" v="6052"/>
    </bk>
    <bk>
      <rc t="2" v="6053"/>
    </bk>
    <bk>
      <rc t="2" v="6054"/>
    </bk>
    <bk>
      <rc t="2" v="6055"/>
    </bk>
    <bk>
      <rc t="2" v="6056"/>
    </bk>
    <bk>
      <rc t="2" v="6057"/>
    </bk>
    <bk>
      <rc t="2" v="6058"/>
    </bk>
    <bk>
      <rc t="2" v="6059"/>
    </bk>
    <bk>
      <rc t="2" v="6060"/>
    </bk>
    <bk>
      <rc t="2" v="6061"/>
    </bk>
    <bk>
      <rc t="2" v="6062"/>
    </bk>
    <bk>
      <rc t="2" v="6063"/>
    </bk>
    <bk>
      <rc t="2" v="6064"/>
    </bk>
    <bk>
      <rc t="2" v="6065"/>
    </bk>
    <bk>
      <rc t="2" v="6066"/>
    </bk>
    <bk>
      <rc t="2" v="6067"/>
    </bk>
    <bk>
      <rc t="2" v="6068"/>
    </bk>
    <bk>
      <rc t="2" v="6069"/>
    </bk>
    <bk>
      <rc t="2" v="6070"/>
    </bk>
    <bk>
      <rc t="2" v="6071"/>
    </bk>
    <bk>
      <rc t="2" v="6072"/>
    </bk>
    <bk>
      <rc t="2" v="6073"/>
    </bk>
    <bk>
      <rc t="2" v="6074"/>
    </bk>
    <bk>
      <rc t="2" v="6075"/>
    </bk>
    <bk>
      <rc t="2" v="6076"/>
    </bk>
    <bk>
      <rc t="2" v="6077"/>
    </bk>
    <bk>
      <rc t="2" v="6078"/>
    </bk>
    <bk>
      <rc t="2" v="6079"/>
    </bk>
    <bk>
      <rc t="2" v="6080"/>
    </bk>
    <bk>
      <rc t="2" v="6081"/>
    </bk>
    <bk>
      <rc t="2" v="6082"/>
    </bk>
    <bk>
      <rc t="2" v="6083"/>
    </bk>
    <bk>
      <rc t="2" v="6084"/>
    </bk>
    <bk>
      <rc t="2" v="6085"/>
    </bk>
    <bk>
      <rc t="2" v="6086"/>
    </bk>
    <bk>
      <rc t="2" v="6087"/>
    </bk>
    <bk>
      <rc t="2" v="6088"/>
    </bk>
    <bk>
      <rc t="2" v="6089"/>
    </bk>
    <bk>
      <rc t="2" v="6090"/>
    </bk>
    <bk>
      <rc t="2" v="6091"/>
    </bk>
    <bk>
      <rc t="2" v="6092"/>
    </bk>
    <bk>
      <rc t="2" v="6093"/>
    </bk>
    <bk>
      <rc t="2" v="6094"/>
    </bk>
    <bk>
      <rc t="2" v="6095"/>
    </bk>
    <bk>
      <rc t="2" v="6096"/>
    </bk>
    <bk>
      <rc t="2" v="6097"/>
    </bk>
    <bk>
      <rc t="2" v="6098"/>
    </bk>
    <bk>
      <rc t="2" v="6099"/>
    </bk>
    <bk>
      <rc t="2" v="6100"/>
    </bk>
    <bk>
      <rc t="2" v="6101"/>
    </bk>
    <bk>
      <rc t="2" v="6102"/>
    </bk>
    <bk>
      <rc t="2" v="6103"/>
    </bk>
    <bk>
      <rc t="2" v="6104"/>
    </bk>
    <bk>
      <rc t="2" v="6105"/>
    </bk>
    <bk>
      <rc t="2" v="6106"/>
    </bk>
    <bk>
      <rc t="2" v="6107"/>
    </bk>
    <bk>
      <rc t="2" v="6108"/>
    </bk>
    <bk>
      <rc t="2" v="6109"/>
    </bk>
    <bk>
      <rc t="2" v="6110"/>
    </bk>
    <bk>
      <rc t="2" v="6111"/>
    </bk>
    <bk>
      <rc t="2" v="6112"/>
    </bk>
    <bk>
      <rc t="2" v="6113"/>
    </bk>
    <bk>
      <rc t="2" v="6114"/>
    </bk>
    <bk>
      <rc t="2" v="6115"/>
    </bk>
    <bk>
      <rc t="2" v="6116"/>
    </bk>
    <bk>
      <rc t="2" v="6117"/>
    </bk>
    <bk>
      <rc t="2" v="6118"/>
    </bk>
    <bk>
      <rc t="2" v="6119"/>
    </bk>
    <bk>
      <rc t="2" v="6120"/>
    </bk>
    <bk>
      <rc t="2" v="6121"/>
    </bk>
    <bk>
      <rc t="2" v="6122"/>
    </bk>
    <bk>
      <rc t="2" v="6123"/>
    </bk>
    <bk>
      <rc t="2" v="6124"/>
    </bk>
    <bk>
      <rc t="2" v="6125"/>
    </bk>
    <bk>
      <rc t="2" v="6126"/>
    </bk>
    <bk>
      <rc t="2" v="6127"/>
    </bk>
    <bk>
      <rc t="2" v="6128"/>
    </bk>
    <bk>
      <rc t="2" v="6129"/>
    </bk>
    <bk>
      <rc t="2" v="6130"/>
    </bk>
    <bk>
      <rc t="2" v="6131"/>
    </bk>
    <bk>
      <rc t="2" v="6132"/>
    </bk>
    <bk>
      <rc t="2" v="6133"/>
    </bk>
    <bk>
      <rc t="2" v="6134"/>
    </bk>
    <bk>
      <rc t="2" v="6135"/>
    </bk>
    <bk>
      <rc t="2" v="6136"/>
    </bk>
    <bk>
      <rc t="2" v="6137"/>
    </bk>
    <bk>
      <rc t="2" v="6138"/>
    </bk>
    <bk>
      <rc t="2" v="6139"/>
    </bk>
    <bk>
      <rc t="2" v="6140"/>
    </bk>
    <bk>
      <rc t="2" v="6141"/>
    </bk>
    <bk>
      <rc t="2" v="6142"/>
    </bk>
    <bk>
      <rc t="2" v="6143"/>
    </bk>
    <bk>
      <rc t="2" v="6144"/>
    </bk>
    <bk>
      <rc t="2" v="6145"/>
    </bk>
    <bk>
      <rc t="2" v="6146"/>
    </bk>
    <bk>
      <rc t="2" v="6147"/>
    </bk>
    <bk>
      <rc t="2" v="6148"/>
    </bk>
    <bk>
      <rc t="2" v="6149"/>
    </bk>
    <bk>
      <rc t="2" v="6150"/>
    </bk>
    <bk>
      <rc t="2" v="6151"/>
    </bk>
    <bk>
      <rc t="2" v="6152"/>
    </bk>
    <bk>
      <rc t="2" v="6153"/>
    </bk>
    <bk>
      <rc t="2" v="6154"/>
    </bk>
    <bk>
      <rc t="2" v="6155"/>
    </bk>
    <bk>
      <rc t="2" v="6156"/>
    </bk>
    <bk>
      <rc t="2" v="6157"/>
    </bk>
    <bk>
      <rc t="2" v="6158"/>
    </bk>
    <bk>
      <rc t="2" v="6159"/>
    </bk>
    <bk>
      <rc t="2" v="6160"/>
    </bk>
    <bk>
      <rc t="2" v="6161"/>
    </bk>
    <bk>
      <rc t="2" v="6162"/>
    </bk>
    <bk>
      <rc t="2" v="6163"/>
    </bk>
    <bk>
      <rc t="2" v="6164"/>
    </bk>
    <bk>
      <rc t="2" v="6165"/>
    </bk>
    <bk>
      <rc t="2" v="6166"/>
    </bk>
    <bk>
      <rc t="2" v="6167"/>
    </bk>
    <bk>
      <rc t="2" v="6168"/>
    </bk>
    <bk>
      <rc t="2" v="6169"/>
    </bk>
    <bk>
      <rc t="2" v="6170"/>
    </bk>
    <bk>
      <rc t="2" v="6171"/>
    </bk>
    <bk>
      <rc t="2" v="6172"/>
    </bk>
    <bk>
      <rc t="2" v="6173"/>
    </bk>
    <bk>
      <rc t="2" v="6174"/>
    </bk>
    <bk>
      <rc t="2" v="6175"/>
    </bk>
    <bk>
      <rc t="2" v="6176"/>
    </bk>
    <bk>
      <rc t="2" v="6177"/>
    </bk>
    <bk>
      <rc t="2" v="6178"/>
    </bk>
    <bk>
      <rc t="2" v="6179"/>
    </bk>
    <bk>
      <rc t="2" v="6180"/>
    </bk>
    <bk>
      <rc t="2" v="6181"/>
    </bk>
    <bk>
      <rc t="2" v="6182"/>
    </bk>
    <bk>
      <rc t="2" v="6183"/>
    </bk>
    <bk>
      <rc t="2" v="6184"/>
    </bk>
    <bk>
      <rc t="2" v="6185"/>
    </bk>
    <bk>
      <rc t="2" v="6186"/>
    </bk>
    <bk>
      <rc t="2" v="6187"/>
    </bk>
    <bk>
      <rc t="2" v="6188"/>
    </bk>
    <bk>
      <rc t="2" v="6189"/>
    </bk>
    <bk>
      <rc t="2" v="6190"/>
    </bk>
    <bk>
      <rc t="2" v="6191"/>
    </bk>
    <bk>
      <rc t="2" v="6192"/>
    </bk>
    <bk>
      <rc t="2" v="6193"/>
    </bk>
    <bk>
      <rc t="2" v="6194"/>
    </bk>
    <bk>
      <rc t="2" v="6195"/>
    </bk>
    <bk>
      <rc t="2" v="6196"/>
    </bk>
    <bk>
      <rc t="2" v="6197"/>
    </bk>
    <bk>
      <rc t="2" v="6198"/>
    </bk>
    <bk>
      <rc t="2" v="6199"/>
    </bk>
    <bk>
      <rc t="2" v="6200"/>
    </bk>
    <bk>
      <rc t="2" v="6201"/>
    </bk>
    <bk>
      <rc t="2" v="6202"/>
    </bk>
    <bk>
      <rc t="2" v="6203"/>
    </bk>
    <bk>
      <rc t="2" v="6204"/>
    </bk>
    <bk>
      <rc t="2" v="6205"/>
    </bk>
    <bk>
      <rc t="2" v="6206"/>
    </bk>
    <bk>
      <rc t="2" v="6207"/>
    </bk>
    <bk>
      <rc t="2" v="6208"/>
    </bk>
    <bk>
      <rc t="2" v="6209"/>
    </bk>
    <bk>
      <rc t="2" v="6210"/>
    </bk>
    <bk>
      <rc t="2" v="6211"/>
    </bk>
    <bk>
      <rc t="2" v="6212"/>
    </bk>
    <bk>
      <rc t="2" v="6213"/>
    </bk>
    <bk>
      <rc t="2" v="6214"/>
    </bk>
    <bk>
      <rc t="2" v="6215"/>
    </bk>
    <bk>
      <rc t="2" v="6216"/>
    </bk>
    <bk>
      <rc t="2" v="6217"/>
    </bk>
    <bk>
      <rc t="2" v="6218"/>
    </bk>
    <bk>
      <rc t="2" v="6219"/>
    </bk>
    <bk>
      <rc t="2" v="6220"/>
    </bk>
    <bk>
      <rc t="2" v="6221"/>
    </bk>
    <bk>
      <rc t="2" v="6222"/>
    </bk>
    <bk>
      <rc t="2" v="6223"/>
    </bk>
    <bk>
      <rc t="2" v="6224"/>
    </bk>
    <bk>
      <rc t="2" v="6225"/>
    </bk>
    <bk>
      <rc t="2" v="6226"/>
    </bk>
    <bk>
      <rc t="2" v="6227"/>
    </bk>
    <bk>
      <rc t="2" v="6228"/>
    </bk>
    <bk>
      <rc t="2" v="6229"/>
    </bk>
    <bk>
      <rc t="2" v="6230"/>
    </bk>
    <bk>
      <rc t="2" v="6231"/>
    </bk>
    <bk>
      <rc t="2" v="6232"/>
    </bk>
    <bk>
      <rc t="2" v="6233"/>
    </bk>
    <bk>
      <rc t="2" v="6234"/>
    </bk>
    <bk>
      <rc t="2" v="6235"/>
    </bk>
    <bk>
      <rc t="2" v="6236"/>
    </bk>
    <bk>
      <rc t="2" v="6237"/>
    </bk>
    <bk>
      <rc t="2" v="6238"/>
    </bk>
    <bk>
      <rc t="2" v="6239"/>
    </bk>
    <bk>
      <rc t="2" v="6240"/>
    </bk>
    <bk>
      <rc t="2" v="6241"/>
    </bk>
    <bk>
      <rc t="2" v="6242"/>
    </bk>
    <bk>
      <rc t="2" v="6243"/>
    </bk>
    <bk>
      <rc t="2" v="6244"/>
    </bk>
    <bk>
      <rc t="2" v="6245"/>
    </bk>
    <bk>
      <rc t="2" v="6246"/>
    </bk>
    <bk>
      <rc t="2" v="6247"/>
    </bk>
    <bk>
      <rc t="2" v="6248"/>
    </bk>
    <bk>
      <rc t="2" v="6249"/>
    </bk>
    <bk>
      <rc t="2" v="6250"/>
    </bk>
    <bk>
      <rc t="2" v="6251"/>
    </bk>
    <bk>
      <rc t="2" v="6252"/>
    </bk>
    <bk>
      <rc t="2" v="6253"/>
    </bk>
    <bk>
      <rc t="2" v="6254"/>
    </bk>
    <bk>
      <rc t="2" v="6255"/>
    </bk>
    <bk>
      <rc t="2" v="6256"/>
    </bk>
    <bk>
      <rc t="2" v="6257"/>
    </bk>
    <bk>
      <rc t="2" v="6258"/>
    </bk>
    <bk>
      <rc t="2" v="6259"/>
    </bk>
    <bk>
      <rc t="2" v="6260"/>
    </bk>
    <bk>
      <rc t="2" v="6261"/>
    </bk>
    <bk>
      <rc t="2" v="6262"/>
    </bk>
    <bk>
      <rc t="2" v="6263"/>
    </bk>
    <bk>
      <rc t="2" v="6264"/>
    </bk>
    <bk>
      <rc t="2" v="6265"/>
    </bk>
    <bk>
      <rc t="2" v="6266"/>
    </bk>
    <bk>
      <rc t="2" v="6267"/>
    </bk>
    <bk>
      <rc t="2" v="6268"/>
    </bk>
    <bk>
      <rc t="2" v="6269"/>
    </bk>
    <bk>
      <rc t="2" v="6270"/>
    </bk>
    <bk>
      <rc t="2" v="6271"/>
    </bk>
    <bk>
      <rc t="2" v="6272"/>
    </bk>
    <bk>
      <rc t="2" v="6273"/>
    </bk>
    <bk>
      <rc t="2" v="6274"/>
    </bk>
    <bk>
      <rc t="2" v="6275"/>
    </bk>
    <bk>
      <rc t="2" v="6276"/>
    </bk>
    <bk>
      <rc t="2" v="6277"/>
    </bk>
    <bk>
      <rc t="2" v="6278"/>
    </bk>
    <bk>
      <rc t="2" v="6279"/>
    </bk>
    <bk>
      <rc t="2" v="6280"/>
    </bk>
    <bk>
      <rc t="2" v="6281"/>
    </bk>
    <bk>
      <rc t="2" v="6282"/>
    </bk>
    <bk>
      <rc t="2" v="6283"/>
    </bk>
    <bk>
      <rc t="2" v="6284"/>
    </bk>
    <bk>
      <rc t="2" v="6285"/>
    </bk>
    <bk>
      <rc t="2" v="6286"/>
    </bk>
    <bk>
      <rc t="2" v="6287"/>
    </bk>
    <bk>
      <rc t="2" v="6288"/>
    </bk>
    <bk>
      <rc t="2" v="6289"/>
    </bk>
    <bk>
      <rc t="2" v="6290"/>
    </bk>
    <bk>
      <rc t="2" v="6291"/>
    </bk>
    <bk>
      <rc t="2" v="6292"/>
    </bk>
    <bk>
      <rc t="2" v="6293"/>
    </bk>
    <bk>
      <rc t="2" v="6294"/>
    </bk>
    <bk>
      <rc t="2" v="6295"/>
    </bk>
    <bk>
      <rc t="2" v="6296"/>
    </bk>
    <bk>
      <rc t="2" v="6297"/>
    </bk>
    <bk>
      <rc t="2" v="6298"/>
    </bk>
    <bk>
      <rc t="2" v="6299"/>
    </bk>
    <bk>
      <rc t="2" v="6300"/>
    </bk>
    <bk>
      <rc t="2" v="6301"/>
    </bk>
    <bk>
      <rc t="2" v="6302"/>
    </bk>
    <bk>
      <rc t="2" v="6303"/>
    </bk>
    <bk>
      <rc t="2" v="6304"/>
    </bk>
    <bk>
      <rc t="2" v="6305"/>
    </bk>
    <bk>
      <rc t="2" v="6306"/>
    </bk>
    <bk>
      <rc t="2" v="6307"/>
    </bk>
    <bk>
      <rc t="2" v="6308"/>
    </bk>
    <bk>
      <rc t="2" v="6309"/>
    </bk>
    <bk>
      <rc t="2" v="6310"/>
    </bk>
    <bk>
      <rc t="2" v="6311"/>
    </bk>
    <bk>
      <rc t="2" v="6312"/>
    </bk>
    <bk>
      <rc t="2" v="6313"/>
    </bk>
    <bk>
      <rc t="2" v="6314"/>
    </bk>
    <bk>
      <rc t="2" v="6315"/>
    </bk>
    <bk>
      <rc t="2" v="6316"/>
    </bk>
    <bk>
      <rc t="2" v="6317"/>
    </bk>
    <bk>
      <rc t="2" v="6318"/>
    </bk>
    <bk>
      <rc t="2" v="6319"/>
    </bk>
    <bk>
      <rc t="2" v="6320"/>
    </bk>
    <bk>
      <rc t="2" v="6321"/>
    </bk>
    <bk>
      <rc t="2" v="6322"/>
    </bk>
    <bk>
      <rc t="2" v="6323"/>
    </bk>
    <bk>
      <rc t="2" v="6324"/>
    </bk>
    <bk>
      <rc t="2" v="6325"/>
    </bk>
    <bk>
      <rc t="2" v="6326"/>
    </bk>
    <bk>
      <rc t="2" v="6327"/>
    </bk>
    <bk>
      <rc t="2" v="6328"/>
    </bk>
    <bk>
      <rc t="2" v="6329"/>
    </bk>
    <bk>
      <rc t="2" v="6330"/>
    </bk>
    <bk>
      <rc t="2" v="6331"/>
    </bk>
    <bk>
      <rc t="2" v="6332"/>
    </bk>
    <bk>
      <rc t="2" v="6333"/>
    </bk>
    <bk>
      <rc t="2" v="6334"/>
    </bk>
    <bk>
      <rc t="2" v="6335"/>
    </bk>
    <bk>
      <rc t="2" v="6336"/>
    </bk>
    <bk>
      <rc t="2" v="6337"/>
    </bk>
    <bk>
      <rc t="2" v="6338"/>
    </bk>
    <bk>
      <rc t="2" v="6339"/>
    </bk>
    <bk>
      <rc t="2" v="6340"/>
    </bk>
    <bk>
      <rc t="2" v="6341"/>
    </bk>
    <bk>
      <rc t="2" v="6342"/>
    </bk>
    <bk>
      <rc t="2" v="6343"/>
    </bk>
    <bk>
      <rc t="2" v="6344"/>
    </bk>
    <bk>
      <rc t="2" v="6345"/>
    </bk>
    <bk>
      <rc t="2" v="6346"/>
    </bk>
    <bk>
      <rc t="2" v="6347"/>
    </bk>
    <bk>
      <rc t="2" v="6348"/>
    </bk>
    <bk>
      <rc t="2" v="6349"/>
    </bk>
    <bk>
      <rc t="2" v="6350"/>
    </bk>
    <bk>
      <rc t="2" v="6351"/>
    </bk>
    <bk>
      <rc t="2" v="6352"/>
    </bk>
    <bk>
      <rc t="2" v="6353"/>
    </bk>
    <bk>
      <rc t="2" v="6354"/>
    </bk>
    <bk>
      <rc t="2" v="6355"/>
    </bk>
    <bk>
      <rc t="2" v="6356"/>
    </bk>
    <bk>
      <rc t="2" v="6357"/>
    </bk>
    <bk>
      <rc t="2" v="6358"/>
    </bk>
    <bk>
      <rc t="2" v="6359"/>
    </bk>
    <bk>
      <rc t="2" v="6360"/>
    </bk>
    <bk>
      <rc t="2" v="6361"/>
    </bk>
    <bk>
      <rc t="2" v="6362"/>
    </bk>
    <bk>
      <rc t="2" v="6363"/>
    </bk>
    <bk>
      <rc t="2" v="6364"/>
    </bk>
    <bk>
      <rc t="2" v="6365"/>
    </bk>
    <bk>
      <rc t="2" v="6366"/>
    </bk>
    <bk>
      <rc t="2" v="6367"/>
    </bk>
    <bk>
      <rc t="2" v="6368"/>
    </bk>
    <bk>
      <rc t="2" v="6369"/>
    </bk>
    <bk>
      <rc t="2" v="6370"/>
    </bk>
    <bk>
      <rc t="2" v="6371"/>
    </bk>
    <bk>
      <rc t="2" v="6372"/>
    </bk>
    <bk>
      <rc t="2" v="6373"/>
    </bk>
    <bk>
      <rc t="2" v="6374"/>
    </bk>
    <bk>
      <rc t="2" v="6375"/>
    </bk>
    <bk>
      <rc t="2" v="6376"/>
    </bk>
    <bk>
      <rc t="2" v="6377"/>
    </bk>
    <bk>
      <rc t="2" v="6378"/>
    </bk>
    <bk>
      <rc t="2" v="6379"/>
    </bk>
    <bk>
      <rc t="2" v="6380"/>
    </bk>
    <bk>
      <rc t="2" v="6381"/>
    </bk>
    <bk>
      <rc t="2" v="6382"/>
    </bk>
    <bk>
      <rc t="2" v="6383"/>
    </bk>
    <bk>
      <rc t="2" v="6384"/>
    </bk>
    <bk>
      <rc t="2" v="6385"/>
    </bk>
    <bk>
      <rc t="2" v="6386"/>
    </bk>
    <bk>
      <rc t="2" v="6387"/>
    </bk>
    <bk>
      <rc t="2" v="6388"/>
    </bk>
    <bk>
      <rc t="2" v="6389"/>
    </bk>
    <bk>
      <rc t="2" v="6390"/>
    </bk>
    <bk>
      <rc t="2" v="6391"/>
    </bk>
    <bk>
      <rc t="2" v="6392"/>
    </bk>
    <bk>
      <rc t="2" v="6393"/>
    </bk>
    <bk>
      <rc t="2" v="6394"/>
    </bk>
    <bk>
      <rc t="2" v="6395"/>
    </bk>
    <bk>
      <rc t="2" v="6396"/>
    </bk>
    <bk>
      <rc t="2" v="6397"/>
    </bk>
    <bk>
      <rc t="2" v="6398"/>
    </bk>
    <bk>
      <rc t="2" v="6399"/>
    </bk>
    <bk>
      <rc t="2" v="6400"/>
    </bk>
    <bk>
      <rc t="2" v="6401"/>
    </bk>
    <bk>
      <rc t="2" v="6402"/>
    </bk>
    <bk>
      <rc t="2" v="6403"/>
    </bk>
    <bk>
      <rc t="2" v="6404"/>
    </bk>
    <bk>
      <rc t="2" v="6405"/>
    </bk>
    <bk>
      <rc t="2" v="6406"/>
    </bk>
    <bk>
      <rc t="2" v="6407"/>
    </bk>
    <bk>
      <rc t="2" v="6408"/>
    </bk>
    <bk>
      <rc t="2" v="6409"/>
    </bk>
    <bk>
      <rc t="2" v="6410"/>
    </bk>
    <bk>
      <rc t="2" v="6411"/>
    </bk>
    <bk>
      <rc t="2" v="6412"/>
    </bk>
    <bk>
      <rc t="2" v="6413"/>
    </bk>
    <bk>
      <rc t="2" v="6414"/>
    </bk>
    <bk>
      <rc t="2" v="6415"/>
    </bk>
    <bk>
      <rc t="2" v="6416"/>
    </bk>
    <bk>
      <rc t="2" v="6417"/>
    </bk>
    <bk>
      <rc t="2" v="6418"/>
    </bk>
    <bk>
      <rc t="2" v="6419"/>
    </bk>
    <bk>
      <rc t="2" v="6420"/>
    </bk>
    <bk>
      <rc t="2" v="6421"/>
    </bk>
    <bk>
      <rc t="2" v="6422"/>
    </bk>
    <bk>
      <rc t="2" v="6423"/>
    </bk>
    <bk>
      <rc t="2" v="6424"/>
    </bk>
    <bk>
      <rc t="2" v="6425"/>
    </bk>
    <bk>
      <rc t="2" v="6426"/>
    </bk>
    <bk>
      <rc t="2" v="6427"/>
    </bk>
    <bk>
      <rc t="2" v="6428"/>
    </bk>
    <bk>
      <rc t="2" v="6429"/>
    </bk>
    <bk>
      <rc t="2" v="6430"/>
    </bk>
    <bk>
      <rc t="2" v="6431"/>
    </bk>
    <bk>
      <rc t="2" v="6432"/>
    </bk>
    <bk>
      <rc t="2" v="6433"/>
    </bk>
    <bk>
      <rc t="2" v="6434"/>
    </bk>
    <bk>
      <rc t="2" v="6435"/>
    </bk>
    <bk>
      <rc t="2" v="6436"/>
    </bk>
    <bk>
      <rc t="2" v="6437"/>
    </bk>
    <bk>
      <rc t="2" v="6438"/>
    </bk>
    <bk>
      <rc t="2" v="6439"/>
    </bk>
    <bk>
      <rc t="2" v="6440"/>
    </bk>
    <bk>
      <rc t="2" v="6441"/>
    </bk>
    <bk>
      <rc t="2" v="6442"/>
    </bk>
    <bk>
      <rc t="2" v="6443"/>
    </bk>
    <bk>
      <rc t="2" v="6444"/>
    </bk>
    <bk>
      <rc t="2" v="6445"/>
    </bk>
    <bk>
      <rc t="2" v="6446"/>
    </bk>
    <bk>
      <rc t="2" v="6447"/>
    </bk>
    <bk>
      <rc t="2" v="6448"/>
    </bk>
    <bk>
      <rc t="2" v="6449"/>
    </bk>
    <bk>
      <rc t="2" v="6450"/>
    </bk>
    <bk>
      <rc t="2" v="6451"/>
    </bk>
    <bk>
      <rc t="2" v="6452"/>
    </bk>
    <bk>
      <rc t="2" v="6453"/>
    </bk>
    <bk>
      <rc t="2" v="6454"/>
    </bk>
    <bk>
      <rc t="2" v="6455"/>
    </bk>
    <bk>
      <rc t="2" v="6456"/>
    </bk>
    <bk>
      <rc t="2" v="6457"/>
    </bk>
    <bk>
      <rc t="2" v="6458"/>
    </bk>
    <bk>
      <rc t="2" v="6459"/>
    </bk>
    <bk>
      <rc t="2" v="6460"/>
    </bk>
    <bk>
      <rc t="2" v="6461"/>
    </bk>
    <bk>
      <rc t="2" v="6462"/>
    </bk>
    <bk>
      <rc t="2" v="6463"/>
    </bk>
    <bk>
      <rc t="2" v="6464"/>
    </bk>
    <bk>
      <rc t="2" v="6465"/>
    </bk>
    <bk>
      <rc t="2" v="6466"/>
    </bk>
    <bk>
      <rc t="2" v="6467"/>
    </bk>
    <bk>
      <rc t="2" v="6468"/>
    </bk>
    <bk>
      <rc t="2" v="6469"/>
    </bk>
    <bk>
      <rc t="2" v="6470"/>
    </bk>
    <bk>
      <rc t="2" v="6471"/>
    </bk>
    <bk>
      <rc t="2" v="6472"/>
    </bk>
    <bk>
      <rc t="2" v="6473"/>
    </bk>
    <bk>
      <rc t="2" v="6474"/>
    </bk>
    <bk>
      <rc t="2" v="6475"/>
    </bk>
    <bk>
      <rc t="2" v="6476"/>
    </bk>
    <bk>
      <rc t="2" v="6477"/>
    </bk>
    <bk>
      <rc t="2" v="6478"/>
    </bk>
    <bk>
      <rc t="2" v="6479"/>
    </bk>
    <bk>
      <rc t="2" v="6480"/>
    </bk>
    <bk>
      <rc t="2" v="6481"/>
    </bk>
    <bk>
      <rc t="2" v="6482"/>
    </bk>
    <bk>
      <rc t="2" v="6483"/>
    </bk>
    <bk>
      <rc t="2" v="6484"/>
    </bk>
    <bk>
      <rc t="2" v="6485"/>
    </bk>
    <bk>
      <rc t="2" v="6486"/>
    </bk>
    <bk>
      <rc t="2" v="6487"/>
    </bk>
    <bk>
      <rc t="2" v="6488"/>
    </bk>
    <bk>
      <rc t="2" v="6489"/>
    </bk>
    <bk>
      <rc t="2" v="6490"/>
    </bk>
    <bk>
      <rc t="2" v="6491"/>
    </bk>
    <bk>
      <rc t="2" v="6492"/>
    </bk>
    <bk>
      <rc t="2" v="6493"/>
    </bk>
    <bk>
      <rc t="2" v="6494"/>
    </bk>
    <bk>
      <rc t="2" v="6495"/>
    </bk>
    <bk>
      <rc t="2" v="6496"/>
    </bk>
    <bk>
      <rc t="2" v="6497"/>
    </bk>
    <bk>
      <rc t="2" v="6498"/>
    </bk>
    <bk>
      <rc t="2" v="6499"/>
    </bk>
    <bk>
      <rc t="2" v="6500"/>
    </bk>
    <bk>
      <rc t="2" v="6501"/>
    </bk>
    <bk>
      <rc t="2" v="6502"/>
    </bk>
    <bk>
      <rc t="2" v="6503"/>
    </bk>
    <bk>
      <rc t="2" v="6504"/>
    </bk>
    <bk>
      <rc t="2" v="6505"/>
    </bk>
    <bk>
      <rc t="2" v="6506"/>
    </bk>
    <bk>
      <rc t="2" v="6507"/>
    </bk>
    <bk>
      <rc t="2" v="6508"/>
    </bk>
    <bk>
      <rc t="2" v="6509"/>
    </bk>
    <bk>
      <rc t="2" v="6510"/>
    </bk>
    <bk>
      <rc t="2" v="6511"/>
    </bk>
    <bk>
      <rc t="2" v="6512"/>
    </bk>
    <bk>
      <rc t="2" v="6513"/>
    </bk>
    <bk>
      <rc t="2" v="6514"/>
    </bk>
    <bk>
      <rc t="2" v="6515"/>
    </bk>
    <bk>
      <rc t="2" v="6516"/>
    </bk>
    <bk>
      <rc t="2" v="6517"/>
    </bk>
    <bk>
      <rc t="2" v="6518"/>
    </bk>
    <bk>
      <rc t="2" v="6519"/>
    </bk>
    <bk>
      <rc t="2" v="6520"/>
    </bk>
    <bk>
      <rc t="2" v="6521"/>
    </bk>
    <bk>
      <rc t="2" v="6522"/>
    </bk>
    <bk>
      <rc t="2" v="6523"/>
    </bk>
    <bk>
      <rc t="2" v="6524"/>
    </bk>
    <bk>
      <rc t="2" v="6525"/>
    </bk>
    <bk>
      <rc t="2" v="6526"/>
    </bk>
    <bk>
      <rc t="2" v="6527"/>
    </bk>
    <bk>
      <rc t="2" v="6528"/>
    </bk>
    <bk>
      <rc t="2" v="6529"/>
    </bk>
    <bk>
      <rc t="2" v="6530"/>
    </bk>
    <bk>
      <rc t="2" v="6531"/>
    </bk>
    <bk>
      <rc t="2" v="6532"/>
    </bk>
    <bk>
      <rc t="2" v="6533"/>
    </bk>
    <bk>
      <rc t="2" v="6534"/>
    </bk>
    <bk>
      <rc t="2" v="6535"/>
    </bk>
    <bk>
      <rc t="2" v="6536"/>
    </bk>
    <bk>
      <rc t="2" v="6537"/>
    </bk>
    <bk>
      <rc t="2" v="6538"/>
    </bk>
    <bk>
      <rc t="2" v="6539"/>
    </bk>
    <bk>
      <rc t="2" v="6540"/>
    </bk>
    <bk>
      <rc t="2" v="6541"/>
    </bk>
    <bk>
      <rc t="2" v="6542"/>
    </bk>
    <bk>
      <rc t="2" v="6543"/>
    </bk>
    <bk>
      <rc t="2" v="6544"/>
    </bk>
    <bk>
      <rc t="2" v="6545"/>
    </bk>
    <bk>
      <rc t="2" v="6546"/>
    </bk>
    <bk>
      <rc t="2" v="6547"/>
    </bk>
    <bk>
      <rc t="2" v="6548"/>
    </bk>
    <bk>
      <rc t="2" v="6549"/>
    </bk>
    <bk>
      <rc t="2" v="6550"/>
    </bk>
    <bk>
      <rc t="2" v="6551"/>
    </bk>
    <bk>
      <rc t="2" v="6552"/>
    </bk>
    <bk>
      <rc t="2" v="6553"/>
    </bk>
    <bk>
      <rc t="2" v="6554"/>
    </bk>
    <bk>
      <rc t="2" v="6555"/>
    </bk>
    <bk>
      <rc t="2" v="6556"/>
    </bk>
    <bk>
      <rc t="2" v="6557"/>
    </bk>
    <bk>
      <rc t="2" v="6558"/>
    </bk>
    <bk>
      <rc t="2" v="6559"/>
    </bk>
    <bk>
      <rc t="2" v="6560"/>
    </bk>
    <bk>
      <rc t="2" v="6561"/>
    </bk>
    <bk>
      <rc t="2" v="6562"/>
    </bk>
    <bk>
      <rc t="2" v="6563"/>
    </bk>
    <bk>
      <rc t="2" v="6564"/>
    </bk>
    <bk>
      <rc t="2" v="6565"/>
    </bk>
    <bk>
      <rc t="2" v="6566"/>
    </bk>
    <bk>
      <rc t="2" v="6567"/>
    </bk>
    <bk>
      <rc t="2" v="6568"/>
    </bk>
    <bk>
      <rc t="2" v="6569"/>
    </bk>
    <bk>
      <rc t="2" v="6570"/>
    </bk>
    <bk>
      <rc t="2" v="6571"/>
    </bk>
    <bk>
      <rc t="2" v="6572"/>
    </bk>
    <bk>
      <rc t="2" v="6573"/>
    </bk>
    <bk>
      <rc t="2" v="6574"/>
    </bk>
    <bk>
      <rc t="2" v="6575"/>
    </bk>
    <bk>
      <rc t="2" v="6576"/>
    </bk>
    <bk>
      <rc t="2" v="6577"/>
    </bk>
    <bk>
      <rc t="2" v="6578"/>
    </bk>
    <bk>
      <rc t="2" v="6579"/>
    </bk>
    <bk>
      <rc t="2" v="6580"/>
    </bk>
    <bk>
      <rc t="2" v="6581"/>
    </bk>
    <bk>
      <rc t="2" v="6582"/>
    </bk>
    <bk>
      <rc t="2" v="6583"/>
    </bk>
    <bk>
      <rc t="2" v="6584"/>
    </bk>
    <bk>
      <rc t="2" v="6585"/>
    </bk>
    <bk>
      <rc t="2" v="6586"/>
    </bk>
    <bk>
      <rc t="2" v="6587"/>
    </bk>
    <bk>
      <rc t="2" v="6588"/>
    </bk>
    <bk>
      <rc t="2" v="6589"/>
    </bk>
    <bk>
      <rc t="2" v="6590"/>
    </bk>
    <bk>
      <rc t="2" v="6591"/>
    </bk>
    <bk>
      <rc t="2" v="6592"/>
    </bk>
    <bk>
      <rc t="2" v="6593"/>
    </bk>
    <bk>
      <rc t="2" v="6594"/>
    </bk>
    <bk>
      <rc t="2" v="6595"/>
    </bk>
    <bk>
      <rc t="2" v="6596"/>
    </bk>
    <bk>
      <rc t="2" v="6597"/>
    </bk>
    <bk>
      <rc t="2" v="6598"/>
    </bk>
    <bk>
      <rc t="2" v="6599"/>
    </bk>
    <bk>
      <rc t="2" v="6600"/>
    </bk>
    <bk>
      <rc t="2" v="6601"/>
    </bk>
    <bk>
      <rc t="2" v="6602"/>
    </bk>
    <bk>
      <rc t="2" v="6603"/>
    </bk>
    <bk>
      <rc t="2" v="6604"/>
    </bk>
    <bk>
      <rc t="2" v="6605"/>
    </bk>
    <bk>
      <rc t="2" v="6606"/>
    </bk>
    <bk>
      <rc t="2" v="6607"/>
    </bk>
    <bk>
      <rc t="2" v="6608"/>
    </bk>
    <bk>
      <rc t="2" v="6609"/>
    </bk>
    <bk>
      <rc t="2" v="6610"/>
    </bk>
    <bk>
      <rc t="2" v="6611"/>
    </bk>
    <bk>
      <rc t="2" v="6612"/>
    </bk>
    <bk>
      <rc t="2" v="6613"/>
    </bk>
    <bk>
      <rc t="2" v="6614"/>
    </bk>
    <bk>
      <rc t="2" v="6615"/>
    </bk>
    <bk>
      <rc t="2" v="6616"/>
    </bk>
    <bk>
      <rc t="2" v="6617"/>
    </bk>
    <bk>
      <rc t="2" v="6618"/>
    </bk>
    <bk>
      <rc t="2" v="6619"/>
    </bk>
    <bk>
      <rc t="2" v="6620"/>
    </bk>
    <bk>
      <rc t="2" v="6621"/>
    </bk>
    <bk>
      <rc t="2" v="6622"/>
    </bk>
    <bk>
      <rc t="2" v="6623"/>
    </bk>
    <bk>
      <rc t="2" v="6624"/>
    </bk>
    <bk>
      <rc t="2" v="6625"/>
    </bk>
    <bk>
      <rc t="2" v="6626"/>
    </bk>
    <bk>
      <rc t="2" v="6627"/>
    </bk>
    <bk>
      <rc t="2" v="6628"/>
    </bk>
    <bk>
      <rc t="2" v="6629"/>
    </bk>
    <bk>
      <rc t="2" v="6630"/>
    </bk>
    <bk>
      <rc t="2" v="6631"/>
    </bk>
    <bk>
      <rc t="2" v="6632"/>
    </bk>
    <bk>
      <rc t="2" v="6633"/>
    </bk>
    <bk>
      <rc t="2" v="6634"/>
    </bk>
    <bk>
      <rc t="2" v="6635"/>
    </bk>
    <bk>
      <rc t="2" v="6636"/>
    </bk>
    <bk>
      <rc t="2" v="6637"/>
    </bk>
    <bk>
      <rc t="2" v="6638"/>
    </bk>
    <bk>
      <rc t="2" v="6639"/>
    </bk>
    <bk>
      <rc t="2" v="6640"/>
    </bk>
    <bk>
      <rc t="2" v="6641"/>
    </bk>
    <bk>
      <rc t="2" v="6642"/>
    </bk>
    <bk>
      <rc t="2" v="6643"/>
    </bk>
    <bk>
      <rc t="2" v="6644"/>
    </bk>
    <bk>
      <rc t="2" v="6645"/>
    </bk>
    <bk>
      <rc t="2" v="6646"/>
    </bk>
    <bk>
      <rc t="2" v="6647"/>
    </bk>
    <bk>
      <rc t="2" v="6648"/>
    </bk>
    <bk>
      <rc t="2" v="6649"/>
    </bk>
    <bk>
      <rc t="2" v="6650"/>
    </bk>
    <bk>
      <rc t="2" v="6651"/>
    </bk>
    <bk>
      <rc t="2" v="6652"/>
    </bk>
    <bk>
      <rc t="2" v="6653"/>
    </bk>
    <bk>
      <rc t="2" v="6654"/>
    </bk>
    <bk>
      <rc t="2" v="6655"/>
    </bk>
    <bk>
      <rc t="2" v="6656"/>
    </bk>
    <bk>
      <rc t="2" v="6657"/>
    </bk>
    <bk>
      <rc t="2" v="6658"/>
    </bk>
    <bk>
      <rc t="2" v="6659"/>
    </bk>
    <bk>
      <rc t="2" v="6660"/>
    </bk>
    <bk>
      <rc t="2" v="6661"/>
    </bk>
    <bk>
      <rc t="2" v="6662"/>
    </bk>
    <bk>
      <rc t="2" v="6663"/>
    </bk>
    <bk>
      <rc t="2" v="6664"/>
    </bk>
    <bk>
      <rc t="2" v="6665"/>
    </bk>
    <bk>
      <rc t="2" v="6666"/>
    </bk>
    <bk>
      <rc t="2" v="6667"/>
    </bk>
    <bk>
      <rc t="2" v="6668"/>
    </bk>
    <bk>
      <rc t="2" v="6669"/>
    </bk>
    <bk>
      <rc t="2" v="6670"/>
    </bk>
    <bk>
      <rc t="2" v="6671"/>
    </bk>
    <bk>
      <rc t="2" v="6672"/>
    </bk>
    <bk>
      <rc t="2" v="6673"/>
    </bk>
    <bk>
      <rc t="2" v="6674"/>
    </bk>
    <bk>
      <rc t="2" v="6675"/>
    </bk>
    <bk>
      <rc t="2" v="6676"/>
    </bk>
    <bk>
      <rc t="2" v="6677"/>
    </bk>
    <bk>
      <rc t="2" v="6678"/>
    </bk>
    <bk>
      <rc t="2" v="6679"/>
    </bk>
    <bk>
      <rc t="2" v="6680"/>
    </bk>
    <bk>
      <rc t="2" v="6681"/>
    </bk>
    <bk>
      <rc t="2" v="6682"/>
    </bk>
    <bk>
      <rc t="2" v="6683"/>
    </bk>
    <bk>
      <rc t="2" v="6684"/>
    </bk>
    <bk>
      <rc t="2" v="6685"/>
    </bk>
    <bk>
      <rc t="2" v="6686"/>
    </bk>
    <bk>
      <rc t="2" v="6687"/>
    </bk>
    <bk>
      <rc t="2" v="6688"/>
    </bk>
    <bk>
      <rc t="2" v="6689"/>
    </bk>
    <bk>
      <rc t="2" v="6690"/>
    </bk>
    <bk>
      <rc t="2" v="6691"/>
    </bk>
    <bk>
      <rc t="2" v="6692"/>
    </bk>
    <bk>
      <rc t="2" v="6693"/>
    </bk>
    <bk>
      <rc t="2" v="6694"/>
    </bk>
    <bk>
      <rc t="2" v="6695"/>
    </bk>
    <bk>
      <rc t="2" v="6696"/>
    </bk>
    <bk>
      <rc t="2" v="6697"/>
    </bk>
    <bk>
      <rc t="2" v="6698"/>
    </bk>
    <bk>
      <rc t="2" v="6699"/>
    </bk>
    <bk>
      <rc t="2" v="6700"/>
    </bk>
    <bk>
      <rc t="2" v="6701"/>
    </bk>
    <bk>
      <rc t="2" v="6702"/>
    </bk>
    <bk>
      <rc t="2" v="6703"/>
    </bk>
    <bk>
      <rc t="2" v="6704"/>
    </bk>
    <bk>
      <rc t="2" v="6705"/>
    </bk>
    <bk>
      <rc t="2" v="6706"/>
    </bk>
    <bk>
      <rc t="2" v="6707"/>
    </bk>
    <bk>
      <rc t="2" v="6708"/>
    </bk>
    <bk>
      <rc t="2" v="6709"/>
    </bk>
    <bk>
      <rc t="2" v="6710"/>
    </bk>
    <bk>
      <rc t="2" v="6711"/>
    </bk>
    <bk>
      <rc t="2" v="6712"/>
    </bk>
    <bk>
      <rc t="2" v="6713"/>
    </bk>
    <bk>
      <rc t="2" v="6714"/>
    </bk>
    <bk>
      <rc t="2" v="6715"/>
    </bk>
    <bk>
      <rc t="2" v="6716"/>
    </bk>
    <bk>
      <rc t="2" v="6717"/>
    </bk>
    <bk>
      <rc t="2" v="6718"/>
    </bk>
    <bk>
      <rc t="2" v="6719"/>
    </bk>
    <bk>
      <rc t="2" v="6720"/>
    </bk>
    <bk>
      <rc t="2" v="6721"/>
    </bk>
    <bk>
      <rc t="2" v="6722"/>
    </bk>
    <bk>
      <rc t="2" v="6723"/>
    </bk>
    <bk>
      <rc t="2" v="6724"/>
    </bk>
    <bk>
      <rc t="2" v="6725"/>
    </bk>
    <bk>
      <rc t="2" v="6726"/>
    </bk>
    <bk>
      <rc t="2" v="6727"/>
    </bk>
    <bk>
      <rc t="2" v="6728"/>
    </bk>
    <bk>
      <rc t="2" v="6729"/>
    </bk>
    <bk>
      <rc t="2" v="6730"/>
    </bk>
    <bk>
      <rc t="2" v="6731"/>
    </bk>
    <bk>
      <rc t="2" v="6732"/>
    </bk>
    <bk>
      <rc t="2" v="6733"/>
    </bk>
    <bk>
      <rc t="2" v="6734"/>
    </bk>
    <bk>
      <rc t="2" v="6735"/>
    </bk>
    <bk>
      <rc t="2" v="6736"/>
    </bk>
    <bk>
      <rc t="2" v="6737"/>
    </bk>
    <bk>
      <rc t="2" v="6738"/>
    </bk>
    <bk>
      <rc t="2" v="6739"/>
    </bk>
    <bk>
      <rc t="2" v="6740"/>
    </bk>
    <bk>
      <rc t="2" v="6741"/>
    </bk>
    <bk>
      <rc t="2" v="6742"/>
    </bk>
    <bk>
      <rc t="2" v="6743"/>
    </bk>
    <bk>
      <rc t="2" v="6744"/>
    </bk>
    <bk>
      <rc t="2" v="6745"/>
    </bk>
    <bk>
      <rc t="2" v="6746"/>
    </bk>
    <bk>
      <rc t="2" v="6747"/>
    </bk>
    <bk>
      <rc t="2" v="6748"/>
    </bk>
    <bk>
      <rc t="2" v="6749"/>
    </bk>
    <bk>
      <rc t="2" v="6750"/>
    </bk>
    <bk>
      <rc t="2" v="6751"/>
    </bk>
    <bk>
      <rc t="2" v="6752"/>
    </bk>
    <bk>
      <rc t="2" v="6753"/>
    </bk>
    <bk>
      <rc t="2" v="6754"/>
    </bk>
    <bk>
      <rc t="2" v="6755"/>
    </bk>
    <bk>
      <rc t="2" v="6756"/>
    </bk>
    <bk>
      <rc t="2" v="6757"/>
    </bk>
    <bk>
      <rc t="2" v="6758"/>
    </bk>
    <bk>
      <rc t="2" v="6759"/>
    </bk>
    <bk>
      <rc t="2" v="6760"/>
    </bk>
    <bk>
      <rc t="2" v="6761"/>
    </bk>
    <bk>
      <rc t="2" v="6762"/>
    </bk>
    <bk>
      <rc t="2" v="6763"/>
    </bk>
    <bk>
      <rc t="2" v="6764"/>
    </bk>
    <bk>
      <rc t="2" v="6765"/>
    </bk>
    <bk>
      <rc t="2" v="6766"/>
    </bk>
    <bk>
      <rc t="2" v="6767"/>
    </bk>
    <bk>
      <rc t="2" v="6768"/>
    </bk>
    <bk>
      <rc t="2" v="6769"/>
    </bk>
    <bk>
      <rc t="2" v="6770"/>
    </bk>
    <bk>
      <rc t="2" v="6771"/>
    </bk>
    <bk>
      <rc t="2" v="6772"/>
    </bk>
    <bk>
      <rc t="2" v="6773"/>
    </bk>
    <bk>
      <rc t="2" v="6774"/>
    </bk>
    <bk>
      <rc t="2" v="6775"/>
    </bk>
    <bk>
      <rc t="2" v="6776"/>
    </bk>
    <bk>
      <rc t="2" v="6777"/>
    </bk>
    <bk>
      <rc t="2" v="6778"/>
    </bk>
    <bk>
      <rc t="2" v="6779"/>
    </bk>
    <bk>
      <rc t="2" v="6780"/>
    </bk>
    <bk>
      <rc t="2" v="6781"/>
    </bk>
    <bk>
      <rc t="2" v="6782"/>
    </bk>
    <bk>
      <rc t="2" v="6783"/>
    </bk>
    <bk>
      <rc t="2" v="6784"/>
    </bk>
    <bk>
      <rc t="2" v="6785"/>
    </bk>
    <bk>
      <rc t="2" v="6786"/>
    </bk>
    <bk>
      <rc t="2" v="6787"/>
    </bk>
    <bk>
      <rc t="2" v="6788"/>
    </bk>
    <bk>
      <rc t="2" v="6789"/>
    </bk>
    <bk>
      <rc t="2" v="6790"/>
    </bk>
    <bk>
      <rc t="2" v="6791"/>
    </bk>
    <bk>
      <rc t="2" v="6792"/>
    </bk>
    <bk>
      <rc t="2" v="6793"/>
    </bk>
    <bk>
      <rc t="2" v="6794"/>
    </bk>
    <bk>
      <rc t="2" v="6795"/>
    </bk>
    <bk>
      <rc t="2" v="6796"/>
    </bk>
    <bk>
      <rc t="2" v="6797"/>
    </bk>
    <bk>
      <rc t="2" v="6798"/>
    </bk>
    <bk>
      <rc t="2" v="6799"/>
    </bk>
    <bk>
      <rc t="2" v="6800"/>
    </bk>
    <bk>
      <rc t="2" v="6801"/>
    </bk>
    <bk>
      <rc t="2" v="6802"/>
    </bk>
    <bk>
      <rc t="2" v="6803"/>
    </bk>
    <bk>
      <rc t="2" v="6804"/>
    </bk>
    <bk>
      <rc t="2" v="6805"/>
    </bk>
    <bk>
      <rc t="2" v="6806"/>
    </bk>
    <bk>
      <rc t="2" v="6807"/>
    </bk>
    <bk>
      <rc t="2" v="6808"/>
    </bk>
    <bk>
      <rc t="2" v="6809"/>
    </bk>
    <bk>
      <rc t="2" v="6810"/>
    </bk>
    <bk>
      <rc t="2" v="6811"/>
    </bk>
    <bk>
      <rc t="2" v="6812"/>
    </bk>
    <bk>
      <rc t="2" v="6813"/>
    </bk>
    <bk>
      <rc t="2" v="6814"/>
    </bk>
    <bk>
      <rc t="2" v="6815"/>
    </bk>
    <bk>
      <rc t="2" v="6816"/>
    </bk>
    <bk>
      <rc t="2" v="6817"/>
    </bk>
    <bk>
      <rc t="2" v="6818"/>
    </bk>
    <bk>
      <rc t="2" v="6819"/>
    </bk>
    <bk>
      <rc t="2" v="6820"/>
    </bk>
    <bk>
      <rc t="2" v="6821"/>
    </bk>
    <bk>
      <rc t="2" v="6822"/>
    </bk>
    <bk>
      <rc t="2" v="6823"/>
    </bk>
    <bk>
      <rc t="2" v="6824"/>
    </bk>
    <bk>
      <rc t="2" v="6825"/>
    </bk>
    <bk>
      <rc t="2" v="6826"/>
    </bk>
    <bk>
      <rc t="2" v="6827"/>
    </bk>
    <bk>
      <rc t="2" v="6828"/>
    </bk>
    <bk>
      <rc t="2" v="6829"/>
    </bk>
    <bk>
      <rc t="2" v="6830"/>
    </bk>
    <bk>
      <rc t="2" v="6831"/>
    </bk>
    <bk>
      <rc t="2" v="6832"/>
    </bk>
    <bk>
      <rc t="2" v="6833"/>
    </bk>
    <bk>
      <rc t="2" v="6834"/>
    </bk>
    <bk>
      <rc t="2" v="6835"/>
    </bk>
    <bk>
      <rc t="2" v="6836"/>
    </bk>
    <bk>
      <rc t="2" v="6837"/>
    </bk>
    <bk>
      <rc t="2" v="6838"/>
    </bk>
    <bk>
      <rc t="2" v="6839"/>
    </bk>
    <bk>
      <rc t="2" v="6840"/>
    </bk>
    <bk>
      <rc t="2" v="6841"/>
    </bk>
    <bk>
      <rc t="2" v="6842"/>
    </bk>
    <bk>
      <rc t="2" v="6843"/>
    </bk>
    <bk>
      <rc t="2" v="6844"/>
    </bk>
    <bk>
      <rc t="2" v="6845"/>
    </bk>
    <bk>
      <rc t="2" v="6846"/>
    </bk>
    <bk>
      <rc t="2" v="6847"/>
    </bk>
    <bk>
      <rc t="2" v="6848"/>
    </bk>
    <bk>
      <rc t="2" v="6849"/>
    </bk>
    <bk>
      <rc t="2" v="6850"/>
    </bk>
    <bk>
      <rc t="2" v="6851"/>
    </bk>
    <bk>
      <rc t="2" v="6852"/>
    </bk>
    <bk>
      <rc t="2" v="6853"/>
    </bk>
    <bk>
      <rc t="2" v="6854"/>
    </bk>
    <bk>
      <rc t="2" v="6855"/>
    </bk>
    <bk>
      <rc t="2" v="6856"/>
    </bk>
    <bk>
      <rc t="2" v="6857"/>
    </bk>
    <bk>
      <rc t="2" v="6858"/>
    </bk>
    <bk>
      <rc t="2" v="6859"/>
    </bk>
    <bk>
      <rc t="2" v="6860"/>
    </bk>
    <bk>
      <rc t="2" v="6861"/>
    </bk>
    <bk>
      <rc t="2" v="6862"/>
    </bk>
    <bk>
      <rc t="2" v="6863"/>
    </bk>
    <bk>
      <rc t="2" v="6864"/>
    </bk>
    <bk>
      <rc t="2" v="6865"/>
    </bk>
    <bk>
      <rc t="2" v="6866"/>
    </bk>
    <bk>
      <rc t="2" v="6867"/>
    </bk>
    <bk>
      <rc t="2" v="6868"/>
    </bk>
    <bk>
      <rc t="2" v="6869"/>
    </bk>
    <bk>
      <rc t="2" v="6870"/>
    </bk>
    <bk>
      <rc t="2" v="6871"/>
    </bk>
    <bk>
      <rc t="2" v="6872"/>
    </bk>
    <bk>
      <rc t="2" v="6873"/>
    </bk>
    <bk>
      <rc t="2" v="6874"/>
    </bk>
    <bk>
      <rc t="2" v="6875"/>
    </bk>
    <bk>
      <rc t="2" v="6876"/>
    </bk>
    <bk>
      <rc t="2" v="6877"/>
    </bk>
    <bk>
      <rc t="2" v="6878"/>
    </bk>
    <bk>
      <rc t="2" v="6879"/>
    </bk>
    <bk>
      <rc t="2" v="6880"/>
    </bk>
    <bk>
      <rc t="2" v="6881"/>
    </bk>
    <bk>
      <rc t="2" v="6882"/>
    </bk>
    <bk>
      <rc t="2" v="6883"/>
    </bk>
    <bk>
      <rc t="2" v="6884"/>
    </bk>
    <bk>
      <rc t="2" v="6885"/>
    </bk>
    <bk>
      <rc t="2" v="6886"/>
    </bk>
    <bk>
      <rc t="2" v="6887"/>
    </bk>
    <bk>
      <rc t="2" v="6888"/>
    </bk>
    <bk>
      <rc t="2" v="6889"/>
    </bk>
    <bk>
      <rc t="2" v="6890"/>
    </bk>
    <bk>
      <rc t="2" v="6891"/>
    </bk>
    <bk>
      <rc t="2" v="6892"/>
    </bk>
    <bk>
      <rc t="2" v="6893"/>
    </bk>
    <bk>
      <rc t="2" v="6894"/>
    </bk>
    <bk>
      <rc t="2" v="6895"/>
    </bk>
    <bk>
      <rc t="2" v="6896"/>
    </bk>
    <bk>
      <rc t="2" v="6897"/>
    </bk>
    <bk>
      <rc t="2" v="6898"/>
    </bk>
    <bk>
      <rc t="2" v="6899"/>
    </bk>
    <bk>
      <rc t="2" v="6900"/>
    </bk>
    <bk>
      <rc t="2" v="6901"/>
    </bk>
    <bk>
      <rc t="2" v="6902"/>
    </bk>
    <bk>
      <rc t="2" v="6903"/>
    </bk>
    <bk>
      <rc t="2" v="6904"/>
    </bk>
    <bk>
      <rc t="2" v="6905"/>
    </bk>
    <bk>
      <rc t="2" v="6906"/>
    </bk>
    <bk>
      <rc t="2" v="6907"/>
    </bk>
    <bk>
      <rc t="2" v="6908"/>
    </bk>
    <bk>
      <rc t="2" v="6909"/>
    </bk>
    <bk>
      <rc t="2" v="6910"/>
    </bk>
    <bk>
      <rc t="2" v="6911"/>
    </bk>
    <bk>
      <rc t="2" v="6912"/>
    </bk>
    <bk>
      <rc t="2" v="6913"/>
    </bk>
    <bk>
      <rc t="2" v="6914"/>
    </bk>
    <bk>
      <rc t="2" v="6915"/>
    </bk>
    <bk>
      <rc t="2" v="6916"/>
    </bk>
    <bk>
      <rc t="2" v="6917"/>
    </bk>
    <bk>
      <rc t="2" v="6918"/>
    </bk>
    <bk>
      <rc t="2" v="6919"/>
    </bk>
    <bk>
      <rc t="2" v="6920"/>
    </bk>
    <bk>
      <rc t="2" v="6921"/>
    </bk>
    <bk>
      <rc t="2" v="6922"/>
    </bk>
    <bk>
      <rc t="2" v="6923"/>
    </bk>
    <bk>
      <rc t="2" v="6924"/>
    </bk>
    <bk>
      <rc t="2" v="6925"/>
    </bk>
    <bk>
      <rc t="2" v="6926"/>
    </bk>
    <bk>
      <rc t="2" v="6927"/>
    </bk>
    <bk>
      <rc t="2" v="6928"/>
    </bk>
    <bk>
      <rc t="2" v="6929"/>
    </bk>
    <bk>
      <rc t="2" v="6930"/>
    </bk>
    <bk>
      <rc t="2" v="6931"/>
    </bk>
    <bk>
      <rc t="2" v="6932"/>
    </bk>
    <bk>
      <rc t="2" v="6933"/>
    </bk>
    <bk>
      <rc t="2" v="6934"/>
    </bk>
    <bk>
      <rc t="2" v="6935"/>
    </bk>
    <bk>
      <rc t="2" v="6936"/>
    </bk>
    <bk>
      <rc t="2" v="6937"/>
    </bk>
    <bk>
      <rc t="2" v="6938"/>
    </bk>
    <bk>
      <rc t="2" v="6939"/>
    </bk>
    <bk>
      <rc t="2" v="6940"/>
    </bk>
    <bk>
      <rc t="2" v="6941"/>
    </bk>
    <bk>
      <rc t="2" v="6942"/>
    </bk>
    <bk>
      <rc t="2" v="6943"/>
    </bk>
    <bk>
      <rc t="2" v="6944"/>
    </bk>
    <bk>
      <rc t="2" v="6945"/>
    </bk>
    <bk>
      <rc t="2" v="6946"/>
    </bk>
    <bk>
      <rc t="2" v="6947"/>
    </bk>
    <bk>
      <rc t="2" v="6948"/>
    </bk>
    <bk>
      <rc t="2" v="6949"/>
    </bk>
    <bk>
      <rc t="2" v="6950"/>
    </bk>
    <bk>
      <rc t="2" v="6951"/>
    </bk>
    <bk>
      <rc t="2" v="6952"/>
    </bk>
    <bk>
      <rc t="2" v="6953"/>
    </bk>
    <bk>
      <rc t="2" v="6954"/>
    </bk>
    <bk>
      <rc t="2" v="6955"/>
    </bk>
    <bk>
      <rc t="2" v="6956"/>
    </bk>
    <bk>
      <rc t="2" v="6957"/>
    </bk>
    <bk>
      <rc t="2" v="6958"/>
    </bk>
    <bk>
      <rc t="2" v="6959"/>
    </bk>
    <bk>
      <rc t="2" v="6960"/>
    </bk>
    <bk>
      <rc t="2" v="6961"/>
    </bk>
    <bk>
      <rc t="2" v="6962"/>
    </bk>
    <bk>
      <rc t="2" v="6963"/>
    </bk>
    <bk>
      <rc t="2" v="6964"/>
    </bk>
    <bk>
      <rc t="2" v="6965"/>
    </bk>
    <bk>
      <rc t="2" v="6966"/>
    </bk>
    <bk>
      <rc t="2" v="6967"/>
    </bk>
    <bk>
      <rc t="2" v="6968"/>
    </bk>
    <bk>
      <rc t="2" v="6969"/>
    </bk>
    <bk>
      <rc t="2" v="6970"/>
    </bk>
    <bk>
      <rc t="2" v="6971"/>
    </bk>
    <bk>
      <rc t="2" v="6972"/>
    </bk>
    <bk>
      <rc t="2" v="6973"/>
    </bk>
    <bk>
      <rc t="2" v="6974"/>
    </bk>
    <bk>
      <rc t="2" v="6975"/>
    </bk>
    <bk>
      <rc t="2" v="6976"/>
    </bk>
    <bk>
      <rc t="2" v="6977"/>
    </bk>
    <bk>
      <rc t="2" v="6978"/>
    </bk>
    <bk>
      <rc t="2" v="6979"/>
    </bk>
    <bk>
      <rc t="2" v="6980"/>
    </bk>
    <bk>
      <rc t="2" v="6981"/>
    </bk>
    <bk>
      <rc t="2" v="6982"/>
    </bk>
    <bk>
      <rc t="2" v="6983"/>
    </bk>
    <bk>
      <rc t="2" v="6984"/>
    </bk>
    <bk>
      <rc t="2" v="6985"/>
    </bk>
    <bk>
      <rc t="2" v="6986"/>
    </bk>
    <bk>
      <rc t="2" v="6987"/>
    </bk>
    <bk>
      <rc t="2" v="6988"/>
    </bk>
    <bk>
      <rc t="2" v="6989"/>
    </bk>
    <bk>
      <rc t="2" v="6990"/>
    </bk>
    <bk>
      <rc t="2" v="6991"/>
    </bk>
    <bk>
      <rc t="2" v="6992"/>
    </bk>
    <bk>
      <rc t="2" v="6993"/>
    </bk>
    <bk>
      <rc t="2" v="6994"/>
    </bk>
    <bk>
      <rc t="2" v="6995"/>
    </bk>
    <bk>
      <rc t="2" v="6996"/>
    </bk>
    <bk>
      <rc t="2" v="6997"/>
    </bk>
    <bk>
      <rc t="2" v="6998"/>
    </bk>
    <bk>
      <rc t="2" v="6999"/>
    </bk>
    <bk>
      <rc t="2" v="7000"/>
    </bk>
    <bk>
      <rc t="2" v="7001"/>
    </bk>
    <bk>
      <rc t="2" v="7002"/>
    </bk>
    <bk>
      <rc t="2" v="7003"/>
    </bk>
    <bk>
      <rc t="2" v="7004"/>
    </bk>
    <bk>
      <rc t="2" v="7005"/>
    </bk>
    <bk>
      <rc t="2" v="7006"/>
    </bk>
    <bk>
      <rc t="2" v="7007"/>
    </bk>
    <bk>
      <rc t="2" v="7008"/>
    </bk>
    <bk>
      <rc t="2" v="7009"/>
    </bk>
    <bk>
      <rc t="2" v="7010"/>
    </bk>
    <bk>
      <rc t="2" v="7011"/>
    </bk>
    <bk>
      <rc t="2" v="7012"/>
    </bk>
    <bk>
      <rc t="2" v="7013"/>
    </bk>
    <bk>
      <rc t="2" v="7014"/>
    </bk>
    <bk>
      <rc t="2" v="7015"/>
    </bk>
    <bk>
      <rc t="2" v="7016"/>
    </bk>
    <bk>
      <rc t="2" v="7017"/>
    </bk>
    <bk>
      <rc t="2" v="7018"/>
    </bk>
    <bk>
      <rc t="2" v="7019"/>
    </bk>
    <bk>
      <rc t="2" v="7020"/>
    </bk>
    <bk>
      <rc t="2" v="7021"/>
    </bk>
    <bk>
      <rc t="2" v="7022"/>
    </bk>
    <bk>
      <rc t="2" v="7023"/>
    </bk>
    <bk>
      <rc t="2" v="7024"/>
    </bk>
    <bk>
      <rc t="2" v="7025"/>
    </bk>
    <bk>
      <rc t="2" v="7026"/>
    </bk>
    <bk>
      <rc t="2" v="7027"/>
    </bk>
    <bk>
      <rc t="2" v="7028"/>
    </bk>
    <bk>
      <rc t="2" v="7029"/>
    </bk>
    <bk>
      <rc t="2" v="7030"/>
    </bk>
    <bk>
      <rc t="2" v="7031"/>
    </bk>
    <bk>
      <rc t="2" v="7032"/>
    </bk>
    <bk>
      <rc t="2" v="7033"/>
    </bk>
    <bk>
      <rc t="2" v="7034"/>
    </bk>
    <bk>
      <rc t="2" v="7035"/>
    </bk>
    <bk>
      <rc t="2" v="7036"/>
    </bk>
    <bk>
      <rc t="2" v="7037"/>
    </bk>
    <bk>
      <rc t="2" v="7038"/>
    </bk>
    <bk>
      <rc t="2" v="7039"/>
    </bk>
    <bk>
      <rc t="2" v="7040"/>
    </bk>
    <bk>
      <rc t="2" v="7041"/>
    </bk>
    <bk>
      <rc t="2" v="7042"/>
    </bk>
    <bk>
      <rc t="2" v="7043"/>
    </bk>
    <bk>
      <rc t="2" v="7044"/>
    </bk>
    <bk>
      <rc t="2" v="7045"/>
    </bk>
    <bk>
      <rc t="2" v="7046"/>
    </bk>
    <bk>
      <rc t="2" v="7047"/>
    </bk>
    <bk>
      <rc t="2" v="7048"/>
    </bk>
    <bk>
      <rc t="2" v="7049"/>
    </bk>
    <bk>
      <rc t="2" v="7050"/>
    </bk>
    <bk>
      <rc t="2" v="7051"/>
    </bk>
    <bk>
      <rc t="2" v="7052"/>
    </bk>
    <bk>
      <rc t="2" v="7053"/>
    </bk>
    <bk>
      <rc t="2" v="7054"/>
    </bk>
    <bk>
      <rc t="2" v="7055"/>
    </bk>
    <bk>
      <rc t="2" v="7056"/>
    </bk>
    <bk>
      <rc t="2" v="7057"/>
    </bk>
    <bk>
      <rc t="2" v="7058"/>
    </bk>
    <bk>
      <rc t="2" v="7059"/>
    </bk>
    <bk>
      <rc t="2" v="7060"/>
    </bk>
    <bk>
      <rc t="2" v="7061"/>
    </bk>
    <bk>
      <rc t="2" v="7062"/>
    </bk>
    <bk>
      <rc t="2" v="7063"/>
    </bk>
    <bk>
      <rc t="2" v="7064"/>
    </bk>
    <bk>
      <rc t="2" v="7065"/>
    </bk>
    <bk>
      <rc t="2" v="7066"/>
    </bk>
    <bk>
      <rc t="2" v="7067"/>
    </bk>
    <bk>
      <rc t="2" v="7068"/>
    </bk>
    <bk>
      <rc t="2" v="7069"/>
    </bk>
    <bk>
      <rc t="2" v="7070"/>
    </bk>
    <bk>
      <rc t="2" v="7071"/>
    </bk>
    <bk>
      <rc t="2" v="7072"/>
    </bk>
    <bk>
      <rc t="2" v="7073"/>
    </bk>
    <bk>
      <rc t="2" v="7074"/>
    </bk>
    <bk>
      <rc t="2" v="7075"/>
    </bk>
    <bk>
      <rc t="2" v="7076"/>
    </bk>
    <bk>
      <rc t="2" v="7077"/>
    </bk>
    <bk>
      <rc t="2" v="7078"/>
    </bk>
    <bk>
      <rc t="2" v="7079"/>
    </bk>
    <bk>
      <rc t="2" v="7080"/>
    </bk>
    <bk>
      <rc t="2" v="7081"/>
    </bk>
    <bk>
      <rc t="2" v="7082"/>
    </bk>
    <bk>
      <rc t="2" v="7083"/>
    </bk>
    <bk>
      <rc t="2" v="7084"/>
    </bk>
    <bk>
      <rc t="2" v="7085"/>
    </bk>
    <bk>
      <rc t="2" v="7086"/>
    </bk>
    <bk>
      <rc t="2" v="7087"/>
    </bk>
    <bk>
      <rc t="2" v="7088"/>
    </bk>
    <bk>
      <rc t="2" v="7089"/>
    </bk>
    <bk>
      <rc t="2" v="7090"/>
    </bk>
    <bk>
      <rc t="2" v="7091"/>
    </bk>
    <bk>
      <rc t="2" v="7092"/>
    </bk>
    <bk>
      <rc t="2" v="7093"/>
    </bk>
    <bk>
      <rc t="2" v="7094"/>
    </bk>
    <bk>
      <rc t="2" v="7095"/>
    </bk>
    <bk>
      <rc t="2" v="7096"/>
    </bk>
    <bk>
      <rc t="2" v="7097"/>
    </bk>
    <bk>
      <rc t="2" v="7098"/>
    </bk>
    <bk>
      <rc t="2" v="7099"/>
    </bk>
    <bk>
      <rc t="2" v="7100"/>
    </bk>
    <bk>
      <rc t="2" v="7101"/>
    </bk>
    <bk>
      <rc t="2" v="7102"/>
    </bk>
    <bk>
      <rc t="2" v="7103"/>
    </bk>
    <bk>
      <rc t="2" v="7104"/>
    </bk>
    <bk>
      <rc t="2" v="7105"/>
    </bk>
    <bk>
      <rc t="2" v="7106"/>
    </bk>
    <bk>
      <rc t="2" v="7107"/>
    </bk>
    <bk>
      <rc t="2" v="7108"/>
    </bk>
    <bk>
      <rc t="2" v="7109"/>
    </bk>
    <bk>
      <rc t="2" v="7110"/>
    </bk>
    <bk>
      <rc t="2" v="7111"/>
    </bk>
    <bk>
      <rc t="2" v="7112"/>
    </bk>
    <bk>
      <rc t="2" v="7113"/>
    </bk>
    <bk>
      <rc t="2" v="7114"/>
    </bk>
    <bk>
      <rc t="2" v="7115"/>
    </bk>
    <bk>
      <rc t="2" v="7116"/>
    </bk>
    <bk>
      <rc t="2" v="7117"/>
    </bk>
    <bk>
      <rc t="2" v="7118"/>
    </bk>
    <bk>
      <rc t="2" v="7119"/>
    </bk>
    <bk>
      <rc t="2" v="7120"/>
    </bk>
    <bk>
      <rc t="2" v="7121"/>
    </bk>
    <bk>
      <rc t="2" v="7122"/>
    </bk>
    <bk>
      <rc t="2" v="7123"/>
    </bk>
    <bk>
      <rc t="2" v="7124"/>
    </bk>
    <bk>
      <rc t="2" v="7125"/>
    </bk>
    <bk>
      <rc t="2" v="7126"/>
    </bk>
    <bk>
      <rc t="2" v="7127"/>
    </bk>
    <bk>
      <rc t="2" v="7128"/>
    </bk>
    <bk>
      <rc t="2" v="7129"/>
    </bk>
    <bk>
      <rc t="2" v="7130"/>
    </bk>
    <bk>
      <rc t="2" v="7131"/>
    </bk>
    <bk>
      <rc t="2" v="7132"/>
    </bk>
    <bk>
      <rc t="2" v="7133"/>
    </bk>
    <bk>
      <rc t="2" v="7134"/>
    </bk>
    <bk>
      <rc t="2" v="7135"/>
    </bk>
    <bk>
      <rc t="2" v="7136"/>
    </bk>
    <bk>
      <rc t="2" v="7137"/>
    </bk>
    <bk>
      <rc t="2" v="7138"/>
    </bk>
    <bk>
      <rc t="2" v="7139"/>
    </bk>
    <bk>
      <rc t="2" v="7140"/>
    </bk>
    <bk>
      <rc t="2" v="7141"/>
    </bk>
    <bk>
      <rc t="2" v="7142"/>
    </bk>
    <bk>
      <rc t="2" v="7143"/>
    </bk>
    <bk>
      <rc t="2" v="7144"/>
    </bk>
    <bk>
      <rc t="2" v="7145"/>
    </bk>
    <bk>
      <rc t="2" v="7146"/>
    </bk>
    <bk>
      <rc t="2" v="7147"/>
    </bk>
    <bk>
      <rc t="2" v="7148"/>
    </bk>
    <bk>
      <rc t="2" v="7149"/>
    </bk>
    <bk>
      <rc t="2" v="7150"/>
    </bk>
    <bk>
      <rc t="2" v="7151"/>
    </bk>
    <bk>
      <rc t="2" v="7152"/>
    </bk>
    <bk>
      <rc t="2" v="7153"/>
    </bk>
    <bk>
      <rc t="2" v="7154"/>
    </bk>
    <bk>
      <rc t="2" v="7155"/>
    </bk>
    <bk>
      <rc t="2" v="7156"/>
    </bk>
    <bk>
      <rc t="2" v="7157"/>
    </bk>
    <bk>
      <rc t="2" v="7158"/>
    </bk>
    <bk>
      <rc t="2" v="7159"/>
    </bk>
    <bk>
      <rc t="2" v="7160"/>
    </bk>
    <bk>
      <rc t="2" v="7161"/>
    </bk>
    <bk>
      <rc t="2" v="7162"/>
    </bk>
    <bk>
      <rc t="2" v="7163"/>
    </bk>
    <bk>
      <rc t="2" v="7164"/>
    </bk>
    <bk>
      <rc t="2" v="7165"/>
    </bk>
    <bk>
      <rc t="2" v="7166"/>
    </bk>
    <bk>
      <rc t="2" v="7167"/>
    </bk>
    <bk>
      <rc t="2" v="7168"/>
    </bk>
    <bk>
      <rc t="2" v="7169"/>
    </bk>
    <bk>
      <rc t="2" v="7170"/>
    </bk>
    <bk>
      <rc t="2" v="7171"/>
    </bk>
    <bk>
      <rc t="2" v="7172"/>
    </bk>
    <bk>
      <rc t="2" v="7173"/>
    </bk>
    <bk>
      <rc t="2" v="7174"/>
    </bk>
    <bk>
      <rc t="2" v="7175"/>
    </bk>
    <bk>
      <rc t="2" v="7176"/>
    </bk>
    <bk>
      <rc t="2" v="7177"/>
    </bk>
    <bk>
      <rc t="2" v="7178"/>
    </bk>
    <bk>
      <rc t="2" v="7179"/>
    </bk>
    <bk>
      <rc t="2" v="7180"/>
    </bk>
    <bk>
      <rc t="2" v="7181"/>
    </bk>
    <bk>
      <rc t="2" v="7182"/>
    </bk>
    <bk>
      <rc t="2" v="7183"/>
    </bk>
    <bk>
      <rc t="2" v="7184"/>
    </bk>
    <bk>
      <rc t="2" v="7185"/>
    </bk>
    <bk>
      <rc t="2" v="7186"/>
    </bk>
    <bk>
      <rc t="2" v="7187"/>
    </bk>
    <bk>
      <rc t="2" v="7188"/>
    </bk>
    <bk>
      <rc t="2" v="7189"/>
    </bk>
    <bk>
      <rc t="2" v="7190"/>
    </bk>
    <bk>
      <rc t="2" v="7191"/>
    </bk>
    <bk>
      <rc t="2" v="7192"/>
    </bk>
    <bk>
      <rc t="2" v="7193"/>
    </bk>
    <bk>
      <rc t="2" v="7194"/>
    </bk>
    <bk>
      <rc t="2" v="7195"/>
    </bk>
    <bk>
      <rc t="2" v="7196"/>
    </bk>
    <bk>
      <rc t="2" v="7197"/>
    </bk>
    <bk>
      <rc t="2" v="7198"/>
    </bk>
    <bk>
      <rc t="2" v="7199"/>
    </bk>
    <bk>
      <rc t="2" v="7200"/>
    </bk>
    <bk>
      <rc t="2" v="7201"/>
    </bk>
    <bk>
      <rc t="2" v="7202"/>
    </bk>
    <bk>
      <rc t="2" v="7203"/>
    </bk>
    <bk>
      <rc t="2" v="7204"/>
    </bk>
    <bk>
      <rc t="2" v="7205"/>
    </bk>
    <bk>
      <rc t="2" v="7206"/>
    </bk>
    <bk>
      <rc t="2" v="7207"/>
    </bk>
    <bk>
      <rc t="2" v="7208"/>
    </bk>
    <bk>
      <rc t="2" v="7209"/>
    </bk>
    <bk>
      <rc t="2" v="7210"/>
    </bk>
    <bk>
      <rc t="2" v="7211"/>
    </bk>
    <bk>
      <rc t="2" v="7212"/>
    </bk>
    <bk>
      <rc t="2" v="7213"/>
    </bk>
    <bk>
      <rc t="2" v="7214"/>
    </bk>
    <bk>
      <rc t="2" v="7215"/>
    </bk>
    <bk>
      <rc t="2" v="7216"/>
    </bk>
    <bk>
      <rc t="2" v="7217"/>
    </bk>
    <bk>
      <rc t="2" v="7218"/>
    </bk>
    <bk>
      <rc t="2" v="7219"/>
    </bk>
    <bk>
      <rc t="2" v="7220"/>
    </bk>
    <bk>
      <rc t="2" v="7221"/>
    </bk>
    <bk>
      <rc t="2" v="7222"/>
    </bk>
    <bk>
      <rc t="2" v="7223"/>
    </bk>
    <bk>
      <rc t="2" v="7224"/>
    </bk>
    <bk>
      <rc t="2" v="7225"/>
    </bk>
    <bk>
      <rc t="2" v="7226"/>
    </bk>
    <bk>
      <rc t="2" v="7227"/>
    </bk>
    <bk>
      <rc t="2" v="7228"/>
    </bk>
    <bk>
      <rc t="2" v="7229"/>
    </bk>
    <bk>
      <rc t="2" v="7230"/>
    </bk>
    <bk>
      <rc t="2" v="7231"/>
    </bk>
    <bk>
      <rc t="2" v="7232"/>
    </bk>
    <bk>
      <rc t="2" v="7233"/>
    </bk>
    <bk>
      <rc t="2" v="7234"/>
    </bk>
    <bk>
      <rc t="2" v="7235"/>
    </bk>
    <bk>
      <rc t="2" v="7236"/>
    </bk>
    <bk>
      <rc t="2" v="7237"/>
    </bk>
    <bk>
      <rc t="2" v="7238"/>
    </bk>
    <bk>
      <rc t="2" v="7239"/>
    </bk>
    <bk>
      <rc t="2" v="7240"/>
    </bk>
    <bk>
      <rc t="2" v="7241"/>
    </bk>
    <bk>
      <rc t="2" v="7242"/>
    </bk>
    <bk>
      <rc t="2" v="7243"/>
    </bk>
    <bk>
      <rc t="2" v="7244"/>
    </bk>
    <bk>
      <rc t="2" v="7245"/>
    </bk>
    <bk>
      <rc t="2" v="7246"/>
    </bk>
    <bk>
      <rc t="2" v="7247"/>
    </bk>
    <bk>
      <rc t="2" v="7248"/>
    </bk>
    <bk>
      <rc t="2" v="7249"/>
    </bk>
    <bk>
      <rc t="2" v="7250"/>
    </bk>
    <bk>
      <rc t="2" v="7251"/>
    </bk>
    <bk>
      <rc t="2" v="7252"/>
    </bk>
    <bk>
      <rc t="2" v="7253"/>
    </bk>
    <bk>
      <rc t="2" v="7254"/>
    </bk>
    <bk>
      <rc t="2" v="7255"/>
    </bk>
    <bk>
      <rc t="2" v="7256"/>
    </bk>
    <bk>
      <rc t="2" v="7257"/>
    </bk>
    <bk>
      <rc t="2" v="7258"/>
    </bk>
    <bk>
      <rc t="2" v="7259"/>
    </bk>
    <bk>
      <rc t="2" v="7260"/>
    </bk>
    <bk>
      <rc t="2" v="7261"/>
    </bk>
    <bk>
      <rc t="2" v="7262"/>
    </bk>
    <bk>
      <rc t="2" v="7263"/>
    </bk>
    <bk>
      <rc t="2" v="7264"/>
    </bk>
    <bk>
      <rc t="2" v="7265"/>
    </bk>
    <bk>
      <rc t="2" v="7266"/>
    </bk>
    <bk>
      <rc t="2" v="7267"/>
    </bk>
    <bk>
      <rc t="2" v="7268"/>
    </bk>
    <bk>
      <rc t="2" v="7269"/>
    </bk>
    <bk>
      <rc t="2" v="7270"/>
    </bk>
    <bk>
      <rc t="2" v="7271"/>
    </bk>
    <bk>
      <rc t="2" v="7272"/>
    </bk>
    <bk>
      <rc t="2" v="7273"/>
    </bk>
    <bk>
      <rc t="2" v="7274"/>
    </bk>
    <bk>
      <rc t="2" v="7275"/>
    </bk>
    <bk>
      <rc t="2" v="7276"/>
    </bk>
    <bk>
      <rc t="2" v="7277"/>
    </bk>
    <bk>
      <rc t="2" v="7278"/>
    </bk>
    <bk>
      <rc t="2" v="7279"/>
    </bk>
    <bk>
      <rc t="2" v="7280"/>
    </bk>
    <bk>
      <rc t="2" v="7281"/>
    </bk>
    <bk>
      <rc t="2" v="7282"/>
    </bk>
    <bk>
      <rc t="2" v="7283"/>
    </bk>
    <bk>
      <rc t="2" v="7284"/>
    </bk>
    <bk>
      <rc t="2" v="7285"/>
    </bk>
    <bk>
      <rc t="2" v="7286"/>
    </bk>
    <bk>
      <rc t="2" v="7287"/>
    </bk>
    <bk>
      <rc t="2" v="7288"/>
    </bk>
    <bk>
      <rc t="2" v="7289"/>
    </bk>
    <bk>
      <rc t="2" v="7290"/>
    </bk>
    <bk>
      <rc t="2" v="7291"/>
    </bk>
    <bk>
      <rc t="2" v="7292"/>
    </bk>
    <bk>
      <rc t="2" v="7293"/>
    </bk>
    <bk>
      <rc t="2" v="7294"/>
    </bk>
    <bk>
      <rc t="2" v="7295"/>
    </bk>
    <bk>
      <rc t="2" v="7296"/>
    </bk>
    <bk>
      <rc t="2" v="7297"/>
    </bk>
    <bk>
      <rc t="2" v="7298"/>
    </bk>
    <bk>
      <rc t="2" v="7299"/>
    </bk>
    <bk>
      <rc t="2" v="7300"/>
    </bk>
    <bk>
      <rc t="2" v="7301"/>
    </bk>
    <bk>
      <rc t="2" v="7302"/>
    </bk>
    <bk>
      <rc t="2" v="7303"/>
    </bk>
    <bk>
      <rc t="2" v="7304"/>
    </bk>
    <bk>
      <rc t="2" v="7305"/>
    </bk>
    <bk>
      <rc t="2" v="7306"/>
    </bk>
    <bk>
      <rc t="2" v="7307"/>
    </bk>
    <bk>
      <rc t="2" v="7308"/>
    </bk>
    <bk>
      <rc t="2" v="7309"/>
    </bk>
    <bk>
      <rc t="2" v="7310"/>
    </bk>
    <bk>
      <rc t="2" v="7311"/>
    </bk>
    <bk>
      <rc t="2" v="7312"/>
    </bk>
    <bk>
      <rc t="2" v="7313"/>
    </bk>
    <bk>
      <rc t="2" v="7314"/>
    </bk>
    <bk>
      <rc t="2" v="7315"/>
    </bk>
    <bk>
      <rc t="2" v="7316"/>
    </bk>
    <bk>
      <rc t="2" v="7317"/>
    </bk>
    <bk>
      <rc t="2" v="7318"/>
    </bk>
    <bk>
      <rc t="2" v="7319"/>
    </bk>
    <bk>
      <rc t="2" v="7320"/>
    </bk>
    <bk>
      <rc t="2" v="7321"/>
    </bk>
    <bk>
      <rc t="2" v="7322"/>
    </bk>
    <bk>
      <rc t="2" v="7323"/>
    </bk>
    <bk>
      <rc t="2" v="7324"/>
    </bk>
    <bk>
      <rc t="2" v="7325"/>
    </bk>
    <bk>
      <rc t="2" v="7326"/>
    </bk>
    <bk>
      <rc t="2" v="7327"/>
    </bk>
    <bk>
      <rc t="2" v="7328"/>
    </bk>
    <bk>
      <rc t="2" v="7329"/>
    </bk>
    <bk>
      <rc t="2" v="7330"/>
    </bk>
    <bk>
      <rc t="2" v="7331"/>
    </bk>
    <bk>
      <rc t="2" v="7332"/>
    </bk>
    <bk>
      <rc t="2" v="7333"/>
    </bk>
    <bk>
      <rc t="2" v="7334"/>
    </bk>
    <bk>
      <rc t="2" v="7335"/>
    </bk>
    <bk>
      <rc t="2" v="7336"/>
    </bk>
    <bk>
      <rc t="2" v="7337"/>
    </bk>
    <bk>
      <rc t="2" v="7338"/>
    </bk>
    <bk>
      <rc t="2" v="7339"/>
    </bk>
    <bk>
      <rc t="2" v="7340"/>
    </bk>
    <bk>
      <rc t="2" v="7341"/>
    </bk>
    <bk>
      <rc t="2" v="7342"/>
    </bk>
    <bk>
      <rc t="2" v="7343"/>
    </bk>
    <bk>
      <rc t="2" v="7344"/>
    </bk>
    <bk>
      <rc t="2" v="7345"/>
    </bk>
    <bk>
      <rc t="2" v="7346"/>
    </bk>
    <bk>
      <rc t="2" v="7347"/>
    </bk>
    <bk>
      <rc t="2" v="7348"/>
    </bk>
    <bk>
      <rc t="2" v="7349"/>
    </bk>
    <bk>
      <rc t="2" v="7350"/>
    </bk>
    <bk>
      <rc t="2" v="7351"/>
    </bk>
    <bk>
      <rc t="2" v="7352"/>
    </bk>
    <bk>
      <rc t="2" v="7353"/>
    </bk>
    <bk>
      <rc t="2" v="7354"/>
    </bk>
    <bk>
      <rc t="2" v="7355"/>
    </bk>
    <bk>
      <rc t="2" v="7356"/>
    </bk>
    <bk>
      <rc t="2" v="7357"/>
    </bk>
    <bk>
      <rc t="2" v="7358"/>
    </bk>
    <bk>
      <rc t="2" v="7359"/>
    </bk>
    <bk>
      <rc t="2" v="7360"/>
    </bk>
    <bk>
      <rc t="2" v="7361"/>
    </bk>
    <bk>
      <rc t="2" v="7362"/>
    </bk>
    <bk>
      <rc t="2" v="7363"/>
    </bk>
    <bk>
      <rc t="2" v="7364"/>
    </bk>
    <bk>
      <rc t="2" v="7365"/>
    </bk>
    <bk>
      <rc t="2" v="7366"/>
    </bk>
    <bk>
      <rc t="2" v="7367"/>
    </bk>
    <bk>
      <rc t="2" v="7368"/>
    </bk>
    <bk>
      <rc t="2" v="7369"/>
    </bk>
    <bk>
      <rc t="2" v="7370"/>
    </bk>
    <bk>
      <rc t="2" v="7371"/>
    </bk>
    <bk>
      <rc t="2" v="7372"/>
    </bk>
    <bk>
      <rc t="2" v="7373"/>
    </bk>
    <bk>
      <rc t="2" v="7374"/>
    </bk>
    <bk>
      <rc t="2" v="7375"/>
    </bk>
    <bk>
      <rc t="2" v="7376"/>
    </bk>
    <bk>
      <rc t="2" v="7377"/>
    </bk>
    <bk>
      <rc t="2" v="7378"/>
    </bk>
    <bk>
      <rc t="2" v="7379"/>
    </bk>
    <bk>
      <rc t="2" v="7380"/>
    </bk>
    <bk>
      <rc t="2" v="7381"/>
    </bk>
    <bk>
      <rc t="2" v="7382"/>
    </bk>
    <bk>
      <rc t="2" v="7383"/>
    </bk>
    <bk>
      <rc t="2" v="7384"/>
    </bk>
    <bk>
      <rc t="2" v="7385"/>
    </bk>
    <bk>
      <rc t="2" v="7386"/>
    </bk>
    <bk>
      <rc t="2" v="7387"/>
    </bk>
    <bk>
      <rc t="2" v="7388"/>
    </bk>
    <bk>
      <rc t="2" v="7389"/>
    </bk>
    <bk>
      <rc t="2" v="7390"/>
    </bk>
    <bk>
      <rc t="2" v="7391"/>
    </bk>
    <bk>
      <rc t="2" v="7392"/>
    </bk>
    <bk>
      <rc t="2" v="7393"/>
    </bk>
    <bk>
      <rc t="2" v="7394"/>
    </bk>
    <bk>
      <rc t="2" v="7395"/>
    </bk>
    <bk>
      <rc t="2" v="7396"/>
    </bk>
    <bk>
      <rc t="2" v="7397"/>
    </bk>
    <bk>
      <rc t="2" v="7398"/>
    </bk>
    <bk>
      <rc t="2" v="7399"/>
    </bk>
    <bk>
      <rc t="2" v="7400"/>
    </bk>
    <bk>
      <rc t="2" v="7401"/>
    </bk>
    <bk>
      <rc t="2" v="7402"/>
    </bk>
    <bk>
      <rc t="2" v="7403"/>
    </bk>
    <bk>
      <rc t="2" v="7404"/>
    </bk>
    <bk>
      <rc t="2" v="7405"/>
    </bk>
    <bk>
      <rc t="2" v="7406"/>
    </bk>
    <bk>
      <rc t="2" v="7407"/>
    </bk>
    <bk>
      <rc t="2" v="7408"/>
    </bk>
    <bk>
      <rc t="2" v="7409"/>
    </bk>
    <bk>
      <rc t="2" v="7410"/>
    </bk>
    <bk>
      <rc t="2" v="7411"/>
    </bk>
    <bk>
      <rc t="2" v="7412"/>
    </bk>
    <bk>
      <rc t="2" v="7413"/>
    </bk>
    <bk>
      <rc t="2" v="7414"/>
    </bk>
    <bk>
      <rc t="2" v="7415"/>
    </bk>
    <bk>
      <rc t="2" v="7416"/>
    </bk>
    <bk>
      <rc t="2" v="7417"/>
    </bk>
    <bk>
      <rc t="2" v="7418"/>
    </bk>
    <bk>
      <rc t="2" v="7419"/>
    </bk>
    <bk>
      <rc t="2" v="7420"/>
    </bk>
    <bk>
      <rc t="2" v="7421"/>
    </bk>
    <bk>
      <rc t="2" v="7422"/>
    </bk>
    <bk>
      <rc t="2" v="7423"/>
    </bk>
    <bk>
      <rc t="2" v="7424"/>
    </bk>
    <bk>
      <rc t="2" v="7425"/>
    </bk>
    <bk>
      <rc t="2" v="7426"/>
    </bk>
    <bk>
      <rc t="2" v="7427"/>
    </bk>
    <bk>
      <rc t="2" v="7428"/>
    </bk>
    <bk>
      <rc t="2" v="7429"/>
    </bk>
    <bk>
      <rc t="2" v="7430"/>
    </bk>
    <bk>
      <rc t="2" v="7431"/>
    </bk>
    <bk>
      <rc t="2" v="7432"/>
    </bk>
    <bk>
      <rc t="2" v="7433"/>
    </bk>
    <bk>
      <rc t="2" v="7434"/>
    </bk>
    <bk>
      <rc t="2" v="7435"/>
    </bk>
    <bk>
      <rc t="2" v="7436"/>
    </bk>
    <bk>
      <rc t="2" v="7437"/>
    </bk>
    <bk>
      <rc t="2" v="7438"/>
    </bk>
    <bk>
      <rc t="2" v="7439"/>
    </bk>
    <bk>
      <rc t="2" v="7440"/>
    </bk>
    <bk>
      <rc t="2" v="7441"/>
    </bk>
    <bk>
      <rc t="2" v="7442"/>
    </bk>
    <bk>
      <rc t="2" v="7443"/>
    </bk>
    <bk>
      <rc t="2" v="7444"/>
    </bk>
    <bk>
      <rc t="2" v="7445"/>
    </bk>
    <bk>
      <rc t="2" v="7446"/>
    </bk>
    <bk>
      <rc t="2" v="7447"/>
    </bk>
    <bk>
      <rc t="2" v="7448"/>
    </bk>
    <bk>
      <rc t="2" v="7449"/>
    </bk>
    <bk>
      <rc t="2" v="7450"/>
    </bk>
    <bk>
      <rc t="2" v="7451"/>
    </bk>
    <bk>
      <rc t="2" v="7452"/>
    </bk>
    <bk>
      <rc t="2" v="7453"/>
    </bk>
    <bk>
      <rc t="2" v="7454"/>
    </bk>
    <bk>
      <rc t="2" v="7455"/>
    </bk>
    <bk>
      <rc t="2" v="7456"/>
    </bk>
    <bk>
      <rc t="2" v="7457"/>
    </bk>
    <bk>
      <rc t="2" v="7458"/>
    </bk>
    <bk>
      <rc t="2" v="7459"/>
    </bk>
    <bk>
      <rc t="2" v="7460"/>
    </bk>
    <bk>
      <rc t="2" v="7461"/>
    </bk>
    <bk>
      <rc t="2" v="7462"/>
    </bk>
    <bk>
      <rc t="2" v="7463"/>
    </bk>
    <bk>
      <rc t="2" v="7464"/>
    </bk>
    <bk>
      <rc t="2" v="7465"/>
    </bk>
    <bk>
      <rc t="2" v="7466"/>
    </bk>
    <bk>
      <rc t="2" v="7467"/>
    </bk>
    <bk>
      <rc t="2" v="7468"/>
    </bk>
    <bk>
      <rc t="2" v="7469"/>
    </bk>
    <bk>
      <rc t="2" v="7470"/>
    </bk>
    <bk>
      <rc t="2" v="7471"/>
    </bk>
    <bk>
      <rc t="2" v="7472"/>
    </bk>
    <bk>
      <rc t="2" v="7473"/>
    </bk>
    <bk>
      <rc t="2" v="7474"/>
    </bk>
    <bk>
      <rc t="2" v="7475"/>
    </bk>
    <bk>
      <rc t="2" v="7476"/>
    </bk>
    <bk>
      <rc t="2" v="7477"/>
    </bk>
    <bk>
      <rc t="2" v="7478"/>
    </bk>
    <bk>
      <rc t="2" v="7479"/>
    </bk>
    <bk>
      <rc t="2" v="7480"/>
    </bk>
    <bk>
      <rc t="2" v="7481"/>
    </bk>
    <bk>
      <rc t="2" v="7482"/>
    </bk>
    <bk>
      <rc t="2" v="7483"/>
    </bk>
    <bk>
      <rc t="2" v="7484"/>
    </bk>
    <bk>
      <rc t="2" v="7485"/>
    </bk>
    <bk>
      <rc t="2" v="7486"/>
    </bk>
    <bk>
      <rc t="2" v="7487"/>
    </bk>
    <bk>
      <rc t="2" v="7488"/>
    </bk>
    <bk>
      <rc t="2" v="7489"/>
    </bk>
    <bk>
      <rc t="2" v="7490"/>
    </bk>
    <bk>
      <rc t="2" v="7491"/>
    </bk>
    <bk>
      <rc t="2" v="7492"/>
    </bk>
    <bk>
      <rc t="2" v="7493"/>
    </bk>
    <bk>
      <rc t="2" v="7494"/>
    </bk>
    <bk>
      <rc t="2" v="7495"/>
    </bk>
    <bk>
      <rc t="2" v="7496"/>
    </bk>
    <bk>
      <rc t="2" v="7497"/>
    </bk>
    <bk>
      <rc t="2" v="7498"/>
    </bk>
    <bk>
      <rc t="2" v="7499"/>
    </bk>
    <bk>
      <rc t="2" v="7500"/>
    </bk>
    <bk>
      <rc t="2" v="7501"/>
    </bk>
    <bk>
      <rc t="2" v="7502"/>
    </bk>
    <bk>
      <rc t="2" v="7503"/>
    </bk>
    <bk>
      <rc t="2" v="7504"/>
    </bk>
    <bk>
      <rc t="2" v="7505"/>
    </bk>
    <bk>
      <rc t="2" v="7506"/>
    </bk>
    <bk>
      <rc t="2" v="7507"/>
    </bk>
    <bk>
      <rc t="2" v="7508"/>
    </bk>
    <bk>
      <rc t="2" v="7509"/>
    </bk>
    <bk>
      <rc t="2" v="7510"/>
    </bk>
    <bk>
      <rc t="2" v="7511"/>
    </bk>
    <bk>
      <rc t="2" v="7512"/>
    </bk>
    <bk>
      <rc t="2" v="7513"/>
    </bk>
    <bk>
      <rc t="2" v="7514"/>
    </bk>
    <bk>
      <rc t="2" v="7515"/>
    </bk>
    <bk>
      <rc t="2" v="7516"/>
    </bk>
    <bk>
      <rc t="2" v="7517"/>
    </bk>
    <bk>
      <rc t="2" v="7518"/>
    </bk>
    <bk>
      <rc t="2" v="7519"/>
    </bk>
    <bk>
      <rc t="2" v="7520"/>
    </bk>
    <bk>
      <rc t="2" v="7521"/>
    </bk>
    <bk>
      <rc t="2" v="7522"/>
    </bk>
    <bk>
      <rc t="2" v="7523"/>
    </bk>
    <bk>
      <rc t="2" v="7524"/>
    </bk>
    <bk>
      <rc t="2" v="7525"/>
    </bk>
    <bk>
      <rc t="2" v="7526"/>
    </bk>
    <bk>
      <rc t="2" v="7527"/>
    </bk>
    <bk>
      <rc t="2" v="7528"/>
    </bk>
    <bk>
      <rc t="2" v="7529"/>
    </bk>
    <bk>
      <rc t="2" v="7530"/>
    </bk>
    <bk>
      <rc t="2" v="7531"/>
    </bk>
    <bk>
      <rc t="2" v="7532"/>
    </bk>
    <bk>
      <rc t="2" v="7533"/>
    </bk>
    <bk>
      <rc t="2" v="7534"/>
    </bk>
    <bk>
      <rc t="2" v="7535"/>
    </bk>
    <bk>
      <rc t="2" v="7536"/>
    </bk>
    <bk>
      <rc t="2" v="7537"/>
    </bk>
    <bk>
      <rc t="2" v="7538"/>
    </bk>
    <bk>
      <rc t="2" v="7539"/>
    </bk>
    <bk>
      <rc t="2" v="7540"/>
    </bk>
    <bk>
      <rc t="2" v="7541"/>
    </bk>
    <bk>
      <rc t="2" v="7542"/>
    </bk>
    <bk>
      <rc t="2" v="7543"/>
    </bk>
    <bk>
      <rc t="2" v="7544"/>
    </bk>
    <bk>
      <rc t="2" v="7545"/>
    </bk>
    <bk>
      <rc t="2" v="7546"/>
    </bk>
    <bk>
      <rc t="2" v="7547"/>
    </bk>
    <bk>
      <rc t="2" v="7548"/>
    </bk>
    <bk>
      <rc t="2" v="7549"/>
    </bk>
    <bk>
      <rc t="2" v="7550"/>
    </bk>
    <bk>
      <rc t="2" v="7551"/>
    </bk>
    <bk>
      <rc t="2" v="7552"/>
    </bk>
    <bk>
      <rc t="2" v="7553"/>
    </bk>
    <bk>
      <rc t="2" v="7554"/>
    </bk>
    <bk>
      <rc t="2" v="7555"/>
    </bk>
    <bk>
      <rc t="2" v="7556"/>
    </bk>
    <bk>
      <rc t="2" v="7557"/>
    </bk>
    <bk>
      <rc t="2" v="7558"/>
    </bk>
    <bk>
      <rc t="2" v="7559"/>
    </bk>
    <bk>
      <rc t="2" v="7560"/>
    </bk>
    <bk>
      <rc t="2" v="7561"/>
    </bk>
    <bk>
      <rc t="2" v="7562"/>
    </bk>
    <bk>
      <rc t="2" v="7563"/>
    </bk>
    <bk>
      <rc t="2" v="7564"/>
    </bk>
    <bk>
      <rc t="2" v="7565"/>
    </bk>
    <bk>
      <rc t="2" v="7566"/>
    </bk>
    <bk>
      <rc t="2" v="7567"/>
    </bk>
    <bk>
      <rc t="2" v="7568"/>
    </bk>
    <bk>
      <rc t="2" v="7569"/>
    </bk>
    <bk>
      <rc t="2" v="7570"/>
    </bk>
    <bk>
      <rc t="2" v="7571"/>
    </bk>
    <bk>
      <rc t="2" v="7572"/>
    </bk>
    <bk>
      <rc t="2" v="7573"/>
    </bk>
    <bk>
      <rc t="2" v="7574"/>
    </bk>
    <bk>
      <rc t="2" v="7575"/>
    </bk>
    <bk>
      <rc t="2" v="7576"/>
    </bk>
    <bk>
      <rc t="2" v="7577"/>
    </bk>
    <bk>
      <rc t="2" v="7578"/>
    </bk>
    <bk>
      <rc t="2" v="7579"/>
    </bk>
    <bk>
      <rc t="2" v="7580"/>
    </bk>
    <bk>
      <rc t="2" v="7581"/>
    </bk>
    <bk>
      <rc t="2" v="7582"/>
    </bk>
    <bk>
      <rc t="2" v="7583"/>
    </bk>
    <bk>
      <rc t="2" v="7584"/>
    </bk>
    <bk>
      <rc t="2" v="7585"/>
    </bk>
    <bk>
      <rc t="2" v="7586"/>
    </bk>
    <bk>
      <rc t="2" v="7587"/>
    </bk>
    <bk>
      <rc t="2" v="7588"/>
    </bk>
    <bk>
      <rc t="2" v="7589"/>
    </bk>
    <bk>
      <rc t="2" v="7590"/>
    </bk>
    <bk>
      <rc t="2" v="7591"/>
    </bk>
    <bk>
      <rc t="2" v="7592"/>
    </bk>
    <bk>
      <rc t="2" v="7593"/>
    </bk>
    <bk>
      <rc t="2" v="7594"/>
    </bk>
    <bk>
      <rc t="2" v="7595"/>
    </bk>
    <bk>
      <rc t="2" v="7596"/>
    </bk>
    <bk>
      <rc t="2" v="7597"/>
    </bk>
    <bk>
      <rc t="2" v="7598"/>
    </bk>
    <bk>
      <rc t="2" v="7599"/>
    </bk>
    <bk>
      <rc t="2" v="7600"/>
    </bk>
    <bk>
      <rc t="2" v="7601"/>
    </bk>
    <bk>
      <rc t="2" v="7602"/>
    </bk>
    <bk>
      <rc t="2" v="7603"/>
    </bk>
    <bk>
      <rc t="2" v="7604"/>
    </bk>
    <bk>
      <rc t="2" v="7605"/>
    </bk>
    <bk>
      <rc t="2" v="7606"/>
    </bk>
    <bk>
      <rc t="2" v="7607"/>
    </bk>
    <bk>
      <rc t="2" v="7608"/>
    </bk>
    <bk>
      <rc t="2" v="7609"/>
    </bk>
    <bk>
      <rc t="2" v="7610"/>
    </bk>
    <bk>
      <rc t="2" v="7611"/>
    </bk>
    <bk>
      <rc t="2" v="7612"/>
    </bk>
    <bk>
      <rc t="2" v="7613"/>
    </bk>
    <bk>
      <rc t="2" v="7614"/>
    </bk>
    <bk>
      <rc t="2" v="7615"/>
    </bk>
    <bk>
      <rc t="2" v="7616"/>
    </bk>
    <bk>
      <rc t="2" v="7617"/>
    </bk>
    <bk>
      <rc t="2" v="7618"/>
    </bk>
    <bk>
      <rc t="2" v="7619"/>
    </bk>
    <bk>
      <rc t="2" v="7620"/>
    </bk>
    <bk>
      <rc t="2" v="7621"/>
    </bk>
    <bk>
      <rc t="2" v="7622"/>
    </bk>
    <bk>
      <rc t="2" v="7623"/>
    </bk>
    <bk>
      <rc t="2" v="7624"/>
    </bk>
    <bk>
      <rc t="2" v="7625"/>
    </bk>
    <bk>
      <rc t="2" v="7626"/>
    </bk>
    <bk>
      <rc t="2" v="7627"/>
    </bk>
    <bk>
      <rc t="2" v="7628"/>
    </bk>
    <bk>
      <rc t="2" v="7629"/>
    </bk>
    <bk>
      <rc t="2" v="7630"/>
    </bk>
    <bk>
      <rc t="2" v="7631"/>
    </bk>
    <bk>
      <rc t="2" v="7632"/>
    </bk>
    <bk>
      <rc t="2" v="7633"/>
    </bk>
    <bk>
      <rc t="2" v="7634"/>
    </bk>
    <bk>
      <rc t="2" v="7635"/>
    </bk>
    <bk>
      <rc t="2" v="7636"/>
    </bk>
    <bk>
      <rc t="2" v="7637"/>
    </bk>
    <bk>
      <rc t="2" v="7638"/>
    </bk>
    <bk>
      <rc t="2" v="7639"/>
    </bk>
    <bk>
      <rc t="2" v="7640"/>
    </bk>
    <bk>
      <rc t="2" v="7641"/>
    </bk>
    <bk>
      <rc t="2" v="7642"/>
    </bk>
    <bk>
      <rc t="2" v="7643"/>
    </bk>
    <bk>
      <rc t="2" v="7644"/>
    </bk>
    <bk>
      <rc t="2" v="7645"/>
    </bk>
    <bk>
      <rc t="2" v="7646"/>
    </bk>
    <bk>
      <rc t="2" v="7647"/>
    </bk>
    <bk>
      <rc t="2" v="7648"/>
    </bk>
    <bk>
      <rc t="2" v="7649"/>
    </bk>
    <bk>
      <rc t="2" v="7650"/>
    </bk>
    <bk>
      <rc t="2" v="7651"/>
    </bk>
    <bk>
      <rc t="2" v="7652"/>
    </bk>
    <bk>
      <rc t="2" v="7653"/>
    </bk>
    <bk>
      <rc t="2" v="7654"/>
    </bk>
    <bk>
      <rc t="2" v="7655"/>
    </bk>
    <bk>
      <rc t="2" v="7656"/>
    </bk>
    <bk>
      <rc t="2" v="7657"/>
    </bk>
    <bk>
      <rc t="2" v="7658"/>
    </bk>
    <bk>
      <rc t="2" v="7659"/>
    </bk>
    <bk>
      <rc t="2" v="7660"/>
    </bk>
    <bk>
      <rc t="2" v="7661"/>
    </bk>
    <bk>
      <rc t="2" v="7662"/>
    </bk>
    <bk>
      <rc t="2" v="7663"/>
    </bk>
    <bk>
      <rc t="2" v="7664"/>
    </bk>
    <bk>
      <rc t="2" v="7665"/>
    </bk>
    <bk>
      <rc t="2" v="7666"/>
    </bk>
    <bk>
      <rc t="2" v="7667"/>
    </bk>
    <bk>
      <rc t="2" v="7668"/>
    </bk>
    <bk>
      <rc t="2" v="7669"/>
    </bk>
    <bk>
      <rc t="2" v="7670"/>
    </bk>
    <bk>
      <rc t="2" v="7671"/>
    </bk>
    <bk>
      <rc t="2" v="7672"/>
    </bk>
    <bk>
      <rc t="2" v="7673"/>
    </bk>
    <bk>
      <rc t="2" v="7674"/>
    </bk>
    <bk>
      <rc t="2" v="7675"/>
    </bk>
    <bk>
      <rc t="2" v="7676"/>
    </bk>
    <bk>
      <rc t="2" v="7677"/>
    </bk>
    <bk>
      <rc t="2" v="7678"/>
    </bk>
    <bk>
      <rc t="2" v="7679"/>
    </bk>
    <bk>
      <rc t="2" v="7680"/>
    </bk>
    <bk>
      <rc t="2" v="7681"/>
    </bk>
    <bk>
      <rc t="2" v="7682"/>
    </bk>
    <bk>
      <rc t="2" v="7683"/>
    </bk>
    <bk>
      <rc t="2" v="7684"/>
    </bk>
    <bk>
      <rc t="2" v="7685"/>
    </bk>
    <bk>
      <rc t="2" v="7686"/>
    </bk>
    <bk>
      <rc t="2" v="7687"/>
    </bk>
    <bk>
      <rc t="2" v="7688"/>
    </bk>
    <bk>
      <rc t="2" v="7689"/>
    </bk>
    <bk>
      <rc t="2" v="7690"/>
    </bk>
    <bk>
      <rc t="2" v="7691"/>
    </bk>
    <bk>
      <rc t="2" v="7692"/>
    </bk>
    <bk>
      <rc t="2" v="7693"/>
    </bk>
    <bk>
      <rc t="2" v="7694"/>
    </bk>
    <bk>
      <rc t="2" v="7695"/>
    </bk>
    <bk>
      <rc t="2" v="7696"/>
    </bk>
    <bk>
      <rc t="2" v="7697"/>
    </bk>
    <bk>
      <rc t="2" v="7698"/>
    </bk>
    <bk>
      <rc t="2" v="7699"/>
    </bk>
    <bk>
      <rc t="2" v="7700"/>
    </bk>
    <bk>
      <rc t="2" v="7701"/>
    </bk>
    <bk>
      <rc t="2" v="7702"/>
    </bk>
    <bk>
      <rc t="2" v="7703"/>
    </bk>
    <bk>
      <rc t="2" v="7704"/>
    </bk>
    <bk>
      <rc t="2" v="7705"/>
    </bk>
    <bk>
      <rc t="2" v="7706"/>
    </bk>
    <bk>
      <rc t="2" v="7707"/>
    </bk>
    <bk>
      <rc t="2" v="7708"/>
    </bk>
    <bk>
      <rc t="2" v="7709"/>
    </bk>
    <bk>
      <rc t="2" v="7710"/>
    </bk>
    <bk>
      <rc t="2" v="7711"/>
    </bk>
    <bk>
      <rc t="2" v="7712"/>
    </bk>
    <bk>
      <rc t="2" v="7713"/>
    </bk>
    <bk>
      <rc t="2" v="7714"/>
    </bk>
    <bk>
      <rc t="2" v="7715"/>
    </bk>
    <bk>
      <rc t="2" v="7716"/>
    </bk>
    <bk>
      <rc t="2" v="7717"/>
    </bk>
    <bk>
      <rc t="2" v="7718"/>
    </bk>
    <bk>
      <rc t="2" v="7719"/>
    </bk>
    <bk>
      <rc t="2" v="7720"/>
    </bk>
    <bk>
      <rc t="2" v="7721"/>
    </bk>
    <bk>
      <rc t="2" v="7722"/>
    </bk>
    <bk>
      <rc t="2" v="7723"/>
    </bk>
    <bk>
      <rc t="2" v="7724"/>
    </bk>
    <bk>
      <rc t="2" v="7725"/>
    </bk>
    <bk>
      <rc t="2" v="7726"/>
    </bk>
    <bk>
      <rc t="2" v="7727"/>
    </bk>
    <bk>
      <rc t="2" v="7728"/>
    </bk>
    <bk>
      <rc t="2" v="7729"/>
    </bk>
    <bk>
      <rc t="2" v="7730"/>
    </bk>
    <bk>
      <rc t="2" v="7731"/>
    </bk>
    <bk>
      <rc t="2" v="7732"/>
    </bk>
    <bk>
      <rc t="2" v="7733"/>
    </bk>
    <bk>
      <rc t="2" v="7734"/>
    </bk>
    <bk>
      <rc t="2" v="7735"/>
    </bk>
    <bk>
      <rc t="2" v="7736"/>
    </bk>
    <bk>
      <rc t="2" v="7737"/>
    </bk>
    <bk>
      <rc t="2" v="7738"/>
    </bk>
    <bk>
      <rc t="2" v="7739"/>
    </bk>
    <bk>
      <rc t="2" v="7740"/>
    </bk>
    <bk>
      <rc t="2" v="7741"/>
    </bk>
    <bk>
      <rc t="2" v="7742"/>
    </bk>
    <bk>
      <rc t="2" v="7743"/>
    </bk>
    <bk>
      <rc t="2" v="7744"/>
    </bk>
    <bk>
      <rc t="2" v="7745"/>
    </bk>
    <bk>
      <rc t="2" v="7746"/>
    </bk>
    <bk>
      <rc t="2" v="7747"/>
    </bk>
    <bk>
      <rc t="2" v="7748"/>
    </bk>
    <bk>
      <rc t="2" v="7749"/>
    </bk>
    <bk>
      <rc t="2" v="7750"/>
    </bk>
    <bk>
      <rc t="2" v="7751"/>
    </bk>
    <bk>
      <rc t="2" v="7752"/>
    </bk>
    <bk>
      <rc t="2" v="7753"/>
    </bk>
    <bk>
      <rc t="2" v="7754"/>
    </bk>
    <bk>
      <rc t="2" v="7755"/>
    </bk>
    <bk>
      <rc t="2" v="7756"/>
    </bk>
    <bk>
      <rc t="2" v="7757"/>
    </bk>
    <bk>
      <rc t="2" v="7758"/>
    </bk>
    <bk>
      <rc t="2" v="7759"/>
    </bk>
    <bk>
      <rc t="2" v="7760"/>
    </bk>
    <bk>
      <rc t="2" v="7761"/>
    </bk>
    <bk>
      <rc t="2" v="7762"/>
    </bk>
    <bk>
      <rc t="2" v="7763"/>
    </bk>
    <bk>
      <rc t="2" v="7764"/>
    </bk>
    <bk>
      <rc t="2" v="7765"/>
    </bk>
    <bk>
      <rc t="2" v="7766"/>
    </bk>
    <bk>
      <rc t="2" v="7767"/>
    </bk>
    <bk>
      <rc t="2" v="7768"/>
    </bk>
    <bk>
      <rc t="2" v="7769"/>
    </bk>
    <bk>
      <rc t="2" v="7770"/>
    </bk>
    <bk>
      <rc t="2" v="7771"/>
    </bk>
    <bk>
      <rc t="2" v="7772"/>
    </bk>
    <bk>
      <rc t="2" v="7773"/>
    </bk>
    <bk>
      <rc t="2" v="7774"/>
    </bk>
    <bk>
      <rc t="2" v="7775"/>
    </bk>
    <bk>
      <rc t="2" v="7776"/>
    </bk>
    <bk>
      <rc t="2" v="7777"/>
    </bk>
    <bk>
      <rc t="2" v="7778"/>
    </bk>
    <bk>
      <rc t="2" v="7779"/>
    </bk>
    <bk>
      <rc t="2" v="7780"/>
    </bk>
    <bk>
      <rc t="2" v="7781"/>
    </bk>
    <bk>
      <rc t="2" v="7782"/>
    </bk>
    <bk>
      <rc t="2" v="7783"/>
    </bk>
    <bk>
      <rc t="2" v="7784"/>
    </bk>
    <bk>
      <rc t="2" v="7785"/>
    </bk>
    <bk>
      <rc t="2" v="7786"/>
    </bk>
    <bk>
      <rc t="2" v="7787"/>
    </bk>
    <bk>
      <rc t="2" v="7788"/>
    </bk>
    <bk>
      <rc t="2" v="7789"/>
    </bk>
    <bk>
      <rc t="2" v="7790"/>
    </bk>
    <bk>
      <rc t="2" v="7791"/>
    </bk>
    <bk>
      <rc t="2" v="7792"/>
    </bk>
    <bk>
      <rc t="2" v="7793"/>
    </bk>
    <bk>
      <rc t="2" v="7794"/>
    </bk>
    <bk>
      <rc t="2" v="7795"/>
    </bk>
    <bk>
      <rc t="2" v="7796"/>
    </bk>
    <bk>
      <rc t="2" v="7797"/>
    </bk>
    <bk>
      <rc t="2" v="7798"/>
    </bk>
    <bk>
      <rc t="2" v="7799"/>
    </bk>
    <bk>
      <rc t="2" v="7800"/>
    </bk>
    <bk>
      <rc t="2" v="7801"/>
    </bk>
    <bk>
      <rc t="2" v="7802"/>
    </bk>
    <bk>
      <rc t="2" v="7803"/>
    </bk>
    <bk>
      <rc t="2" v="7804"/>
    </bk>
    <bk>
      <rc t="2" v="7805"/>
    </bk>
    <bk>
      <rc t="2" v="7806"/>
    </bk>
    <bk>
      <rc t="2" v="7807"/>
    </bk>
    <bk>
      <rc t="2" v="7808"/>
    </bk>
    <bk>
      <rc t="2" v="7809"/>
    </bk>
    <bk>
      <rc t="2" v="7810"/>
    </bk>
    <bk>
      <rc t="2" v="7811"/>
    </bk>
    <bk>
      <rc t="2" v="7812"/>
    </bk>
    <bk>
      <rc t="2" v="7813"/>
    </bk>
    <bk>
      <rc t="2" v="7814"/>
    </bk>
    <bk>
      <rc t="2" v="7815"/>
    </bk>
    <bk>
      <rc t="2" v="7816"/>
    </bk>
    <bk>
      <rc t="2" v="7817"/>
    </bk>
    <bk>
      <rc t="2" v="7818"/>
    </bk>
    <bk>
      <rc t="2" v="7819"/>
    </bk>
    <bk>
      <rc t="2" v="7820"/>
    </bk>
    <bk>
      <rc t="2" v="7821"/>
    </bk>
    <bk>
      <rc t="2" v="7822"/>
    </bk>
    <bk>
      <rc t="2" v="7823"/>
    </bk>
    <bk>
      <rc t="2" v="7824"/>
    </bk>
    <bk>
      <rc t="2" v="7825"/>
    </bk>
    <bk>
      <rc t="2" v="7826"/>
    </bk>
    <bk>
      <rc t="2" v="7827"/>
    </bk>
    <bk>
      <rc t="2" v="7828"/>
    </bk>
    <bk>
      <rc t="2" v="7829"/>
    </bk>
    <bk>
      <rc t="2" v="7830"/>
    </bk>
    <bk>
      <rc t="2" v="7831"/>
    </bk>
    <bk>
      <rc t="2" v="7832"/>
    </bk>
    <bk>
      <rc t="2" v="7833"/>
    </bk>
    <bk>
      <rc t="2" v="7834"/>
    </bk>
    <bk>
      <rc t="2" v="7835"/>
    </bk>
    <bk>
      <rc t="2" v="7836"/>
    </bk>
    <bk>
      <rc t="2" v="7837"/>
    </bk>
    <bk>
      <rc t="2" v="7838"/>
    </bk>
    <bk>
      <rc t="2" v="7839"/>
    </bk>
    <bk>
      <rc t="2" v="7840"/>
    </bk>
    <bk>
      <rc t="2" v="7841"/>
    </bk>
    <bk>
      <rc t="2" v="7842"/>
    </bk>
    <bk>
      <rc t="2" v="7843"/>
    </bk>
    <bk>
      <rc t="2" v="7844"/>
    </bk>
    <bk>
      <rc t="2" v="7845"/>
    </bk>
    <bk>
      <rc t="2" v="7846"/>
    </bk>
    <bk>
      <rc t="2" v="7847"/>
    </bk>
    <bk>
      <rc t="2" v="7848"/>
    </bk>
    <bk>
      <rc t="2" v="7849"/>
    </bk>
    <bk>
      <rc t="2" v="7850"/>
    </bk>
    <bk>
      <rc t="2" v="7851"/>
    </bk>
    <bk>
      <rc t="2" v="7852"/>
    </bk>
    <bk>
      <rc t="2" v="7853"/>
    </bk>
    <bk>
      <rc t="2" v="7854"/>
    </bk>
    <bk>
      <rc t="2" v="7855"/>
    </bk>
    <bk>
      <rc t="2" v="7856"/>
    </bk>
    <bk>
      <rc t="2" v="7857"/>
    </bk>
    <bk>
      <rc t="2" v="7858"/>
    </bk>
    <bk>
      <rc t="2" v="7859"/>
    </bk>
    <bk>
      <rc t="2" v="7860"/>
    </bk>
    <bk>
      <rc t="2" v="7861"/>
    </bk>
    <bk>
      <rc t="2" v="7862"/>
    </bk>
    <bk>
      <rc t="2" v="7863"/>
    </bk>
    <bk>
      <rc t="2" v="7864"/>
    </bk>
    <bk>
      <rc t="2" v="7865"/>
    </bk>
    <bk>
      <rc t="2" v="7866"/>
    </bk>
    <bk>
      <rc t="2" v="7867"/>
    </bk>
    <bk>
      <rc t="2" v="7868"/>
    </bk>
    <bk>
      <rc t="2" v="7869"/>
    </bk>
    <bk>
      <rc t="2" v="7870"/>
    </bk>
    <bk>
      <rc t="2" v="7871"/>
    </bk>
    <bk>
      <rc t="2" v="7872"/>
    </bk>
    <bk>
      <rc t="2" v="7873"/>
    </bk>
    <bk>
      <rc t="2" v="7874"/>
    </bk>
    <bk>
      <rc t="2" v="7875"/>
    </bk>
    <bk>
      <rc t="2" v="7876"/>
    </bk>
    <bk>
      <rc t="2" v="7877"/>
    </bk>
    <bk>
      <rc t="2" v="7878"/>
    </bk>
    <bk>
      <rc t="2" v="7879"/>
    </bk>
    <bk>
      <rc t="2" v="7880"/>
    </bk>
    <bk>
      <rc t="2" v="7881"/>
    </bk>
    <bk>
      <rc t="2" v="7882"/>
    </bk>
    <bk>
      <rc t="2" v="7883"/>
    </bk>
    <bk>
      <rc t="2" v="7884"/>
    </bk>
    <bk>
      <rc t="2" v="7885"/>
    </bk>
    <bk>
      <rc t="2" v="7886"/>
    </bk>
    <bk>
      <rc t="2" v="7887"/>
    </bk>
    <bk>
      <rc t="2" v="7888"/>
    </bk>
    <bk>
      <rc t="2" v="7889"/>
    </bk>
    <bk>
      <rc t="2" v="7890"/>
    </bk>
    <bk>
      <rc t="2" v="7891"/>
    </bk>
    <bk>
      <rc t="2" v="7892"/>
    </bk>
    <bk>
      <rc t="2" v="7893"/>
    </bk>
    <bk>
      <rc t="2" v="7894"/>
    </bk>
    <bk>
      <rc t="2" v="7895"/>
    </bk>
    <bk>
      <rc t="2" v="7896"/>
    </bk>
    <bk>
      <rc t="2" v="7897"/>
    </bk>
    <bk>
      <rc t="2" v="7898"/>
    </bk>
    <bk>
      <rc t="2" v="7899"/>
    </bk>
    <bk>
      <rc t="2" v="7900"/>
    </bk>
    <bk>
      <rc t="2" v="7901"/>
    </bk>
    <bk>
      <rc t="2" v="7902"/>
    </bk>
    <bk>
      <rc t="2" v="7903"/>
    </bk>
    <bk>
      <rc t="2" v="7904"/>
    </bk>
    <bk>
      <rc t="2" v="7905"/>
    </bk>
    <bk>
      <rc t="2" v="7906"/>
    </bk>
    <bk>
      <rc t="2" v="7907"/>
    </bk>
    <bk>
      <rc t="2" v="7908"/>
    </bk>
    <bk>
      <rc t="2" v="7909"/>
    </bk>
    <bk>
      <rc t="2" v="7910"/>
    </bk>
    <bk>
      <rc t="2" v="7911"/>
    </bk>
    <bk>
      <rc t="2" v="7912"/>
    </bk>
    <bk>
      <rc t="2" v="7913"/>
    </bk>
    <bk>
      <rc t="2" v="7914"/>
    </bk>
    <bk>
      <rc t="2" v="7915"/>
    </bk>
    <bk>
      <rc t="2" v="7916"/>
    </bk>
    <bk>
      <rc t="2" v="7917"/>
    </bk>
    <bk>
      <rc t="2" v="7918"/>
    </bk>
    <bk>
      <rc t="2" v="7919"/>
    </bk>
    <bk>
      <rc t="2" v="7920"/>
    </bk>
    <bk>
      <rc t="2" v="7921"/>
    </bk>
    <bk>
      <rc t="2" v="7922"/>
    </bk>
    <bk>
      <rc t="2" v="7923"/>
    </bk>
    <bk>
      <rc t="2" v="7924"/>
    </bk>
    <bk>
      <rc t="2" v="7925"/>
    </bk>
    <bk>
      <rc t="2" v="7926"/>
    </bk>
    <bk>
      <rc t="2" v="7927"/>
    </bk>
    <bk>
      <rc t="2" v="7928"/>
    </bk>
    <bk>
      <rc t="2" v="7929"/>
    </bk>
    <bk>
      <rc t="2" v="7930"/>
    </bk>
    <bk>
      <rc t="2" v="7931"/>
    </bk>
    <bk>
      <rc t="2" v="7932"/>
    </bk>
    <bk>
      <rc t="2" v="7933"/>
    </bk>
    <bk>
      <rc t="2" v="7934"/>
    </bk>
    <bk>
      <rc t="2" v="7935"/>
    </bk>
    <bk>
      <rc t="2" v="7936"/>
    </bk>
    <bk>
      <rc t="2" v="7937"/>
    </bk>
    <bk>
      <rc t="2" v="7938"/>
    </bk>
    <bk>
      <rc t="2" v="7939"/>
    </bk>
    <bk>
      <rc t="2" v="7940"/>
    </bk>
    <bk>
      <rc t="2" v="7941"/>
    </bk>
    <bk>
      <rc t="2" v="7942"/>
    </bk>
    <bk>
      <rc t="2" v="7943"/>
    </bk>
    <bk>
      <rc t="2" v="7944"/>
    </bk>
    <bk>
      <rc t="2" v="7945"/>
    </bk>
    <bk>
      <rc t="2" v="7946"/>
    </bk>
    <bk>
      <rc t="2" v="7947"/>
    </bk>
    <bk>
      <rc t="2" v="7948"/>
    </bk>
    <bk>
      <rc t="2" v="7949"/>
    </bk>
    <bk>
      <rc t="2" v="7950"/>
    </bk>
    <bk>
      <rc t="2" v="7951"/>
    </bk>
    <bk>
      <rc t="2" v="7952"/>
    </bk>
    <bk>
      <rc t="2" v="7953"/>
    </bk>
    <bk>
      <rc t="2" v="7954"/>
    </bk>
    <bk>
      <rc t="2" v="7955"/>
    </bk>
    <bk>
      <rc t="2" v="7956"/>
    </bk>
    <bk>
      <rc t="2" v="7957"/>
    </bk>
    <bk>
      <rc t="2" v="7958"/>
    </bk>
    <bk>
      <rc t="2" v="7959"/>
    </bk>
    <bk>
      <rc t="2" v="7960"/>
    </bk>
    <bk>
      <rc t="2" v="7961"/>
    </bk>
    <bk>
      <rc t="2" v="7962"/>
    </bk>
    <bk>
      <rc t="2" v="7963"/>
    </bk>
    <bk>
      <rc t="2" v="7964"/>
    </bk>
    <bk>
      <rc t="2" v="7965"/>
    </bk>
    <bk>
      <rc t="2" v="7966"/>
    </bk>
    <bk>
      <rc t="2" v="7967"/>
    </bk>
    <bk>
      <rc t="2" v="7968"/>
    </bk>
    <bk>
      <rc t="2" v="7969"/>
    </bk>
    <bk>
      <rc t="2" v="7970"/>
    </bk>
    <bk>
      <rc t="2" v="7971"/>
    </bk>
    <bk>
      <rc t="2" v="7972"/>
    </bk>
    <bk>
      <rc t="2" v="7973"/>
    </bk>
    <bk>
      <rc t="2" v="7974"/>
    </bk>
    <bk>
      <rc t="2" v="7975"/>
    </bk>
    <bk>
      <rc t="2" v="7976"/>
    </bk>
    <bk>
      <rc t="2" v="7977"/>
    </bk>
    <bk>
      <rc t="2" v="7978"/>
    </bk>
    <bk>
      <rc t="2" v="7979"/>
    </bk>
    <bk>
      <rc t="2" v="7980"/>
    </bk>
    <bk>
      <rc t="2" v="7981"/>
    </bk>
    <bk>
      <rc t="2" v="7982"/>
    </bk>
    <bk>
      <rc t="2" v="7983"/>
    </bk>
    <bk>
      <rc t="2" v="7984"/>
    </bk>
    <bk>
      <rc t="2" v="7985"/>
    </bk>
    <bk>
      <rc t="2" v="7986"/>
    </bk>
    <bk>
      <rc t="2" v="7987"/>
    </bk>
    <bk>
      <rc t="2" v="7988"/>
    </bk>
    <bk>
      <rc t="2" v="7989"/>
    </bk>
    <bk>
      <rc t="2" v="7990"/>
    </bk>
    <bk>
      <rc t="2" v="7991"/>
    </bk>
    <bk>
      <rc t="2" v="7992"/>
    </bk>
    <bk>
      <rc t="2" v="7993"/>
    </bk>
    <bk>
      <rc t="2" v="7994"/>
    </bk>
    <bk>
      <rc t="2" v="7995"/>
    </bk>
    <bk>
      <rc t="2" v="7996"/>
    </bk>
    <bk>
      <rc t="2" v="7997"/>
    </bk>
    <bk>
      <rc t="2" v="7998"/>
    </bk>
    <bk>
      <rc t="2" v="7999"/>
    </bk>
    <bk>
      <rc t="2" v="8000"/>
    </bk>
    <bk>
      <rc t="2" v="8001"/>
    </bk>
    <bk>
      <rc t="2" v="8002"/>
    </bk>
    <bk>
      <rc t="2" v="8003"/>
    </bk>
    <bk>
      <rc t="2" v="8004"/>
    </bk>
    <bk>
      <rc t="2" v="8005"/>
    </bk>
    <bk>
      <rc t="2" v="8006"/>
    </bk>
    <bk>
      <rc t="2" v="8007"/>
    </bk>
    <bk>
      <rc t="2" v="8008"/>
    </bk>
    <bk>
      <rc t="2" v="8009"/>
    </bk>
    <bk>
      <rc t="2" v="8010"/>
    </bk>
    <bk>
      <rc t="2" v="8011"/>
    </bk>
    <bk>
      <rc t="2" v="8012"/>
    </bk>
    <bk>
      <rc t="2" v="8013"/>
    </bk>
    <bk>
      <rc t="2" v="8014"/>
    </bk>
    <bk>
      <rc t="2" v="8015"/>
    </bk>
    <bk>
      <rc t="2" v="8016"/>
    </bk>
    <bk>
      <rc t="2" v="8017"/>
    </bk>
    <bk>
      <rc t="2" v="8018"/>
    </bk>
    <bk>
      <rc t="2" v="8019"/>
    </bk>
    <bk>
      <rc t="2" v="8020"/>
    </bk>
    <bk>
      <rc t="2" v="8021"/>
    </bk>
    <bk>
      <rc t="2" v="8022"/>
    </bk>
    <bk>
      <rc t="2" v="8023"/>
    </bk>
    <bk>
      <rc t="2" v="8024"/>
    </bk>
    <bk>
      <rc t="2" v="8025"/>
    </bk>
    <bk>
      <rc t="2" v="8026"/>
    </bk>
    <bk>
      <rc t="2" v="8027"/>
    </bk>
    <bk>
      <rc t="2" v="8028"/>
    </bk>
    <bk>
      <rc t="2" v="8029"/>
    </bk>
    <bk>
      <rc t="2" v="8030"/>
    </bk>
    <bk>
      <rc t="2" v="8031"/>
    </bk>
    <bk>
      <rc t="2" v="8032"/>
    </bk>
    <bk>
      <rc t="2" v="8033"/>
    </bk>
    <bk>
      <rc t="2" v="8034"/>
    </bk>
    <bk>
      <rc t="2" v="8035"/>
    </bk>
    <bk>
      <rc t="2" v="8036"/>
    </bk>
    <bk>
      <rc t="2" v="8037"/>
    </bk>
    <bk>
      <rc t="2" v="8038"/>
    </bk>
    <bk>
      <rc t="2" v="8039"/>
    </bk>
    <bk>
      <rc t="2" v="8040"/>
    </bk>
    <bk>
      <rc t="2" v="8041"/>
    </bk>
    <bk>
      <rc t="2" v="8042"/>
    </bk>
    <bk>
      <rc t="2" v="8043"/>
    </bk>
    <bk>
      <rc t="2" v="8044"/>
    </bk>
    <bk>
      <rc t="2" v="8045"/>
    </bk>
    <bk>
      <rc t="2" v="8046"/>
    </bk>
    <bk>
      <rc t="2" v="8047"/>
    </bk>
    <bk>
      <rc t="2" v="8048"/>
    </bk>
    <bk>
      <rc t="2" v="8049"/>
    </bk>
    <bk>
      <rc t="2" v="8050"/>
    </bk>
    <bk>
      <rc t="2" v="8051"/>
    </bk>
    <bk>
      <rc t="2" v="8052"/>
    </bk>
    <bk>
      <rc t="2" v="8053"/>
    </bk>
    <bk>
      <rc t="2" v="8054"/>
    </bk>
    <bk>
      <rc t="2" v="8055"/>
    </bk>
    <bk>
      <rc t="2" v="8056"/>
    </bk>
    <bk>
      <rc t="2" v="8057"/>
    </bk>
    <bk>
      <rc t="2" v="8058"/>
    </bk>
    <bk>
      <rc t="2" v="8059"/>
    </bk>
    <bk>
      <rc t="2" v="8060"/>
    </bk>
    <bk>
      <rc t="2" v="8061"/>
    </bk>
    <bk>
      <rc t="2" v="8062"/>
    </bk>
    <bk>
      <rc t="2" v="8063"/>
    </bk>
    <bk>
      <rc t="2" v="8064"/>
    </bk>
    <bk>
      <rc t="2" v="8065"/>
    </bk>
    <bk>
      <rc t="2" v="8066"/>
    </bk>
    <bk>
      <rc t="2" v="8067"/>
    </bk>
    <bk>
      <rc t="2" v="8068"/>
    </bk>
    <bk>
      <rc t="2" v="8069"/>
    </bk>
    <bk>
      <rc t="2" v="8070"/>
    </bk>
    <bk>
      <rc t="2" v="8071"/>
    </bk>
    <bk>
      <rc t="2" v="8072"/>
    </bk>
    <bk>
      <rc t="2" v="8073"/>
    </bk>
    <bk>
      <rc t="2" v="8074"/>
    </bk>
    <bk>
      <rc t="2" v="8075"/>
    </bk>
    <bk>
      <rc t="2" v="8076"/>
    </bk>
    <bk>
      <rc t="2" v="8077"/>
    </bk>
    <bk>
      <rc t="2" v="8078"/>
    </bk>
    <bk>
      <rc t="2" v="8079"/>
    </bk>
    <bk>
      <rc t="2" v="8080"/>
    </bk>
    <bk>
      <rc t="2" v="8081"/>
    </bk>
    <bk>
      <rc t="2" v="8082"/>
    </bk>
    <bk>
      <rc t="2" v="8083"/>
    </bk>
    <bk>
      <rc t="2" v="8084"/>
    </bk>
    <bk>
      <rc t="2" v="8085"/>
    </bk>
    <bk>
      <rc t="2" v="8086"/>
    </bk>
    <bk>
      <rc t="2" v="8087"/>
    </bk>
    <bk>
      <rc t="2" v="8088"/>
    </bk>
    <bk>
      <rc t="2" v="8089"/>
    </bk>
    <bk>
      <rc t="2" v="8090"/>
    </bk>
    <bk>
      <rc t="2" v="8091"/>
    </bk>
    <bk>
      <rc t="2" v="8092"/>
    </bk>
    <bk>
      <rc t="2" v="8093"/>
    </bk>
    <bk>
      <rc t="2" v="8094"/>
    </bk>
    <bk>
      <rc t="2" v="8095"/>
    </bk>
    <bk>
      <rc t="2" v="8096"/>
    </bk>
    <bk>
      <rc t="2" v="8097"/>
    </bk>
    <bk>
      <rc t="2" v="8098"/>
    </bk>
    <bk>
      <rc t="2" v="8099"/>
    </bk>
    <bk>
      <rc t="2" v="8100"/>
    </bk>
    <bk>
      <rc t="2" v="8101"/>
    </bk>
    <bk>
      <rc t="2" v="8102"/>
    </bk>
    <bk>
      <rc t="2" v="8103"/>
    </bk>
    <bk>
      <rc t="2" v="8104"/>
    </bk>
    <bk>
      <rc t="2" v="8105"/>
    </bk>
    <bk>
      <rc t="2" v="8106"/>
    </bk>
    <bk>
      <rc t="2" v="8107"/>
    </bk>
    <bk>
      <rc t="2" v="8108"/>
    </bk>
    <bk>
      <rc t="2" v="8109"/>
    </bk>
    <bk>
      <rc t="2" v="8110"/>
    </bk>
    <bk>
      <rc t="2" v="8111"/>
    </bk>
    <bk>
      <rc t="2" v="8112"/>
    </bk>
    <bk>
      <rc t="2" v="8113"/>
    </bk>
    <bk>
      <rc t="2" v="8114"/>
    </bk>
    <bk>
      <rc t="2" v="8115"/>
    </bk>
    <bk>
      <rc t="2" v="8116"/>
    </bk>
    <bk>
      <rc t="2" v="8117"/>
    </bk>
    <bk>
      <rc t="2" v="8118"/>
    </bk>
    <bk>
      <rc t="2" v="8119"/>
    </bk>
    <bk>
      <rc t="2" v="8120"/>
    </bk>
    <bk>
      <rc t="2" v="8121"/>
    </bk>
    <bk>
      <rc t="2" v="8122"/>
    </bk>
    <bk>
      <rc t="2" v="8123"/>
    </bk>
    <bk>
      <rc t="2" v="8124"/>
    </bk>
    <bk>
      <rc t="2" v="8125"/>
    </bk>
    <bk>
      <rc t="2" v="8126"/>
    </bk>
    <bk>
      <rc t="2" v="8127"/>
    </bk>
    <bk>
      <rc t="2" v="8128"/>
    </bk>
    <bk>
      <rc t="2" v="8129"/>
    </bk>
    <bk>
      <rc t="2" v="8130"/>
    </bk>
    <bk>
      <rc t="2" v="8131"/>
    </bk>
    <bk>
      <rc t="2" v="8132"/>
    </bk>
    <bk>
      <rc t="2" v="8133"/>
    </bk>
    <bk>
      <rc t="2" v="8134"/>
    </bk>
    <bk>
      <rc t="2" v="8135"/>
    </bk>
    <bk>
      <rc t="2" v="8136"/>
    </bk>
    <bk>
      <rc t="2" v="8137"/>
    </bk>
    <bk>
      <rc t="2" v="8138"/>
    </bk>
    <bk>
      <rc t="2" v="8139"/>
    </bk>
    <bk>
      <rc t="2" v="8140"/>
    </bk>
    <bk>
      <rc t="2" v="8141"/>
    </bk>
    <bk>
      <rc t="2" v="8142"/>
    </bk>
    <bk>
      <rc t="2" v="8143"/>
    </bk>
    <bk>
      <rc t="2" v="8144"/>
    </bk>
    <bk>
      <rc t="2" v="8145"/>
    </bk>
    <bk>
      <rc t="2" v="8146"/>
    </bk>
    <bk>
      <rc t="2" v="8147"/>
    </bk>
    <bk>
      <rc t="2" v="8148"/>
    </bk>
    <bk>
      <rc t="2" v="8149"/>
    </bk>
    <bk>
      <rc t="2" v="8150"/>
    </bk>
    <bk>
      <rc t="2" v="8151"/>
    </bk>
    <bk>
      <rc t="2" v="8152"/>
    </bk>
    <bk>
      <rc t="2" v="8153"/>
    </bk>
    <bk>
      <rc t="2" v="8154"/>
    </bk>
    <bk>
      <rc t="2" v="8155"/>
    </bk>
    <bk>
      <rc t="2" v="8156"/>
    </bk>
    <bk>
      <rc t="2" v="8157"/>
    </bk>
    <bk>
      <rc t="2" v="8158"/>
    </bk>
    <bk>
      <rc t="2" v="8159"/>
    </bk>
    <bk>
      <rc t="2" v="8160"/>
    </bk>
    <bk>
      <rc t="2" v="8161"/>
    </bk>
  </valueMetadata>
</metadata>
</file>

<file path=xl/sharedStrings.xml><?xml version="1.0" encoding="utf-8"?>
<sst xmlns="http://schemas.openxmlformats.org/spreadsheetml/2006/main" count="115" uniqueCount="63">
  <si>
    <t>MSFT: Microsoft</t>
  </si>
  <si>
    <t>T: AT&amp;T</t>
  </si>
  <si>
    <t>V: Visa Inc.</t>
  </si>
  <si>
    <t>A: Agilent Technologies</t>
  </si>
  <si>
    <t>X: US Steel</t>
  </si>
  <si>
    <t>SPOT: Spotify SA</t>
  </si>
  <si>
    <t>VXX: Instability Index</t>
  </si>
  <si>
    <t>MSTR: MicroStrategy Corp.</t>
  </si>
  <si>
    <t>MSFT Return</t>
  </si>
  <si>
    <t>T Return</t>
  </si>
  <si>
    <t>V Return</t>
  </si>
  <si>
    <t>A Return</t>
  </si>
  <si>
    <t>X Return</t>
  </si>
  <si>
    <t>SPOT Return</t>
  </si>
  <si>
    <t>VXX Return</t>
  </si>
  <si>
    <t>MSTR Return</t>
  </si>
  <si>
    <t>%</t>
  </si>
  <si>
    <t>X</t>
  </si>
  <si>
    <t>Price Data</t>
  </si>
  <si>
    <t>MSFT</t>
  </si>
  <si>
    <t>T</t>
  </si>
  <si>
    <t>V</t>
  </si>
  <si>
    <t>A</t>
  </si>
  <si>
    <t>SPOT</t>
  </si>
  <si>
    <t>VXX</t>
  </si>
  <si>
    <t>MSTR</t>
  </si>
  <si>
    <t>Population STDEV</t>
  </si>
  <si>
    <t>Sample STDEV</t>
  </si>
  <si>
    <t>Population Variance</t>
  </si>
  <si>
    <t>Sample Variance</t>
  </si>
  <si>
    <t>Percent Returns</t>
  </si>
  <si>
    <t>Portfolio Weight</t>
  </si>
  <si>
    <t>Summed Percent Return for Period</t>
  </si>
  <si>
    <t>Total Price Return From December 1st, 2020</t>
  </si>
  <si>
    <t>[Fill This In] Percent Return Per Day</t>
  </si>
  <si>
    <t>Table of Contents</t>
  </si>
  <si>
    <t>Extremes</t>
  </si>
  <si>
    <t>Highest Daily Return</t>
  </si>
  <si>
    <t>Lowest Daily Return</t>
  </si>
  <si>
    <t>Portfolio Parameters</t>
  </si>
  <si>
    <t>Low</t>
  </si>
  <si>
    <t>Expected</t>
  </si>
  <si>
    <t>High</t>
  </si>
  <si>
    <t>Initial Value</t>
  </si>
  <si>
    <t>Prices</t>
  </si>
  <si>
    <t>Initial Value Divided by Weight</t>
  </si>
  <si>
    <t>[ID Dist with Expected Value of 10,000]</t>
  </si>
  <si>
    <t>Returns</t>
  </si>
  <si>
    <t>Context</t>
  </si>
  <si>
    <t>Outputs</t>
  </si>
  <si>
    <t>Final Value</t>
  </si>
  <si>
    <t>Simulation Settings</t>
  </si>
  <si>
    <t>Simulation Inputs</t>
  </si>
  <si>
    <t>Simulation Outputs</t>
  </si>
  <si>
    <t>Seed</t>
  </si>
  <si>
    <t>Update Screen</t>
  </si>
  <si>
    <t>Range</t>
  </si>
  <si>
    <t>Formula</t>
  </si>
  <si>
    <t>Iterations</t>
  </si>
  <si>
    <t>Latin Hypercube</t>
  </si>
  <si>
    <t>Calculate data dables during simulation</t>
  </si>
  <si>
    <t>Macro to run before each iteration</t>
  </si>
  <si>
    <t>Macro to run after each 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</si>
</sst>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164" formatCode="0.0%"/>
    <numFmt numFmtId="166" formatCode="0.000%"/>
    <numFmt numFmtId="169" formatCode="_(&quot;$&quot;* #,##0.000_);_(&quot;$&quot;* \(#,##0.0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b/>
      <sz val="11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6" fillId="6" borderId="2" applyNumberFormat="0" applyAlignment="0" applyProtection="0"/>
    <xf numFmtId="0" fontId="1" fillId="7" borderId="3" applyNumberFormat="0" applyFont="0" applyAlignment="0" applyProtection="0"/>
  </cellStyleXfs>
  <cellXfs count="50">
    <xf numFmtId="0" fontId="0" fillId="0" borderId="0" xfId="0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/>
    <xf numFmtId="0" fontId="7" fillId="0" borderId="0" xfId="0" applyFont="1"/>
    <xf numFmtId="0" fontId="7" fillId="0" borderId="8" xfId="0" applyFont="1" applyBorder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8" xfId="0" applyFont="1" applyBorder="1" applyAlignment="1">
      <alignment horizontal="center"/>
    </xf>
    <xf numFmtId="0" fontId="7" fillId="8" borderId="9" xfId="0" applyFont="1" applyFill="1" applyBorder="1"/>
    <xf numFmtId="0" fontId="7" fillId="8" borderId="10" xfId="0" applyFont="1" applyFill="1" applyBorder="1"/>
    <xf numFmtId="0" fontId="0" fillId="8" borderId="11" xfId="0" applyFill="1" applyBorder="1"/>
    <xf numFmtId="0" fontId="8" fillId="0" borderId="4" xfId="0" applyFont="1" applyBorder="1" applyAlignment="1">
      <alignment horizontal="left"/>
    </xf>
    <xf numFmtId="0" fontId="7" fillId="0" borderId="5" xfId="0" applyFont="1" applyBorder="1"/>
    <xf numFmtId="0" fontId="7" fillId="0" borderId="6" xfId="0" applyFont="1" applyBorder="1"/>
    <xf numFmtId="0" fontId="7" fillId="0" borderId="9" xfId="0" applyFont="1" applyBorder="1"/>
    <xf numFmtId="0" fontId="8" fillId="0" borderId="4" xfId="0" applyFont="1" applyBorder="1"/>
    <xf numFmtId="44" fontId="7" fillId="0" borderId="0" xfId="1" applyFont="1"/>
    <xf numFmtId="0" fontId="7" fillId="0" borderId="0" xfId="2" applyNumberFormat="1" applyFont="1"/>
    <xf numFmtId="14" fontId="7" fillId="0" borderId="0" xfId="0" applyNumberFormat="1" applyFont="1"/>
    <xf numFmtId="0" fontId="4" fillId="4" borderId="0" xfId="5" applyBorder="1"/>
    <xf numFmtId="0" fontId="4" fillId="4" borderId="8" xfId="5" applyBorder="1"/>
    <xf numFmtId="0" fontId="4" fillId="4" borderId="10" xfId="5" applyBorder="1"/>
    <xf numFmtId="0" fontId="4" fillId="4" borderId="11" xfId="5" applyBorder="1"/>
    <xf numFmtId="0" fontId="4" fillId="4" borderId="0" xfId="5" applyNumberFormat="1" applyBorder="1"/>
    <xf numFmtId="10" fontId="4" fillId="4" borderId="12" xfId="5" applyNumberFormat="1" applyBorder="1"/>
    <xf numFmtId="10" fontId="4" fillId="4" borderId="0" xfId="5" applyNumberFormat="1" applyBorder="1"/>
    <xf numFmtId="10" fontId="4" fillId="4" borderId="13" xfId="5" applyNumberFormat="1" applyBorder="1"/>
    <xf numFmtId="10" fontId="4" fillId="4" borderId="14" xfId="5" applyNumberFormat="1" applyBorder="1"/>
    <xf numFmtId="10" fontId="4" fillId="4" borderId="15" xfId="5" applyNumberFormat="1" applyBorder="1"/>
    <xf numFmtId="10" fontId="4" fillId="4" borderId="16" xfId="5" applyNumberFormat="1" applyBorder="1"/>
    <xf numFmtId="164" fontId="5" fillId="5" borderId="1" xfId="6" applyNumberFormat="1"/>
    <xf numFmtId="0" fontId="6" fillId="6" borderId="2" xfId="7" applyNumberFormat="1"/>
    <xf numFmtId="44" fontId="6" fillId="6" borderId="2" xfId="7" applyNumberFormat="1"/>
    <xf numFmtId="0" fontId="6" fillId="6" borderId="2" xfId="7"/>
    <xf numFmtId="166" fontId="5" fillId="5" borderId="1" xfId="6" applyNumberFormat="1"/>
    <xf numFmtId="10" fontId="5" fillId="5" borderId="1" xfId="6" applyNumberFormat="1"/>
    <xf numFmtId="10" fontId="7" fillId="7" borderId="3" xfId="8" applyNumberFormat="1" applyFont="1"/>
    <xf numFmtId="9" fontId="7" fillId="7" borderId="3" xfId="8" applyNumberFormat="1" applyFont="1"/>
    <xf numFmtId="10" fontId="2" fillId="2" borderId="0" xfId="3" applyNumberFormat="1"/>
    <xf numFmtId="10" fontId="3" fillId="3" borderId="0" xfId="4" applyNumberFormat="1"/>
    <xf numFmtId="169" fontId="2" fillId="7" borderId="3" xfId="8" applyNumberFormat="1" applyFont="1"/>
    <xf numFmtId="44" fontId="7" fillId="0" borderId="0" xfId="0" applyNumberFormat="1" applyFont="1"/>
    <xf numFmtId="44" fontId="5" fillId="5" borderId="1" xfId="6" applyNumberFormat="1"/>
    <xf numFmtId="0" fontId="9" fillId="0" borderId="0" xfId="0" applyFont="1"/>
    <xf numFmtId="0" fontId="0" fillId="0" borderId="0" xfId="0" quotePrefix="1"/>
  </cellXfs>
  <cellStyles count="9">
    <cellStyle name="Bad" xfId="4" builtinId="27"/>
    <cellStyle name="Currency" xfId="1" builtinId="4"/>
    <cellStyle name="Good" xfId="3" builtinId="26"/>
    <cellStyle name="Input" xfId="6" builtinId="20"/>
    <cellStyle name="Neutral" xfId="5" builtinId="28"/>
    <cellStyle name="Normal" xfId="0" builtinId="0"/>
    <cellStyle name="Note" xfId="8" builtinId="10"/>
    <cellStyle name="Output" xfId="7" builtinId="21"/>
    <cellStyle name="Percent" xfId="2" builtinId="5"/>
  </cellStyles>
  <dxfs count="0"/>
  <tableStyles count="1" defaultTableStyle="TableStyleMedium2" defaultPivotStyle="PivotStyleLight16">
    <tableStyle name="Invisible" pivot="0" table="0" count="0" xr9:uid="{5AD20B2D-9C06-4E47-B5ED-A14A6B8CAB3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1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19" Type="http://schemas.openxmlformats.org/officeDocument/2006/relationships/customXml" Target="../customXml/item3.xml"/><Relationship Id="rId4" Type="http://schemas.openxmlformats.org/officeDocument/2006/relationships/externalLink" Target="externalLinks/externalLink2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14287</xdr:colOff>
      <xdr:row>0</xdr:row>
      <xdr:rowOff>66675</xdr:rowOff>
    </xdr:from>
    <xdr:to>
      <xdr:col>45</xdr:col>
      <xdr:colOff>195261</xdr:colOff>
      <xdr:row>10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D1B036-40D5-4BAF-97DE-594C6A41D3A7}"/>
            </a:ext>
          </a:extLst>
        </xdr:cNvPr>
        <xdr:cNvSpPr txBox="1"/>
      </xdr:nvSpPr>
      <xdr:spPr>
        <a:xfrm>
          <a:off x="39795450" y="66675"/>
          <a:ext cx="6010274" cy="1890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So, I</a:t>
          </a:r>
          <a:r>
            <a:rPr lang="en-US" sz="1100" baseline="0"/>
            <a:t> am going to ask a few questions here:</a:t>
          </a:r>
        </a:p>
        <a:p>
          <a:r>
            <a:rPr lang="en-US" sz="1100" baseline="0"/>
            <a:t>1. Are the sample variance &amp; deviation is similar enough to the population variance &amp; deviation to state that we have a sufficient N for normality?</a:t>
          </a:r>
        </a:p>
        <a:p>
          <a:r>
            <a:rPr lang="en-US" sz="1100" baseline="0"/>
            <a:t>2. What are your 25% percentile, median, and 75% percentile values, and what do they say about the extreme values? (XLrisk will provide this), and using this information, would you say that this portfolio would pay off (have a postive value if we substract the E[X] from the FV), in a week, which is our length of simulation.</a:t>
          </a:r>
        </a:p>
        <a:p>
          <a:r>
            <a:rPr lang="en-US" sz="1100" baseline="0"/>
            <a:t>3. Given the Kurtosis of the Model from XLrisk, what would you say about extreme events with this portfolio?</a:t>
          </a:r>
        </a:p>
        <a:p>
          <a:r>
            <a:rPr lang="en-US" sz="1100" baseline="0"/>
            <a:t>4. If you change the mixture of the stocks from all equal to only one stock, MSTR, what happens to the variance, and why?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ain\Downloads\XLRisk.xlam" TargetMode="External"/><Relationship Id="rId1" Type="http://schemas.openxmlformats.org/officeDocument/2006/relationships/externalLinkPath" Target="XLRisk.xla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yuva-my.sharepoint.com/personal/vzh2vs_virginia_edu/Documents/91_Portfolio-Risk.xlsx" TargetMode="External"/><Relationship Id="rId1" Type="http://schemas.openxmlformats.org/officeDocument/2006/relationships/externalLinkPath" Target="https://myuva-my.sharepoint.com/personal/vzh2vs_virginia_edu/Documents/91_Portfolio-Ri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RiskNormal"/>
    </defined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Set"/>
      <sheetName val="XLRisk"/>
      <sheetName val="Risk Results 1"/>
    </sheetNames>
    <sheetDataSet>
      <sheetData sheetId="0">
        <row r="3">
          <cell r="G3">
            <v>211.2</v>
          </cell>
        </row>
        <row r="4">
          <cell r="G4">
            <v>210.18</v>
          </cell>
        </row>
        <row r="5">
          <cell r="G5">
            <v>208.05</v>
          </cell>
        </row>
        <row r="6">
          <cell r="G6">
            <v>212.68</v>
          </cell>
        </row>
        <row r="7">
          <cell r="G7">
            <v>212.65</v>
          </cell>
        </row>
        <row r="8">
          <cell r="G8">
            <v>212.77</v>
          </cell>
        </row>
        <row r="9">
          <cell r="G9">
            <v>209.58</v>
          </cell>
        </row>
        <row r="10">
          <cell r="G10">
            <v>207.61</v>
          </cell>
        </row>
        <row r="11">
          <cell r="G11">
            <v>206.24</v>
          </cell>
        </row>
        <row r="12">
          <cell r="G12">
            <v>207.25</v>
          </cell>
        </row>
        <row r="13">
          <cell r="G13">
            <v>208.36</v>
          </cell>
        </row>
        <row r="14">
          <cell r="G14">
            <v>208.27</v>
          </cell>
        </row>
        <row r="15">
          <cell r="G15">
            <v>211.18</v>
          </cell>
        </row>
        <row r="16">
          <cell r="G16">
            <v>211.31</v>
          </cell>
        </row>
        <row r="17">
          <cell r="G17">
            <v>209.01</v>
          </cell>
        </row>
        <row r="18">
          <cell r="G18">
            <v>205.84</v>
          </cell>
        </row>
        <row r="19">
          <cell r="G19">
            <v>205.3</v>
          </cell>
        </row>
        <row r="20">
          <cell r="G20">
            <v>208.7</v>
          </cell>
        </row>
        <row r="21">
          <cell r="G21">
            <v>212.63</v>
          </cell>
        </row>
        <row r="22">
          <cell r="G22">
            <v>214.37</v>
          </cell>
        </row>
        <row r="23">
          <cell r="G23">
            <v>218.36</v>
          </cell>
        </row>
        <row r="24">
          <cell r="G24">
            <v>218.73</v>
          </cell>
        </row>
        <row r="25">
          <cell r="G25">
            <v>217.76</v>
          </cell>
        </row>
        <row r="26">
          <cell r="G26">
            <v>214.51</v>
          </cell>
        </row>
        <row r="27">
          <cell r="G27">
            <v>212.62</v>
          </cell>
        </row>
        <row r="28">
          <cell r="G28">
            <v>213.81</v>
          </cell>
        </row>
        <row r="29">
          <cell r="G29">
            <v>215.45</v>
          </cell>
        </row>
        <row r="30">
          <cell r="G30">
            <v>212.89</v>
          </cell>
        </row>
        <row r="31">
          <cell r="G31">
            <v>208.86</v>
          </cell>
        </row>
        <row r="32">
          <cell r="G32">
            <v>209.35</v>
          </cell>
        </row>
        <row r="33">
          <cell r="G33">
            <v>201.86</v>
          </cell>
        </row>
        <row r="34">
          <cell r="G34">
            <v>201.59</v>
          </cell>
        </row>
        <row r="35">
          <cell r="G35">
            <v>201.66</v>
          </cell>
        </row>
        <row r="36">
          <cell r="G36">
            <v>206.01</v>
          </cell>
        </row>
        <row r="37">
          <cell r="G37">
            <v>205.14</v>
          </cell>
        </row>
        <row r="38">
          <cell r="G38">
            <v>202.02</v>
          </cell>
        </row>
        <row r="39">
          <cell r="G39">
            <v>200.98</v>
          </cell>
        </row>
        <row r="40">
          <cell r="G40">
            <v>202.01</v>
          </cell>
        </row>
        <row r="41">
          <cell r="G41">
            <v>194.97</v>
          </cell>
        </row>
        <row r="42">
          <cell r="G42">
            <v>198.22</v>
          </cell>
        </row>
        <row r="43">
          <cell r="G43">
            <v>193.25</v>
          </cell>
        </row>
        <row r="44">
          <cell r="G44">
            <v>198.36</v>
          </cell>
        </row>
        <row r="45">
          <cell r="G45">
            <v>202.61</v>
          </cell>
        </row>
        <row r="46">
          <cell r="G46">
            <v>201.36</v>
          </cell>
        </row>
        <row r="47">
          <cell r="G47">
            <v>209.25</v>
          </cell>
        </row>
        <row r="48">
          <cell r="G48">
            <v>208.77</v>
          </cell>
        </row>
        <row r="49">
          <cell r="G49">
            <v>206.89</v>
          </cell>
        </row>
        <row r="50">
          <cell r="G50">
            <v>206.52</v>
          </cell>
        </row>
        <row r="51">
          <cell r="G51">
            <v>206.44</v>
          </cell>
        </row>
        <row r="52">
          <cell r="G52">
            <v>210.66</v>
          </cell>
        </row>
        <row r="53">
          <cell r="G53">
            <v>209.96</v>
          </cell>
        </row>
        <row r="54">
          <cell r="G54">
            <v>207.9</v>
          </cell>
        </row>
        <row r="55">
          <cell r="G55">
            <v>207.51</v>
          </cell>
        </row>
        <row r="56">
          <cell r="G56">
            <v>209.35</v>
          </cell>
        </row>
        <row r="57">
          <cell r="G57">
            <v>204.73</v>
          </cell>
        </row>
        <row r="58">
          <cell r="G58">
            <v>208.32</v>
          </cell>
        </row>
        <row r="59">
          <cell r="G59">
            <v>212.11</v>
          </cell>
        </row>
        <row r="60">
          <cell r="G60">
            <v>219.43</v>
          </cell>
        </row>
        <row r="61">
          <cell r="G61">
            <v>213.75</v>
          </cell>
        </row>
        <row r="62">
          <cell r="G62">
            <v>212.39</v>
          </cell>
        </row>
        <row r="63">
          <cell r="G63">
            <v>216.63</v>
          </cell>
        </row>
        <row r="64">
          <cell r="G64">
            <v>215.77</v>
          </cell>
        </row>
        <row r="65">
          <cell r="G65">
            <v>214.85</v>
          </cell>
        </row>
        <row r="66">
          <cell r="G66">
            <v>211.5</v>
          </cell>
        </row>
        <row r="67">
          <cell r="G67">
            <v>215.41</v>
          </cell>
        </row>
        <row r="68">
          <cell r="G68">
            <v>220.27</v>
          </cell>
        </row>
        <row r="69">
          <cell r="G69">
            <v>220.36</v>
          </cell>
        </row>
        <row r="70">
          <cell r="G70">
            <v>223.17</v>
          </cell>
        </row>
        <row r="71">
          <cell r="G71">
            <v>226.15</v>
          </cell>
        </row>
        <row r="72">
          <cell r="G72">
            <v>224.36</v>
          </cell>
        </row>
        <row r="73">
          <cell r="G73">
            <v>223.27</v>
          </cell>
        </row>
        <row r="74">
          <cell r="G74">
            <v>224.7</v>
          </cell>
        </row>
        <row r="75">
          <cell r="G75">
            <v>223.02</v>
          </cell>
        </row>
        <row r="76">
          <cell r="G76">
            <v>220.66</v>
          </cell>
        </row>
        <row r="77">
          <cell r="G77">
            <v>206.9</v>
          </cell>
        </row>
        <row r="78">
          <cell r="G78">
            <v>208</v>
          </cell>
        </row>
        <row r="79">
          <cell r="G79">
            <v>208.15</v>
          </cell>
        </row>
        <row r="80">
          <cell r="G80">
            <v>208.07</v>
          </cell>
        </row>
        <row r="81">
          <cell r="G81">
            <v>207.97</v>
          </cell>
        </row>
        <row r="82">
          <cell r="G82">
            <v>213.53</v>
          </cell>
        </row>
        <row r="83">
          <cell r="G83">
            <v>214.51</v>
          </cell>
        </row>
        <row r="84">
          <cell r="G84">
            <v>211.9</v>
          </cell>
        </row>
        <row r="85">
          <cell r="G85">
            <v>211.73</v>
          </cell>
        </row>
        <row r="86">
          <cell r="G86">
            <v>216.86</v>
          </cell>
        </row>
        <row r="87">
          <cell r="G87">
            <v>219.04</v>
          </cell>
        </row>
        <row r="88">
          <cell r="G88">
            <v>218.65</v>
          </cell>
        </row>
        <row r="89">
          <cell r="G89">
            <v>219.27</v>
          </cell>
        </row>
        <row r="90">
          <cell r="G90">
            <v>220.7</v>
          </cell>
        </row>
        <row r="91">
          <cell r="G91">
            <v>222.52</v>
          </cell>
        </row>
        <row r="92">
          <cell r="G92">
            <v>221.47</v>
          </cell>
        </row>
        <row r="93">
          <cell r="G93">
            <v>221.02</v>
          </cell>
        </row>
        <row r="94">
          <cell r="G94">
            <v>221.98</v>
          </cell>
        </row>
        <row r="95">
          <cell r="G95">
            <v>226.28</v>
          </cell>
        </row>
        <row r="96">
          <cell r="G96">
            <v>226.41</v>
          </cell>
        </row>
        <row r="97">
          <cell r="G97">
            <v>225.79</v>
          </cell>
        </row>
        <row r="98">
          <cell r="G98">
            <v>223.28</v>
          </cell>
        </row>
        <row r="99">
          <cell r="G99">
            <v>227.45</v>
          </cell>
        </row>
        <row r="100">
          <cell r="G100">
            <v>227.57</v>
          </cell>
        </row>
        <row r="101">
          <cell r="G101">
            <v>230</v>
          </cell>
        </row>
        <row r="102">
          <cell r="G102">
            <v>230.34</v>
          </cell>
        </row>
        <row r="103">
          <cell r="G103">
            <v>229.91</v>
          </cell>
        </row>
        <row r="104">
          <cell r="G104">
            <v>233.45</v>
          </cell>
        </row>
        <row r="105">
          <cell r="G105">
            <v>236.86</v>
          </cell>
        </row>
        <row r="106">
          <cell r="G106">
            <v>233.56</v>
          </cell>
        </row>
        <row r="107">
          <cell r="G107">
            <v>232.61</v>
          </cell>
        </row>
        <row r="108">
          <cell r="G108">
            <v>232.03</v>
          </cell>
        </row>
        <row r="109">
          <cell r="G109">
            <v>229.21</v>
          </cell>
        </row>
        <row r="110">
          <cell r="G110">
            <v>231.32</v>
          </cell>
        </row>
        <row r="111">
          <cell r="G111">
            <v>232.12</v>
          </cell>
        </row>
        <row r="112">
          <cell r="G112">
            <v>225.97</v>
          </cell>
        </row>
        <row r="113">
          <cell r="G113">
            <v>225.48</v>
          </cell>
        </row>
        <row r="114">
          <cell r="G114">
            <v>220.63</v>
          </cell>
        </row>
        <row r="115">
          <cell r="G115">
            <v>223.74</v>
          </cell>
        </row>
        <row r="116">
          <cell r="G116">
            <v>226.94</v>
          </cell>
        </row>
        <row r="117">
          <cell r="G117">
            <v>226.44</v>
          </cell>
        </row>
        <row r="118">
          <cell r="G118">
            <v>225.57</v>
          </cell>
        </row>
        <row r="119">
          <cell r="G119">
            <v>224.59</v>
          </cell>
        </row>
        <row r="120">
          <cell r="G120">
            <v>226.44</v>
          </cell>
        </row>
        <row r="121">
          <cell r="G121">
            <v>226.77</v>
          </cell>
        </row>
        <row r="122">
          <cell r="G122">
            <v>229.32</v>
          </cell>
        </row>
        <row r="123">
          <cell r="G123">
            <v>229.02</v>
          </cell>
        </row>
        <row r="124">
          <cell r="G124">
            <v>227.07</v>
          </cell>
        </row>
        <row r="125">
          <cell r="G125">
            <v>226.86</v>
          </cell>
        </row>
        <row r="126">
          <cell r="G126">
            <v>227.3</v>
          </cell>
        </row>
        <row r="127">
          <cell r="G127">
            <v>226.63</v>
          </cell>
        </row>
        <row r="128">
          <cell r="G128">
            <v>229.66</v>
          </cell>
        </row>
        <row r="129">
          <cell r="G129">
            <v>228.11</v>
          </cell>
        </row>
        <row r="130">
          <cell r="G130">
            <v>230.14</v>
          </cell>
        </row>
        <row r="131">
          <cell r="G131">
            <v>231.32</v>
          </cell>
        </row>
        <row r="132">
          <cell r="G132">
            <v>232.05</v>
          </cell>
        </row>
        <row r="133">
          <cell r="G133">
            <v>232.31</v>
          </cell>
        </row>
        <row r="134">
          <cell r="G134">
            <v>233.95</v>
          </cell>
        </row>
        <row r="135">
          <cell r="G135">
            <v>234.96</v>
          </cell>
        </row>
        <row r="136">
          <cell r="G136">
            <v>234.08</v>
          </cell>
        </row>
        <row r="137">
          <cell r="G137">
            <v>232.98</v>
          </cell>
        </row>
        <row r="138">
          <cell r="G138">
            <v>229.6</v>
          </cell>
        </row>
        <row r="139">
          <cell r="G139">
            <v>232.15</v>
          </cell>
        </row>
        <row r="140">
          <cell r="G140">
            <v>230.41</v>
          </cell>
        </row>
        <row r="141">
          <cell r="G141">
            <v>234.32</v>
          </cell>
        </row>
        <row r="142">
          <cell r="G142">
            <v>235.93</v>
          </cell>
        </row>
        <row r="143">
          <cell r="G143">
            <v>234.68</v>
          </cell>
        </row>
        <row r="144">
          <cell r="G144">
            <v>236.24</v>
          </cell>
        </row>
        <row r="145">
          <cell r="G145">
            <v>237.32</v>
          </cell>
        </row>
        <row r="146">
          <cell r="G146">
            <v>234.09</v>
          </cell>
        </row>
        <row r="147">
          <cell r="G147">
            <v>235.95</v>
          </cell>
        </row>
        <row r="148">
          <cell r="G148">
            <v>233.82</v>
          </cell>
        </row>
        <row r="149">
          <cell r="G149">
            <v>235.15</v>
          </cell>
        </row>
        <row r="150">
          <cell r="G150">
            <v>238.63</v>
          </cell>
        </row>
        <row r="151">
          <cell r="G151">
            <v>239.6</v>
          </cell>
        </row>
        <row r="152">
          <cell r="G152">
            <v>240</v>
          </cell>
        </row>
        <row r="153">
          <cell r="G153">
            <v>236.61</v>
          </cell>
        </row>
        <row r="154">
          <cell r="G154">
            <v>238.47</v>
          </cell>
        </row>
        <row r="155">
          <cell r="G155">
            <v>237.87</v>
          </cell>
        </row>
        <row r="156">
          <cell r="G156">
            <v>242.35</v>
          </cell>
        </row>
        <row r="157">
          <cell r="G157">
            <v>245.99</v>
          </cell>
        </row>
        <row r="158">
          <cell r="G158">
            <v>248.55</v>
          </cell>
        </row>
        <row r="159">
          <cell r="G159">
            <v>248.12</v>
          </cell>
        </row>
        <row r="160">
          <cell r="G160">
            <v>240.41</v>
          </cell>
        </row>
        <row r="161">
          <cell r="G161">
            <v>242.7</v>
          </cell>
        </row>
        <row r="162">
          <cell r="G162">
            <v>243.66</v>
          </cell>
        </row>
        <row r="163">
          <cell r="G163">
            <v>244.14</v>
          </cell>
        </row>
        <row r="164">
          <cell r="G164">
            <v>249.02</v>
          </cell>
        </row>
        <row r="165">
          <cell r="G165">
            <v>250.25</v>
          </cell>
        </row>
        <row r="166">
          <cell r="G166">
            <v>250.93</v>
          </cell>
        </row>
        <row r="167">
          <cell r="G167">
            <v>246.94</v>
          </cell>
        </row>
        <row r="168">
          <cell r="G168">
            <v>247.92</v>
          </cell>
        </row>
        <row r="169">
          <cell r="G169">
            <v>246.39</v>
          </cell>
        </row>
        <row r="170">
          <cell r="G170">
            <v>239.78</v>
          </cell>
        </row>
        <row r="171">
          <cell r="G171">
            <v>237.09</v>
          </cell>
        </row>
        <row r="172">
          <cell r="G172">
            <v>236.67</v>
          </cell>
        </row>
        <row r="173">
          <cell r="G173">
            <v>240.21</v>
          </cell>
        </row>
        <row r="174">
          <cell r="G174">
            <v>241.4</v>
          </cell>
        </row>
        <row r="175">
          <cell r="G175">
            <v>240</v>
          </cell>
        </row>
        <row r="176">
          <cell r="G176">
            <v>238.07</v>
          </cell>
        </row>
        <row r="177">
          <cell r="G177">
            <v>235.06</v>
          </cell>
        </row>
        <row r="178">
          <cell r="G178">
            <v>231.79</v>
          </cell>
        </row>
        <row r="179">
          <cell r="G179">
            <v>232.65</v>
          </cell>
        </row>
        <row r="180">
          <cell r="G180">
            <v>235.36</v>
          </cell>
        </row>
        <row r="181">
          <cell r="G181">
            <v>234.53</v>
          </cell>
        </row>
        <row r="182">
          <cell r="G182">
            <v>231.63</v>
          </cell>
        </row>
        <row r="183">
          <cell r="G183">
            <v>231.57</v>
          </cell>
        </row>
        <row r="184">
          <cell r="G184">
            <v>231.36</v>
          </cell>
        </row>
        <row r="185">
          <cell r="G185">
            <v>234.14</v>
          </cell>
        </row>
        <row r="186">
          <cell r="G186">
            <v>234.24</v>
          </cell>
        </row>
        <row r="187">
          <cell r="G187">
            <v>232.59</v>
          </cell>
        </row>
        <row r="188">
          <cell r="G188">
            <v>230.52</v>
          </cell>
        </row>
        <row r="189">
          <cell r="G189">
            <v>232.69</v>
          </cell>
        </row>
        <row r="190">
          <cell r="G190">
            <v>231.23</v>
          </cell>
        </row>
        <row r="191">
          <cell r="G191">
            <v>229.1</v>
          </cell>
        </row>
        <row r="192">
          <cell r="G192">
            <v>230.12</v>
          </cell>
        </row>
        <row r="193">
          <cell r="G193">
            <v>224.18</v>
          </cell>
        </row>
        <row r="194">
          <cell r="G194">
            <v>225.11</v>
          </cell>
        </row>
        <row r="195">
          <cell r="G195">
            <v>226.27</v>
          </cell>
        </row>
        <row r="196">
          <cell r="G196">
            <v>229.09</v>
          </cell>
        </row>
        <row r="197">
          <cell r="G197">
            <v>227.49</v>
          </cell>
        </row>
        <row r="198">
          <cell r="G198">
            <v>224.91</v>
          </cell>
        </row>
        <row r="199">
          <cell r="G199">
            <v>224.63</v>
          </cell>
        </row>
        <row r="200">
          <cell r="G200">
            <v>223.03</v>
          </cell>
        </row>
        <row r="201">
          <cell r="G201">
            <v>223.81</v>
          </cell>
        </row>
        <row r="202">
          <cell r="G202">
            <v>224.33</v>
          </cell>
        </row>
        <row r="203">
          <cell r="G203">
            <v>221.75</v>
          </cell>
        </row>
        <row r="204">
          <cell r="G204">
            <v>220.05</v>
          </cell>
        </row>
        <row r="205">
          <cell r="G205">
            <v>220.17</v>
          </cell>
        </row>
        <row r="206">
          <cell r="G206">
            <v>222.75</v>
          </cell>
        </row>
        <row r="207">
          <cell r="G207">
            <v>228.31</v>
          </cell>
        </row>
        <row r="208">
          <cell r="G208">
            <v>231.59</v>
          </cell>
        </row>
        <row r="209">
          <cell r="G209">
            <v>229.6</v>
          </cell>
        </row>
        <row r="210">
          <cell r="G210">
            <v>225.56</v>
          </cell>
        </row>
        <row r="211">
          <cell r="G211">
            <v>226.68</v>
          </cell>
        </row>
        <row r="212">
          <cell r="G212">
            <v>222.75</v>
          </cell>
        </row>
        <row r="213">
          <cell r="G213">
            <v>230.46</v>
          </cell>
        </row>
        <row r="214">
          <cell r="G214">
            <v>224.73</v>
          </cell>
        </row>
        <row r="215">
          <cell r="G215">
            <v>224.28</v>
          </cell>
        </row>
        <row r="216">
          <cell r="G216">
            <v>226.51</v>
          </cell>
        </row>
        <row r="217">
          <cell r="G217">
            <v>230.55</v>
          </cell>
        </row>
        <row r="218">
          <cell r="G218">
            <v>230.27</v>
          </cell>
        </row>
        <row r="219">
          <cell r="G219">
            <v>225.11</v>
          </cell>
        </row>
        <row r="220">
          <cell r="G220">
            <v>224.05</v>
          </cell>
        </row>
        <row r="221">
          <cell r="G221">
            <v>222.46</v>
          </cell>
        </row>
        <row r="222">
          <cell r="G222">
            <v>225.18</v>
          </cell>
        </row>
        <row r="223">
          <cell r="G223">
            <v>230.99</v>
          </cell>
        </row>
        <row r="224">
          <cell r="G224">
            <v>230.65</v>
          </cell>
        </row>
        <row r="225">
          <cell r="G225">
            <v>233.52</v>
          </cell>
        </row>
        <row r="226">
          <cell r="G226">
            <v>231.42</v>
          </cell>
        </row>
        <row r="227">
          <cell r="G227">
            <v>230.24</v>
          </cell>
        </row>
        <row r="228">
          <cell r="G228">
            <v>231.23</v>
          </cell>
        </row>
        <row r="229">
          <cell r="G229">
            <v>233.88</v>
          </cell>
        </row>
        <row r="230">
          <cell r="G230">
            <v>231.82</v>
          </cell>
        </row>
        <row r="231">
          <cell r="G231">
            <v>215.78</v>
          </cell>
        </row>
        <row r="232">
          <cell r="G232">
            <v>209.84</v>
          </cell>
        </row>
        <row r="233">
          <cell r="G233">
            <v>211.77</v>
          </cell>
        </row>
        <row r="234">
          <cell r="G234">
            <v>212.46</v>
          </cell>
        </row>
        <row r="235">
          <cell r="G235">
            <v>209.14</v>
          </cell>
        </row>
        <row r="236">
          <cell r="G236">
            <v>208.1</v>
          </cell>
        </row>
        <row r="237">
          <cell r="G237">
            <v>208.78</v>
          </cell>
        </row>
        <row r="238">
          <cell r="G238">
            <v>216.67</v>
          </cell>
        </row>
        <row r="239">
          <cell r="G239">
            <v>220.49</v>
          </cell>
        </row>
        <row r="240">
          <cell r="G240">
            <v>213.39</v>
          </cell>
        </row>
        <row r="241">
          <cell r="G241">
            <v>215.56</v>
          </cell>
        </row>
        <row r="242">
          <cell r="G242">
            <v>210.42</v>
          </cell>
        </row>
        <row r="243">
          <cell r="G243">
            <v>212.09</v>
          </cell>
        </row>
        <row r="244">
          <cell r="G244">
            <v>212.3</v>
          </cell>
        </row>
        <row r="245">
          <cell r="G245">
            <v>215.18</v>
          </cell>
        </row>
        <row r="246">
          <cell r="G246">
            <v>205.06</v>
          </cell>
        </row>
        <row r="247">
          <cell r="G247">
            <v>203.33</v>
          </cell>
        </row>
        <row r="248">
          <cell r="G248">
            <v>200.86</v>
          </cell>
        </row>
        <row r="249">
          <cell r="G249">
            <v>195.58</v>
          </cell>
        </row>
        <row r="250">
          <cell r="G250">
            <v>198.49</v>
          </cell>
        </row>
        <row r="251">
          <cell r="G251">
            <v>203.25</v>
          </cell>
        </row>
        <row r="252">
          <cell r="G252">
            <v>197.65</v>
          </cell>
        </row>
        <row r="253">
          <cell r="G253">
            <v>196.29</v>
          </cell>
        </row>
        <row r="254">
          <cell r="G254">
            <v>193.77</v>
          </cell>
        </row>
        <row r="255">
          <cell r="G255">
            <v>190.16</v>
          </cell>
        </row>
        <row r="256">
          <cell r="G256">
            <v>198.29</v>
          </cell>
        </row>
        <row r="257">
          <cell r="G257">
            <v>196.32</v>
          </cell>
        </row>
        <row r="258">
          <cell r="G258">
            <v>202.68</v>
          </cell>
        </row>
        <row r="259">
          <cell r="G259">
            <v>207.37</v>
          </cell>
        </row>
        <row r="260">
          <cell r="G260">
            <v>208.99</v>
          </cell>
        </row>
        <row r="261">
          <cell r="G261">
            <v>211.39</v>
          </cell>
        </row>
        <row r="262">
          <cell r="G262">
            <v>213.4</v>
          </cell>
        </row>
        <row r="263">
          <cell r="G263">
            <v>211.02</v>
          </cell>
        </row>
        <row r="264">
          <cell r="G264">
            <v>209.98</v>
          </cell>
        </row>
        <row r="265">
          <cell r="G265">
            <v>212.31</v>
          </cell>
        </row>
        <row r="266">
          <cell r="G266">
            <v>214.37</v>
          </cell>
        </row>
        <row r="267">
          <cell r="G267">
            <v>211.88</v>
          </cell>
        </row>
        <row r="268">
          <cell r="G268">
            <v>208.74</v>
          </cell>
        </row>
        <row r="269">
          <cell r="G269">
            <v>215.38</v>
          </cell>
        </row>
        <row r="270">
          <cell r="G270">
            <v>217.96</v>
          </cell>
        </row>
        <row r="271">
          <cell r="G271">
            <v>216.62</v>
          </cell>
        </row>
        <row r="272">
          <cell r="G272">
            <v>217.63</v>
          </cell>
        </row>
        <row r="273">
          <cell r="G273">
            <v>218.05</v>
          </cell>
        </row>
        <row r="274">
          <cell r="G274">
            <v>218.17</v>
          </cell>
        </row>
        <row r="275">
          <cell r="G275">
            <v>217.87</v>
          </cell>
        </row>
        <row r="276">
          <cell r="G276">
            <v>216.71</v>
          </cell>
        </row>
        <row r="277">
          <cell r="G277">
            <v>221.43</v>
          </cell>
        </row>
        <row r="278">
          <cell r="G278">
            <v>222.46</v>
          </cell>
        </row>
        <row r="279">
          <cell r="G279">
            <v>220</v>
          </cell>
        </row>
        <row r="280">
          <cell r="G280">
            <v>219.75</v>
          </cell>
        </row>
        <row r="281">
          <cell r="G281">
            <v>216.96</v>
          </cell>
        </row>
        <row r="282">
          <cell r="G282">
            <v>211.97</v>
          </cell>
        </row>
        <row r="283">
          <cell r="G283">
            <v>214.38</v>
          </cell>
        </row>
        <row r="284">
          <cell r="G284">
            <v>215.71</v>
          </cell>
        </row>
        <row r="285">
          <cell r="G285">
            <v>215</v>
          </cell>
        </row>
        <row r="286">
          <cell r="G286">
            <v>214.67</v>
          </cell>
        </row>
        <row r="287">
          <cell r="G287">
            <v>215.71</v>
          </cell>
        </row>
        <row r="288">
          <cell r="G288">
            <v>214.68</v>
          </cell>
        </row>
        <row r="289">
          <cell r="G289">
            <v>214.35</v>
          </cell>
        </row>
        <row r="290">
          <cell r="G290">
            <v>205.93</v>
          </cell>
        </row>
        <row r="291">
          <cell r="G291">
            <v>201.85</v>
          </cell>
        </row>
        <row r="292">
          <cell r="G292">
            <v>202</v>
          </cell>
        </row>
        <row r="293">
          <cell r="G293">
            <v>205.87</v>
          </cell>
        </row>
        <row r="294">
          <cell r="G294">
            <v>206.15</v>
          </cell>
        </row>
        <row r="295">
          <cell r="G295">
            <v>228</v>
          </cell>
        </row>
        <row r="296">
          <cell r="G296">
            <v>226.17</v>
          </cell>
        </row>
        <row r="297">
          <cell r="G297">
            <v>232.36</v>
          </cell>
        </row>
        <row r="298">
          <cell r="G298">
            <v>235.42</v>
          </cell>
        </row>
        <row r="299">
          <cell r="G299">
            <v>231.54</v>
          </cell>
        </row>
        <row r="300">
          <cell r="G300">
            <v>228.39</v>
          </cell>
        </row>
        <row r="301">
          <cell r="G301">
            <v>227.16</v>
          </cell>
        </row>
        <row r="302">
          <cell r="G302">
            <v>227.94</v>
          </cell>
        </row>
        <row r="303">
          <cell r="G303">
            <v>230.87</v>
          </cell>
        </row>
        <row r="304">
          <cell r="G304">
            <v>225.59</v>
          </cell>
        </row>
        <row r="305">
          <cell r="G305">
            <v>224.69</v>
          </cell>
        </row>
        <row r="306">
          <cell r="G306">
            <v>225.34</v>
          </cell>
        </row>
        <row r="307">
          <cell r="G307">
            <v>227.82</v>
          </cell>
        </row>
        <row r="308">
          <cell r="G308">
            <v>228.82</v>
          </cell>
        </row>
        <row r="309">
          <cell r="G309">
            <v>224.61</v>
          </cell>
        </row>
        <row r="310">
          <cell r="G310">
            <v>222.69</v>
          </cell>
        </row>
        <row r="311">
          <cell r="G311">
            <v>221.32</v>
          </cell>
        </row>
        <row r="312">
          <cell r="G312">
            <v>215.95</v>
          </cell>
        </row>
        <row r="313">
          <cell r="G313">
            <v>217.3</v>
          </cell>
        </row>
        <row r="314">
          <cell r="G314">
            <v>219.27</v>
          </cell>
        </row>
        <row r="315">
          <cell r="G315">
            <v>216.12</v>
          </cell>
        </row>
        <row r="316">
          <cell r="G316">
            <v>208.97</v>
          </cell>
        </row>
        <row r="317">
          <cell r="G317">
            <v>208.48</v>
          </cell>
        </row>
        <row r="318">
          <cell r="G318">
            <v>207.23</v>
          </cell>
        </row>
        <row r="319">
          <cell r="G319">
            <v>200.29</v>
          </cell>
        </row>
        <row r="320">
          <cell r="G320">
            <v>190.7</v>
          </cell>
        </row>
        <row r="321">
          <cell r="G321">
            <v>191.71</v>
          </cell>
        </row>
        <row r="322">
          <cell r="G322">
            <v>199.76</v>
          </cell>
        </row>
        <row r="323">
          <cell r="G323">
            <v>197.97</v>
          </cell>
        </row>
        <row r="324">
          <cell r="G324">
            <v>196.71</v>
          </cell>
        </row>
        <row r="325">
          <cell r="G325">
            <v>200.33</v>
          </cell>
        </row>
        <row r="326">
          <cell r="G326">
            <v>206.14</v>
          </cell>
        </row>
        <row r="327">
          <cell r="G327">
            <v>211.87</v>
          </cell>
        </row>
        <row r="328">
          <cell r="G328">
            <v>213.45</v>
          </cell>
        </row>
        <row r="329">
          <cell r="G329">
            <v>219.11</v>
          </cell>
        </row>
        <row r="330">
          <cell r="G330">
            <v>217.04</v>
          </cell>
        </row>
        <row r="331">
          <cell r="G331">
            <v>218.47</v>
          </cell>
        </row>
        <row r="332">
          <cell r="G332">
            <v>214.68</v>
          </cell>
        </row>
        <row r="333">
          <cell r="G333">
            <v>217.31</v>
          </cell>
        </row>
        <row r="334">
          <cell r="G334">
            <v>218.43</v>
          </cell>
        </row>
        <row r="335">
          <cell r="G335">
            <v>220.77</v>
          </cell>
        </row>
        <row r="336">
          <cell r="G336">
            <v>228.12</v>
          </cell>
        </row>
        <row r="337">
          <cell r="G337">
            <v>223.95</v>
          </cell>
        </row>
        <row r="338">
          <cell r="G338">
            <v>221.77</v>
          </cell>
        </row>
        <row r="339">
          <cell r="G339">
            <v>226.36</v>
          </cell>
        </row>
        <row r="340">
          <cell r="G340">
            <v>227.74</v>
          </cell>
        </row>
        <row r="341">
          <cell r="G341">
            <v>226.09</v>
          </cell>
        </row>
        <row r="342">
          <cell r="G342">
            <v>219.01</v>
          </cell>
        </row>
        <row r="343">
          <cell r="G343">
            <v>216.15</v>
          </cell>
        </row>
        <row r="344">
          <cell r="G344">
            <v>216.98</v>
          </cell>
        </row>
        <row r="345">
          <cell r="G345">
            <v>214.75</v>
          </cell>
        </row>
        <row r="346">
          <cell r="G346">
            <v>211.4</v>
          </cell>
        </row>
        <row r="347">
          <cell r="G347">
            <v>213.27</v>
          </cell>
        </row>
        <row r="348">
          <cell r="G348">
            <v>212.79</v>
          </cell>
        </row>
        <row r="349">
          <cell r="G349">
            <v>213.17</v>
          </cell>
        </row>
        <row r="350">
          <cell r="G350">
            <v>215.7</v>
          </cell>
        </row>
        <row r="351">
          <cell r="G351">
            <v>217.79</v>
          </cell>
        </row>
        <row r="352">
          <cell r="G352">
            <v>216.45</v>
          </cell>
        </row>
        <row r="353">
          <cell r="G353">
            <v>208.17</v>
          </cell>
        </row>
        <row r="354">
          <cell r="G354">
            <v>209.95</v>
          </cell>
        </row>
        <row r="355">
          <cell r="G355">
            <v>201.1</v>
          </cell>
        </row>
        <row r="356">
          <cell r="G356">
            <v>214.11</v>
          </cell>
        </row>
        <row r="357">
          <cell r="G357">
            <v>220.66</v>
          </cell>
        </row>
        <row r="358">
          <cell r="G358">
            <v>213.13</v>
          </cell>
        </row>
        <row r="359">
          <cell r="G359">
            <v>211.53</v>
          </cell>
        </row>
        <row r="360">
          <cell r="G360">
            <v>208.56</v>
          </cell>
        </row>
        <row r="361">
          <cell r="G361">
            <v>214.52</v>
          </cell>
        </row>
        <row r="362">
          <cell r="G362">
            <v>205.24</v>
          </cell>
        </row>
        <row r="363">
          <cell r="G363">
            <v>202.82</v>
          </cell>
        </row>
        <row r="364">
          <cell r="G364">
            <v>193</v>
          </cell>
        </row>
        <row r="365">
          <cell r="G365">
            <v>193.58</v>
          </cell>
        </row>
        <row r="366">
          <cell r="G366">
            <v>196.72</v>
          </cell>
        </row>
        <row r="367">
          <cell r="G367">
            <v>193.97</v>
          </cell>
        </row>
        <row r="368">
          <cell r="G368">
            <v>199.23</v>
          </cell>
        </row>
        <row r="369">
          <cell r="G369">
            <v>197.81</v>
          </cell>
        </row>
        <row r="370">
          <cell r="G370">
            <v>204</v>
          </cell>
        </row>
        <row r="371">
          <cell r="G371">
            <v>199.99</v>
          </cell>
        </row>
        <row r="372">
          <cell r="G372">
            <v>197.37</v>
          </cell>
        </row>
        <row r="373">
          <cell r="G373">
            <v>199.03</v>
          </cell>
        </row>
        <row r="374">
          <cell r="G374">
            <v>207.56</v>
          </cell>
        </row>
        <row r="375">
          <cell r="G375">
            <v>202.63</v>
          </cell>
        </row>
        <row r="376">
          <cell r="G376">
            <v>203.84</v>
          </cell>
        </row>
        <row r="377">
          <cell r="G377">
            <v>208.55</v>
          </cell>
        </row>
        <row r="378">
          <cell r="G378">
            <v>212.88</v>
          </cell>
        </row>
        <row r="379">
          <cell r="G379">
            <v>212.17</v>
          </cell>
        </row>
        <row r="380">
          <cell r="G380">
            <v>209.93</v>
          </cell>
        </row>
        <row r="381">
          <cell r="G381">
            <v>215.05</v>
          </cell>
        </row>
        <row r="382">
          <cell r="G382">
            <v>212.65</v>
          </cell>
        </row>
        <row r="383">
          <cell r="G383">
            <v>212.94</v>
          </cell>
        </row>
        <row r="384">
          <cell r="G384">
            <v>214.5</v>
          </cell>
        </row>
        <row r="385">
          <cell r="G385">
            <v>213.5</v>
          </cell>
        </row>
        <row r="386">
          <cell r="G386">
            <v>206.11</v>
          </cell>
        </row>
        <row r="387">
          <cell r="G387">
            <v>199.51</v>
          </cell>
        </row>
        <row r="388">
          <cell r="G388">
            <v>192.26</v>
          </cell>
        </row>
        <row r="389">
          <cell r="G389">
            <v>193.52</v>
          </cell>
        </row>
        <row r="390">
          <cell r="G390">
            <v>196.16</v>
          </cell>
        </row>
        <row r="391">
          <cell r="G391">
            <v>189.05</v>
          </cell>
        </row>
        <row r="392">
          <cell r="G392">
            <v>190.01</v>
          </cell>
        </row>
        <row r="393">
          <cell r="G393">
            <v>194.39</v>
          </cell>
        </row>
        <row r="394">
          <cell r="G394">
            <v>193.82</v>
          </cell>
        </row>
        <row r="395">
          <cell r="G395">
            <v>196.64</v>
          </cell>
        </row>
        <row r="396">
          <cell r="G396">
            <v>205.51</v>
          </cell>
        </row>
        <row r="397">
          <cell r="G397">
            <v>203.56</v>
          </cell>
        </row>
        <row r="398">
          <cell r="G398">
            <v>198.12</v>
          </cell>
        </row>
        <row r="399">
          <cell r="G399">
            <v>199.5</v>
          </cell>
        </row>
        <row r="400">
          <cell r="G400">
            <v>196.89</v>
          </cell>
        </row>
        <row r="401">
          <cell r="G401">
            <v>199.18</v>
          </cell>
        </row>
        <row r="402">
          <cell r="G402">
            <v>200.54</v>
          </cell>
        </row>
        <row r="403">
          <cell r="G403">
            <v>201.12</v>
          </cell>
        </row>
        <row r="404">
          <cell r="G404">
            <v>202.8</v>
          </cell>
        </row>
        <row r="405">
          <cell r="G405">
            <v>203.57</v>
          </cell>
        </row>
        <row r="406">
          <cell r="G406">
            <v>205.06</v>
          </cell>
        </row>
        <row r="407">
          <cell r="G407">
            <v>204.82</v>
          </cell>
        </row>
        <row r="408">
          <cell r="G408">
            <v>204.15</v>
          </cell>
        </row>
        <row r="409">
          <cell r="G409">
            <v>205.91</v>
          </cell>
        </row>
        <row r="410">
          <cell r="G410">
            <v>210.04</v>
          </cell>
        </row>
        <row r="411">
          <cell r="G411">
            <v>207.21</v>
          </cell>
        </row>
        <row r="412">
          <cell r="G412">
            <v>213.66</v>
          </cell>
        </row>
        <row r="413">
          <cell r="G413">
            <v>213.37</v>
          </cell>
        </row>
        <row r="414">
          <cell r="G414">
            <v>216.19</v>
          </cell>
        </row>
        <row r="415">
          <cell r="G415">
            <v>213.7</v>
          </cell>
        </row>
        <row r="416">
          <cell r="G416">
            <v>214.27</v>
          </cell>
        </row>
        <row r="417">
          <cell r="G417">
            <v>212.49</v>
          </cell>
        </row>
        <row r="418">
          <cell r="G418">
            <v>210.47</v>
          </cell>
        </row>
        <row r="419">
          <cell r="G419">
            <v>211.35</v>
          </cell>
        </row>
        <row r="420">
          <cell r="G420">
            <v>212.11</v>
          </cell>
        </row>
        <row r="421">
          <cell r="G421">
            <v>211.36</v>
          </cell>
        </row>
        <row r="422">
          <cell r="G422">
            <v>206.26</v>
          </cell>
        </row>
        <row r="423">
          <cell r="G423">
            <v>208.48</v>
          </cell>
        </row>
        <row r="424">
          <cell r="G424">
            <v>213.47</v>
          </cell>
        </row>
        <row r="425">
          <cell r="G425">
            <v>215.87</v>
          </cell>
        </row>
        <row r="426">
          <cell r="G426">
            <v>213.32</v>
          </cell>
        </row>
        <row r="427">
          <cell r="G427">
            <v>210.26</v>
          </cell>
        </row>
        <row r="428">
          <cell r="G428">
            <v>212.1</v>
          </cell>
        </row>
        <row r="429">
          <cell r="G429">
            <v>211.08</v>
          </cell>
        </row>
        <row r="430">
          <cell r="G430">
            <v>211.33</v>
          </cell>
        </row>
        <row r="431">
          <cell r="G431">
            <v>216.42</v>
          </cell>
        </row>
        <row r="432">
          <cell r="G432">
            <v>217.14</v>
          </cell>
        </row>
        <row r="433">
          <cell r="G433">
            <v>214.52</v>
          </cell>
        </row>
        <row r="434">
          <cell r="G434">
            <v>215.25</v>
          </cell>
        </row>
        <row r="435">
          <cell r="G435">
            <v>212.82</v>
          </cell>
        </row>
        <row r="436">
          <cell r="G436">
            <v>208.61</v>
          </cell>
        </row>
        <row r="437">
          <cell r="G437">
            <v>206.8</v>
          </cell>
        </row>
        <row r="438">
          <cell r="G438">
            <v>206.67</v>
          </cell>
        </row>
        <row r="439">
          <cell r="G439">
            <v>209.82</v>
          </cell>
        </row>
        <row r="440">
          <cell r="G440">
            <v>202.89</v>
          </cell>
        </row>
        <row r="441">
          <cell r="G441">
            <v>202.33</v>
          </cell>
        </row>
        <row r="442">
          <cell r="G442">
            <v>201.38</v>
          </cell>
        </row>
        <row r="443">
          <cell r="G443">
            <v>198.71</v>
          </cell>
        </row>
        <row r="444">
          <cell r="G444">
            <v>200.13</v>
          </cell>
        </row>
        <row r="445">
          <cell r="G445">
            <v>197.76</v>
          </cell>
        </row>
        <row r="446">
          <cell r="G446">
            <v>198.64</v>
          </cell>
        </row>
        <row r="447">
          <cell r="G447">
            <v>200.42</v>
          </cell>
        </row>
        <row r="448">
          <cell r="G448">
            <v>200.71</v>
          </cell>
        </row>
        <row r="449">
          <cell r="G449">
            <v>205.2</v>
          </cell>
        </row>
        <row r="450">
          <cell r="G450">
            <v>206.63</v>
          </cell>
        </row>
        <row r="451">
          <cell r="G451">
            <v>199.67</v>
          </cell>
        </row>
        <row r="452">
          <cell r="G452">
            <v>199.41</v>
          </cell>
        </row>
        <row r="453">
          <cell r="G453">
            <v>195.37</v>
          </cell>
        </row>
        <row r="454">
          <cell r="G454">
            <v>193.3</v>
          </cell>
        </row>
        <row r="455">
          <cell r="G455">
            <v>193.13</v>
          </cell>
        </row>
        <row r="456">
          <cell r="G456">
            <v>192.07</v>
          </cell>
        </row>
        <row r="457">
          <cell r="G457">
            <v>187.02</v>
          </cell>
        </row>
        <row r="458">
          <cell r="G458">
            <v>185.79</v>
          </cell>
        </row>
        <row r="459">
          <cell r="G459">
            <v>183.96</v>
          </cell>
        </row>
        <row r="460">
          <cell r="G460">
            <v>180.59</v>
          </cell>
        </row>
        <row r="461">
          <cell r="G461">
            <v>177.87</v>
          </cell>
        </row>
        <row r="462">
          <cell r="G462">
            <v>179.18</v>
          </cell>
        </row>
        <row r="463">
          <cell r="G463">
            <v>180.06</v>
          </cell>
        </row>
        <row r="464">
          <cell r="G464">
            <v>177.65</v>
          </cell>
        </row>
        <row r="465">
          <cell r="G465">
            <v>181.65</v>
          </cell>
        </row>
        <row r="466">
          <cell r="G466">
            <v>185.65</v>
          </cell>
        </row>
        <row r="467">
          <cell r="G467">
            <v>187.67</v>
          </cell>
        </row>
        <row r="468">
          <cell r="G468">
            <v>185.59</v>
          </cell>
        </row>
        <row r="469">
          <cell r="G469">
            <v>183.83</v>
          </cell>
        </row>
        <row r="470">
          <cell r="G470">
            <v>182.18</v>
          </cell>
        </row>
        <row r="471">
          <cell r="G471">
            <v>179.14</v>
          </cell>
        </row>
        <row r="472">
          <cell r="G472">
            <v>178.24</v>
          </cell>
        </row>
        <row r="473">
          <cell r="G473">
            <v>184.66</v>
          </cell>
        </row>
        <row r="474">
          <cell r="G474">
            <v>182.62</v>
          </cell>
        </row>
        <row r="475">
          <cell r="G475">
            <v>185.25</v>
          </cell>
        </row>
        <row r="476">
          <cell r="G476">
            <v>187.17</v>
          </cell>
        </row>
        <row r="477">
          <cell r="G477">
            <v>186.41</v>
          </cell>
        </row>
        <row r="478">
          <cell r="G478">
            <v>187.22</v>
          </cell>
        </row>
        <row r="479">
          <cell r="G479">
            <v>190.37</v>
          </cell>
        </row>
        <row r="480">
          <cell r="G480">
            <v>190.71</v>
          </cell>
        </row>
        <row r="481">
          <cell r="G481">
            <v>194.38</v>
          </cell>
        </row>
        <row r="482">
          <cell r="G482">
            <v>203.33</v>
          </cell>
        </row>
        <row r="483">
          <cell r="G483">
            <v>204.29</v>
          </cell>
        </row>
        <row r="484">
          <cell r="G484">
            <v>209.34</v>
          </cell>
        </row>
        <row r="485">
          <cell r="G485">
            <v>207.16</v>
          </cell>
        </row>
        <row r="486">
          <cell r="G486">
            <v>206.93</v>
          </cell>
        </row>
        <row r="487">
          <cell r="G487">
            <v>200.95</v>
          </cell>
        </row>
        <row r="488">
          <cell r="G488">
            <v>194.75</v>
          </cell>
        </row>
        <row r="489">
          <cell r="G489">
            <v>196.98</v>
          </cell>
        </row>
        <row r="490">
          <cell r="G490">
            <v>200.1</v>
          </cell>
        </row>
        <row r="491">
          <cell r="G491">
            <v>201.78</v>
          </cell>
        </row>
        <row r="492">
          <cell r="G492">
            <v>193.93</v>
          </cell>
        </row>
        <row r="493">
          <cell r="G493">
            <v>205.57</v>
          </cell>
        </row>
        <row r="494">
          <cell r="G494">
            <v>205</v>
          </cell>
        </row>
        <row r="495">
          <cell r="G495">
            <v>206.86</v>
          </cell>
        </row>
        <row r="496">
          <cell r="G496">
            <v>209.99</v>
          </cell>
        </row>
        <row r="497">
          <cell r="G497">
            <v>210.14</v>
          </cell>
        </row>
        <row r="498">
          <cell r="G498">
            <v>210.99</v>
          </cell>
        </row>
        <row r="499">
          <cell r="G499">
            <v>210.8</v>
          </cell>
        </row>
        <row r="500">
          <cell r="G500">
            <v>206.32</v>
          </cell>
        </row>
        <row r="501">
          <cell r="G501">
            <v>210.33</v>
          </cell>
        </row>
        <row r="502">
          <cell r="G502">
            <v>211.73</v>
          </cell>
        </row>
        <row r="503">
          <cell r="G503">
            <v>213.79</v>
          </cell>
        </row>
        <row r="504">
          <cell r="G504">
            <v>211.26</v>
          </cell>
        </row>
        <row r="505">
          <cell r="G505">
            <v>209.06</v>
          </cell>
        </row>
        <row r="506">
          <cell r="G506">
            <v>217</v>
          </cell>
        </row>
        <row r="507">
          <cell r="G507">
            <v>217</v>
          </cell>
        </row>
        <row r="508">
          <cell r="G508">
            <v>217.66</v>
          </cell>
        </row>
        <row r="509">
          <cell r="G509">
            <v>213.68</v>
          </cell>
        </row>
        <row r="510">
          <cell r="G510">
            <v>209.08</v>
          </cell>
        </row>
        <row r="511">
          <cell r="G511">
            <v>207.81</v>
          </cell>
        </row>
        <row r="512">
          <cell r="G512">
            <v>209.1</v>
          </cell>
        </row>
        <row r="513">
          <cell r="G513">
            <v>208.7</v>
          </cell>
        </row>
        <row r="514">
          <cell r="G514">
            <v>214.59</v>
          </cell>
        </row>
        <row r="515">
          <cell r="G515">
            <v>213.04</v>
          </cell>
        </row>
        <row r="516">
          <cell r="G516">
            <v>213.32</v>
          </cell>
        </row>
        <row r="517">
          <cell r="G517">
            <v>207.91</v>
          </cell>
        </row>
        <row r="518">
          <cell r="G518">
            <v>206.89</v>
          </cell>
        </row>
        <row r="519">
          <cell r="G519">
            <v>204.82</v>
          </cell>
        </row>
        <row r="520">
          <cell r="G520">
            <v>205.36</v>
          </cell>
        </row>
        <row r="521">
          <cell r="G521">
            <v>206.81</v>
          </cell>
        </row>
        <row r="522">
          <cell r="G522">
            <v>205.06</v>
          </cell>
        </row>
        <row r="523">
          <cell r="G523">
            <v>205.83</v>
          </cell>
        </row>
        <row r="524">
          <cell r="G524">
            <v>206.29</v>
          </cell>
        </row>
        <row r="525">
          <cell r="G525">
            <v>204.99</v>
          </cell>
        </row>
        <row r="526">
          <cell r="G526">
            <v>208.06</v>
          </cell>
        </row>
        <row r="527">
          <cell r="G527">
            <v>207.76</v>
          </cell>
        </row>
        <row r="528">
          <cell r="G528">
            <v>207.39</v>
          </cell>
        </row>
        <row r="529">
          <cell r="G529">
            <v>212.61</v>
          </cell>
        </row>
        <row r="530">
          <cell r="G530">
            <v>211.11</v>
          </cell>
        </row>
        <row r="531">
          <cell r="G531">
            <v>217.75</v>
          </cell>
        </row>
        <row r="532">
          <cell r="G532">
            <v>218.6</v>
          </cell>
        </row>
        <row r="533">
          <cell r="G533">
            <v>221.09</v>
          </cell>
        </row>
        <row r="534">
          <cell r="G534">
            <v>222.1</v>
          </cell>
        </row>
        <row r="535">
          <cell r="G535">
            <v>223.62</v>
          </cell>
        </row>
        <row r="536">
          <cell r="G536">
            <v>223.06</v>
          </cell>
        </row>
        <row r="537">
          <cell r="G537">
            <v>223</v>
          </cell>
        </row>
        <row r="538">
          <cell r="G538">
            <v>219.46</v>
          </cell>
        </row>
        <row r="539">
          <cell r="G539">
            <v>220.41</v>
          </cell>
        </row>
        <row r="540">
          <cell r="G540">
            <v>224.31</v>
          </cell>
        </row>
        <row r="541">
          <cell r="G541">
            <v>224.18</v>
          </cell>
        </row>
        <row r="542">
          <cell r="G542">
            <v>223.89</v>
          </cell>
        </row>
        <row r="543">
          <cell r="G543">
            <v>224.9</v>
          </cell>
        </row>
        <row r="544">
          <cell r="G544">
            <v>224.71</v>
          </cell>
        </row>
        <row r="545">
          <cell r="G545">
            <v>231.44</v>
          </cell>
        </row>
        <row r="546">
          <cell r="G546">
            <v>229.1</v>
          </cell>
        </row>
        <row r="547">
          <cell r="G547">
            <v>230.21</v>
          </cell>
        </row>
        <row r="548">
          <cell r="G548">
            <v>230.9</v>
          </cell>
        </row>
        <row r="549">
          <cell r="G549">
            <v>229.56</v>
          </cell>
        </row>
        <row r="550">
          <cell r="G550">
            <v>230.13</v>
          </cell>
        </row>
        <row r="551">
          <cell r="G551">
            <v>229.44</v>
          </cell>
        </row>
        <row r="552">
          <cell r="G552">
            <v>231.32</v>
          </cell>
        </row>
        <row r="553">
          <cell r="G553">
            <v>230.2</v>
          </cell>
        </row>
        <row r="554">
          <cell r="G554">
            <v>229.35</v>
          </cell>
        </row>
        <row r="555">
          <cell r="G555">
            <v>227.2</v>
          </cell>
        </row>
        <row r="556">
          <cell r="G556">
            <v>228.88</v>
          </cell>
        </row>
        <row r="557">
          <cell r="G557">
            <v>229.39</v>
          </cell>
        </row>
        <row r="558">
          <cell r="G558">
            <v>228.92</v>
          </cell>
        </row>
        <row r="559">
          <cell r="G559">
            <v>225.83</v>
          </cell>
        </row>
        <row r="560">
          <cell r="G560">
            <v>223.56</v>
          </cell>
        </row>
        <row r="561">
          <cell r="G561">
            <v>220.62</v>
          </cell>
        </row>
        <row r="562">
          <cell r="G562">
            <v>220.02</v>
          </cell>
        </row>
        <row r="563">
          <cell r="G563">
            <v>221.13</v>
          </cell>
        </row>
        <row r="564">
          <cell r="G564">
            <v>219.55</v>
          </cell>
        </row>
        <row r="565">
          <cell r="G565">
            <v>220.35</v>
          </cell>
        </row>
        <row r="566">
          <cell r="G566">
            <v>219.94</v>
          </cell>
        </row>
        <row r="567">
          <cell r="G567">
            <v>218.36</v>
          </cell>
        </row>
        <row r="568">
          <cell r="G568">
            <v>219.06</v>
          </cell>
        </row>
        <row r="569">
          <cell r="G569">
            <v>223.77</v>
          </cell>
        </row>
        <row r="570">
          <cell r="G570">
            <v>226.75</v>
          </cell>
        </row>
        <row r="571">
          <cell r="G571">
            <v>223.17</v>
          </cell>
        </row>
        <row r="572">
          <cell r="G572">
            <v>222.19</v>
          </cell>
        </row>
        <row r="573">
          <cell r="G573">
            <v>220.01</v>
          </cell>
        </row>
        <row r="574">
          <cell r="G574">
            <v>216.14</v>
          </cell>
        </row>
        <row r="575">
          <cell r="G575">
            <v>214.47</v>
          </cell>
        </row>
        <row r="576">
          <cell r="G576">
            <v>218.66</v>
          </cell>
        </row>
        <row r="577">
          <cell r="G577">
            <v>216.37</v>
          </cell>
        </row>
        <row r="578">
          <cell r="G578">
            <v>217.45</v>
          </cell>
        </row>
        <row r="579">
          <cell r="G579">
            <v>217.39</v>
          </cell>
        </row>
        <row r="580">
          <cell r="G580">
            <v>218.15</v>
          </cell>
        </row>
        <row r="581">
          <cell r="G581">
            <v>221.95</v>
          </cell>
        </row>
        <row r="582">
          <cell r="G582">
            <v>220.04</v>
          </cell>
        </row>
        <row r="583">
          <cell r="G583">
            <v>222.59</v>
          </cell>
        </row>
        <row r="584">
          <cell r="G584">
            <v>221.04</v>
          </cell>
        </row>
        <row r="585">
          <cell r="G585">
            <v>221.81</v>
          </cell>
        </row>
        <row r="586">
          <cell r="G586">
            <v>220.33</v>
          </cell>
        </row>
        <row r="587">
          <cell r="G587">
            <v>223.3</v>
          </cell>
        </row>
        <row r="588">
          <cell r="G588">
            <v>222.36</v>
          </cell>
        </row>
        <row r="589">
          <cell r="G589">
            <v>225.46</v>
          </cell>
        </row>
        <row r="590">
          <cell r="G590">
            <v>229</v>
          </cell>
        </row>
        <row r="591">
          <cell r="G591">
            <v>227.66</v>
          </cell>
        </row>
        <row r="592">
          <cell r="G592">
            <v>228.17</v>
          </cell>
        </row>
        <row r="593">
          <cell r="G593">
            <v>225.99</v>
          </cell>
        </row>
        <row r="594">
          <cell r="G594">
            <v>226.43</v>
          </cell>
        </row>
        <row r="595">
          <cell r="G595">
            <v>228.45</v>
          </cell>
        </row>
        <row r="596">
          <cell r="G596">
            <v>227.81</v>
          </cell>
        </row>
        <row r="597">
          <cell r="G597">
            <v>232.69</v>
          </cell>
        </row>
        <row r="598">
          <cell r="G598">
            <v>234.02</v>
          </cell>
        </row>
        <row r="599">
          <cell r="G599">
            <v>233.48</v>
          </cell>
        </row>
        <row r="600">
          <cell r="G600">
            <v>233.6</v>
          </cell>
        </row>
        <row r="601">
          <cell r="G601">
            <v>232.57</v>
          </cell>
        </row>
        <row r="602">
          <cell r="G602">
            <v>234.6</v>
          </cell>
        </row>
        <row r="603">
          <cell r="G603">
            <v>234.05</v>
          </cell>
        </row>
        <row r="604">
          <cell r="G604">
            <v>232.76</v>
          </cell>
        </row>
        <row r="605">
          <cell r="G605">
            <v>229.59</v>
          </cell>
        </row>
        <row r="606">
          <cell r="G606">
            <v>228.15</v>
          </cell>
        </row>
        <row r="607">
          <cell r="G607">
            <v>229.01</v>
          </cell>
        </row>
        <row r="608">
          <cell r="G608">
            <v>232.73</v>
          </cell>
        </row>
        <row r="609">
          <cell r="G609">
            <v>232.51</v>
          </cell>
        </row>
        <row r="610">
          <cell r="G610">
            <v>226.98</v>
          </cell>
        </row>
        <row r="611">
          <cell r="G611">
            <v>225.98</v>
          </cell>
        </row>
        <row r="612">
          <cell r="G612">
            <v>225.6</v>
          </cell>
        </row>
        <row r="613">
          <cell r="G613">
            <v>231.78</v>
          </cell>
        </row>
        <row r="614">
          <cell r="G614">
            <v>232.23</v>
          </cell>
        </row>
        <row r="615">
          <cell r="G615">
            <v>233.26</v>
          </cell>
        </row>
        <row r="616">
          <cell r="G616">
            <v>231.27</v>
          </cell>
        </row>
        <row r="617">
          <cell r="G617">
            <v>231.01</v>
          </cell>
        </row>
        <row r="618">
          <cell r="G618">
            <v>231.38</v>
          </cell>
        </row>
        <row r="619">
          <cell r="G619">
            <v>232.81</v>
          </cell>
        </row>
        <row r="620">
          <cell r="G620">
            <v>230.47</v>
          </cell>
        </row>
        <row r="621">
          <cell r="G621">
            <v>232.65</v>
          </cell>
        </row>
        <row r="622">
          <cell r="G622">
            <v>233.6</v>
          </cell>
        </row>
        <row r="623">
          <cell r="G623">
            <v>233.31</v>
          </cell>
        </row>
        <row r="624">
          <cell r="G624">
            <v>231.28</v>
          </cell>
        </row>
        <row r="625">
          <cell r="G625">
            <v>224.58</v>
          </cell>
        </row>
        <row r="626">
          <cell r="G626">
            <v>222.25</v>
          </cell>
        </row>
        <row r="627">
          <cell r="G627">
            <v>223.38</v>
          </cell>
        </row>
        <row r="628">
          <cell r="G628">
            <v>225.01</v>
          </cell>
        </row>
        <row r="629">
          <cell r="G629">
            <v>221.64</v>
          </cell>
        </row>
        <row r="630">
          <cell r="G630">
            <v>221.03</v>
          </cell>
        </row>
        <row r="631">
          <cell r="G631">
            <v>226.5</v>
          </cell>
        </row>
        <row r="632">
          <cell r="G632">
            <v>228.79</v>
          </cell>
        </row>
        <row r="633">
          <cell r="G633">
            <v>226.77</v>
          </cell>
        </row>
        <row r="634">
          <cell r="G634">
            <v>228.22</v>
          </cell>
        </row>
        <row r="635">
          <cell r="G635">
            <v>225.27</v>
          </cell>
        </row>
        <row r="636">
          <cell r="G636">
            <v>223.05</v>
          </cell>
        </row>
        <row r="637">
          <cell r="G637">
            <v>223.56</v>
          </cell>
        </row>
        <row r="638">
          <cell r="G638">
            <v>226.17</v>
          </cell>
        </row>
        <row r="639">
          <cell r="G639">
            <v>223.4</v>
          </cell>
        </row>
        <row r="640">
          <cell r="G640">
            <v>223.44</v>
          </cell>
        </row>
        <row r="641">
          <cell r="G641">
            <v>226.17</v>
          </cell>
        </row>
        <row r="642">
          <cell r="G642">
            <v>228.91</v>
          </cell>
        </row>
        <row r="643">
          <cell r="G643">
            <v>226.47</v>
          </cell>
        </row>
        <row r="644">
          <cell r="G644">
            <v>227.25</v>
          </cell>
        </row>
        <row r="645">
          <cell r="G645">
            <v>228.39</v>
          </cell>
        </row>
        <row r="646">
          <cell r="G646">
            <v>229.55</v>
          </cell>
        </row>
        <row r="647">
          <cell r="G647">
            <v>226.3</v>
          </cell>
        </row>
        <row r="648">
          <cell r="G648">
            <v>227.34</v>
          </cell>
        </row>
        <row r="649">
          <cell r="G649">
            <v>227.96</v>
          </cell>
        </row>
        <row r="650">
          <cell r="G650">
            <v>234.32</v>
          </cell>
        </row>
        <row r="651">
          <cell r="G651">
            <v>237.48</v>
          </cell>
        </row>
        <row r="652">
          <cell r="G652">
            <v>237.97</v>
          </cell>
        </row>
        <row r="653">
          <cell r="G653">
            <v>239.45</v>
          </cell>
        </row>
        <row r="654">
          <cell r="G654">
            <v>238.88</v>
          </cell>
        </row>
        <row r="655">
          <cell r="G655">
            <v>236.45</v>
          </cell>
        </row>
        <row r="656">
          <cell r="G656">
            <v>238.16</v>
          </cell>
        </row>
        <row r="657">
          <cell r="G657">
            <v>240.55</v>
          </cell>
        </row>
        <row r="658">
          <cell r="G658">
            <v>242.21</v>
          </cell>
        </row>
        <row r="659">
          <cell r="G659">
            <v>243.31</v>
          </cell>
        </row>
        <row r="660">
          <cell r="G660">
            <v>243.16</v>
          </cell>
        </row>
        <row r="661">
          <cell r="G661">
            <v>243.99</v>
          </cell>
        </row>
        <row r="662">
          <cell r="G662">
            <v>240.77</v>
          </cell>
        </row>
        <row r="663">
          <cell r="G663">
            <v>241.42</v>
          </cell>
        </row>
        <row r="664">
          <cell r="G664">
            <v>239.62</v>
          </cell>
        </row>
        <row r="665">
          <cell r="G665">
            <v>239.25</v>
          </cell>
        </row>
        <row r="666">
          <cell r="G666">
            <v>240.74</v>
          </cell>
        </row>
        <row r="667">
          <cell r="G667">
            <v>238.69</v>
          </cell>
        </row>
        <row r="668">
          <cell r="G668">
            <v>237.1</v>
          </cell>
        </row>
        <row r="669">
          <cell r="G669">
            <v>234.44</v>
          </cell>
        </row>
        <row r="670">
          <cell r="G670">
            <v>235.75</v>
          </cell>
        </row>
        <row r="671">
          <cell r="G671">
            <v>237.73</v>
          </cell>
        </row>
        <row r="672">
          <cell r="G672">
            <v>239.78</v>
          </cell>
        </row>
        <row r="673">
          <cell r="G673">
            <v>237.56</v>
          </cell>
        </row>
        <row r="674">
          <cell r="G674">
            <v>238.76</v>
          </cell>
        </row>
        <row r="675">
          <cell r="G675">
            <v>238.99</v>
          </cell>
        </row>
        <row r="676">
          <cell r="G676">
            <v>241.51</v>
          </cell>
        </row>
        <row r="677">
          <cell r="G677">
            <v>239.29</v>
          </cell>
        </row>
        <row r="678">
          <cell r="G678">
            <v>239.76</v>
          </cell>
        </row>
        <row r="679">
          <cell r="G679">
            <v>240.16</v>
          </cell>
        </row>
        <row r="680">
          <cell r="G680">
            <v>240.04</v>
          </cell>
        </row>
        <row r="681">
          <cell r="G681">
            <v>242.9</v>
          </cell>
        </row>
        <row r="682">
          <cell r="G682">
            <v>239.83</v>
          </cell>
        </row>
        <row r="683">
          <cell r="G683">
            <v>239.29</v>
          </cell>
        </row>
        <row r="684">
          <cell r="G684">
            <v>237.37</v>
          </cell>
        </row>
        <row r="685">
          <cell r="G685">
            <v>238.17</v>
          </cell>
        </row>
        <row r="686">
          <cell r="G686">
            <v>239.46</v>
          </cell>
        </row>
        <row r="687">
          <cell r="G687">
            <v>240.57</v>
          </cell>
        </row>
        <row r="688">
          <cell r="G688">
            <v>242.3</v>
          </cell>
        </row>
        <row r="689">
          <cell r="G689">
            <v>239.47</v>
          </cell>
        </row>
        <row r="690">
          <cell r="G690">
            <v>242.57</v>
          </cell>
        </row>
        <row r="691">
          <cell r="G691">
            <v>243.83</v>
          </cell>
        </row>
        <row r="692">
          <cell r="G692">
            <v>245.34</v>
          </cell>
        </row>
        <row r="693">
          <cell r="G693">
            <v>246.23</v>
          </cell>
        </row>
        <row r="694">
          <cell r="G694">
            <v>245.68</v>
          </cell>
        </row>
        <row r="695">
          <cell r="G695">
            <v>248.11</v>
          </cell>
        </row>
        <row r="696">
          <cell r="G696">
            <v>245.34</v>
          </cell>
        </row>
        <row r="697">
          <cell r="G697">
            <v>246.16</v>
          </cell>
        </row>
        <row r="698">
          <cell r="G698">
            <v>247.14</v>
          </cell>
        </row>
        <row r="699">
          <cell r="G699">
            <v>247.29</v>
          </cell>
        </row>
        <row r="700">
          <cell r="G700">
            <v>247.22</v>
          </cell>
        </row>
        <row r="701">
          <cell r="G701">
            <v>247.3</v>
          </cell>
        </row>
        <row r="702">
          <cell r="G702">
            <v>247.83</v>
          </cell>
        </row>
        <row r="703">
          <cell r="G703">
            <v>241.5</v>
          </cell>
        </row>
        <row r="704">
          <cell r="G704">
            <v>241.07</v>
          </cell>
        </row>
        <row r="705">
          <cell r="G705">
            <v>244.66</v>
          </cell>
        </row>
        <row r="706">
          <cell r="G706">
            <v>243.56</v>
          </cell>
        </row>
        <row r="707">
          <cell r="G707">
            <v>241.86</v>
          </cell>
        </row>
        <row r="708">
          <cell r="G708">
            <v>236.61</v>
          </cell>
        </row>
        <row r="709">
          <cell r="G709">
            <v>235.08</v>
          </cell>
        </row>
        <row r="710">
          <cell r="G710">
            <v>233.36</v>
          </cell>
        </row>
        <row r="711">
          <cell r="G711">
            <v>229.65</v>
          </cell>
        </row>
        <row r="712">
          <cell r="G712">
            <v>229.5</v>
          </cell>
        </row>
        <row r="713">
          <cell r="G713">
            <v>231.66</v>
          </cell>
        </row>
        <row r="714">
          <cell r="G714">
            <v>230.01</v>
          </cell>
        </row>
        <row r="715">
          <cell r="G715">
            <v>231.27</v>
          </cell>
        </row>
        <row r="716">
          <cell r="G716">
            <v>228.81</v>
          </cell>
        </row>
        <row r="717">
          <cell r="G717">
            <v>231.22</v>
          </cell>
        </row>
        <row r="718">
          <cell r="G718">
            <v>233.48</v>
          </cell>
        </row>
        <row r="719">
          <cell r="G719">
            <v>235.04</v>
          </cell>
        </row>
        <row r="720">
          <cell r="G720">
            <v>234.44</v>
          </cell>
        </row>
        <row r="721">
          <cell r="G721">
            <v>236.6</v>
          </cell>
        </row>
        <row r="722">
          <cell r="G722">
            <v>235.68</v>
          </cell>
        </row>
        <row r="723">
          <cell r="G723">
            <v>236.78</v>
          </cell>
        </row>
        <row r="724">
          <cell r="G724">
            <v>237.67</v>
          </cell>
        </row>
        <row r="725">
          <cell r="G725">
            <v>240.07</v>
          </cell>
        </row>
        <row r="726">
          <cell r="G726">
            <v>241.2</v>
          </cell>
        </row>
        <row r="727">
          <cell r="G727">
            <v>237.47</v>
          </cell>
        </row>
        <row r="728">
          <cell r="G728">
            <v>233.81</v>
          </cell>
        </row>
        <row r="729">
          <cell r="G729">
            <v>233.38</v>
          </cell>
        </row>
        <row r="730">
          <cell r="G730">
            <v>231.53</v>
          </cell>
        </row>
        <row r="731">
          <cell r="G731">
            <v>234.65</v>
          </cell>
        </row>
        <row r="732">
          <cell r="G732">
            <v>236.85</v>
          </cell>
        </row>
        <row r="733">
          <cell r="G733">
            <v>231.28</v>
          </cell>
        </row>
        <row r="734">
          <cell r="G734">
            <v>229.27</v>
          </cell>
        </row>
        <row r="735">
          <cell r="G735">
            <v>233.08</v>
          </cell>
        </row>
        <row r="736">
          <cell r="G736">
            <v>235.1</v>
          </cell>
        </row>
        <row r="737">
          <cell r="G737">
            <v>238.58</v>
          </cell>
        </row>
        <row r="738">
          <cell r="G738">
            <v>243.25</v>
          </cell>
        </row>
        <row r="739">
          <cell r="G739">
            <v>243.6</v>
          </cell>
        </row>
        <row r="740">
          <cell r="G740">
            <v>243.49</v>
          </cell>
        </row>
        <row r="741">
          <cell r="G741">
            <v>244.77</v>
          </cell>
        </row>
        <row r="742">
          <cell r="G742">
            <v>243.91</v>
          </cell>
        </row>
        <row r="743">
          <cell r="G743">
            <v>241.64</v>
          </cell>
        </row>
        <row r="744">
          <cell r="G744">
            <v>245.25</v>
          </cell>
        </row>
        <row r="745">
          <cell r="G745">
            <v>244.67</v>
          </cell>
        </row>
        <row r="746">
          <cell r="G746">
            <v>246.94</v>
          </cell>
        </row>
        <row r="747">
          <cell r="G747">
            <v>248.11</v>
          </cell>
        </row>
        <row r="748">
          <cell r="G748">
            <v>248.57</v>
          </cell>
        </row>
        <row r="749">
          <cell r="G749">
            <v>249.56</v>
          </cell>
        </row>
        <row r="750">
          <cell r="G750">
            <v>249.97</v>
          </cell>
        </row>
        <row r="751">
          <cell r="G751">
            <v>252.23</v>
          </cell>
        </row>
        <row r="752">
          <cell r="G752">
            <v>253.72</v>
          </cell>
        </row>
        <row r="753">
          <cell r="G753">
            <v>254.3</v>
          </cell>
        </row>
        <row r="754">
          <cell r="G754">
            <v>254.14</v>
          </cell>
        </row>
        <row r="755">
          <cell r="G755">
            <v>252.94</v>
          </cell>
        </row>
        <row r="756">
          <cell r="G756">
            <v>254.23</v>
          </cell>
        </row>
        <row r="757">
          <cell r="G757">
            <v>256.68</v>
          </cell>
        </row>
        <row r="758">
          <cell r="G758">
            <v>256.45</v>
          </cell>
        </row>
        <row r="759">
          <cell r="G759">
            <v>254.44</v>
          </cell>
        </row>
        <row r="760">
          <cell r="G760">
            <v>254.61</v>
          </cell>
        </row>
        <row r="761">
          <cell r="G761">
            <v>254.29</v>
          </cell>
        </row>
        <row r="762">
          <cell r="G762">
            <v>255.82</v>
          </cell>
        </row>
        <row r="763">
          <cell r="G763">
            <v>255.74</v>
          </cell>
        </row>
        <row r="764">
          <cell r="G764">
            <v>256.52</v>
          </cell>
        </row>
        <row r="765">
          <cell r="G765">
            <v>259.56</v>
          </cell>
        </row>
        <row r="766">
          <cell r="G766">
            <v>262.38</v>
          </cell>
        </row>
        <row r="767">
          <cell r="G767">
            <v>258.73</v>
          </cell>
        </row>
        <row r="768">
          <cell r="G768">
            <v>258.02999999999997</v>
          </cell>
        </row>
        <row r="769">
          <cell r="G769">
            <v>258.37</v>
          </cell>
        </row>
        <row r="770">
          <cell r="G770">
            <v>259.99</v>
          </cell>
        </row>
        <row r="771">
          <cell r="G771">
            <v>257.11</v>
          </cell>
        </row>
        <row r="772">
          <cell r="G772">
            <v>259.54000000000002</v>
          </cell>
        </row>
        <row r="773">
          <cell r="G773">
            <v>258.43</v>
          </cell>
        </row>
        <row r="774">
          <cell r="G774">
            <v>259.16000000000003</v>
          </cell>
        </row>
        <row r="775">
          <cell r="G775">
            <v>258.93</v>
          </cell>
        </row>
        <row r="776">
          <cell r="G776">
            <v>260.39999999999998</v>
          </cell>
        </row>
        <row r="777">
          <cell r="G777">
            <v>260.35000000000002</v>
          </cell>
        </row>
        <row r="778">
          <cell r="G778">
            <v>258.87</v>
          </cell>
        </row>
        <row r="779">
          <cell r="G779">
            <v>257.98</v>
          </cell>
        </row>
        <row r="780">
          <cell r="G780">
            <v>259.61</v>
          </cell>
        </row>
        <row r="781">
          <cell r="G781">
            <v>259.69</v>
          </cell>
        </row>
        <row r="782">
          <cell r="G782">
            <v>262.54000000000002</v>
          </cell>
        </row>
        <row r="783">
          <cell r="G783">
            <v>263.33</v>
          </cell>
        </row>
        <row r="784">
          <cell r="G784">
            <v>264.56</v>
          </cell>
        </row>
        <row r="785">
          <cell r="G785">
            <v>264.02999999999997</v>
          </cell>
        </row>
        <row r="786">
          <cell r="G786">
            <v>264.17</v>
          </cell>
        </row>
        <row r="787">
          <cell r="G787">
            <v>265.24</v>
          </cell>
        </row>
        <row r="788">
          <cell r="G788">
            <v>266.63</v>
          </cell>
        </row>
        <row r="789">
          <cell r="G789">
            <v>268.14</v>
          </cell>
        </row>
        <row r="790">
          <cell r="G790">
            <v>270.89999999999998</v>
          </cell>
        </row>
        <row r="791">
          <cell r="G791">
            <v>271.2</v>
          </cell>
        </row>
        <row r="792">
          <cell r="G792">
            <v>271.26</v>
          </cell>
        </row>
        <row r="793">
          <cell r="G793">
            <v>271.64999999999998</v>
          </cell>
        </row>
        <row r="794">
          <cell r="G794">
            <v>272.61</v>
          </cell>
        </row>
        <row r="795">
          <cell r="G795">
            <v>267.94</v>
          </cell>
        </row>
        <row r="796">
          <cell r="G796">
            <v>273.66000000000003</v>
          </cell>
        </row>
        <row r="797">
          <cell r="G797">
            <v>277.14999999999998</v>
          </cell>
        </row>
        <row r="798">
          <cell r="G798">
            <v>273.26</v>
          </cell>
        </row>
        <row r="799">
          <cell r="G799">
            <v>277.05</v>
          </cell>
        </row>
        <row r="800">
          <cell r="G800">
            <v>277.18</v>
          </cell>
        </row>
        <row r="801">
          <cell r="G801">
            <v>275.58</v>
          </cell>
        </row>
        <row r="802">
          <cell r="G802">
            <v>276.76</v>
          </cell>
        </row>
        <row r="803">
          <cell r="G803">
            <v>279.39</v>
          </cell>
        </row>
        <row r="804">
          <cell r="G804">
            <v>275.77999999999997</v>
          </cell>
        </row>
        <row r="805">
          <cell r="G805">
            <v>276.43</v>
          </cell>
        </row>
        <row r="806">
          <cell r="G806">
            <v>275.07</v>
          </cell>
        </row>
        <row r="807">
          <cell r="G807">
            <v>275.81</v>
          </cell>
        </row>
        <row r="808">
          <cell r="G808">
            <v>277.56</v>
          </cell>
        </row>
        <row r="809">
          <cell r="G809">
            <v>280.98</v>
          </cell>
        </row>
        <row r="810">
          <cell r="G810">
            <v>278.56</v>
          </cell>
        </row>
        <row r="811">
          <cell r="G811">
            <v>275.14999999999998</v>
          </cell>
        </row>
        <row r="812">
          <cell r="G812">
            <v>276.76</v>
          </cell>
        </row>
        <row r="813">
          <cell r="G813">
            <v>283.75</v>
          </cell>
        </row>
        <row r="814">
          <cell r="G814">
            <v>283.60000000000002</v>
          </cell>
        </row>
        <row r="815">
          <cell r="G815">
            <v>284.14999999999998</v>
          </cell>
        </row>
        <row r="816">
          <cell r="G816">
            <v>283.17</v>
          </cell>
        </row>
        <row r="817">
          <cell r="G817">
            <v>285.63</v>
          </cell>
        </row>
        <row r="818">
          <cell r="G818">
            <v>282.64</v>
          </cell>
        </row>
        <row r="819">
          <cell r="G819">
            <v>283.16000000000003</v>
          </cell>
        </row>
        <row r="820">
          <cell r="G820">
            <v>280.52999999999997</v>
          </cell>
        </row>
        <row r="821">
          <cell r="G821">
            <v>279.38</v>
          </cell>
        </row>
        <row r="822">
          <cell r="G822">
            <v>280.43</v>
          </cell>
        </row>
        <row r="823">
          <cell r="G823">
            <v>278.26</v>
          </cell>
        </row>
        <row r="824">
          <cell r="G824">
            <v>280.04000000000002</v>
          </cell>
        </row>
        <row r="825">
          <cell r="G825">
            <v>280.56</v>
          </cell>
        </row>
        <row r="826">
          <cell r="G826">
            <v>283.92</v>
          </cell>
        </row>
        <row r="827">
          <cell r="G827">
            <v>285.14</v>
          </cell>
        </row>
        <row r="828">
          <cell r="G828">
            <v>286.41000000000003</v>
          </cell>
        </row>
        <row r="829">
          <cell r="G829">
            <v>283.04000000000002</v>
          </cell>
        </row>
        <row r="830">
          <cell r="G830">
            <v>285.05</v>
          </cell>
        </row>
        <row r="831">
          <cell r="G831">
            <v>287.35000000000002</v>
          </cell>
        </row>
        <row r="832">
          <cell r="G832">
            <v>289.27999999999997</v>
          </cell>
        </row>
        <row r="833">
          <cell r="G833">
            <v>290.37</v>
          </cell>
        </row>
        <row r="834">
          <cell r="G834">
            <v>283.26</v>
          </cell>
        </row>
        <row r="835">
          <cell r="G835">
            <v>281.20999999999998</v>
          </cell>
        </row>
        <row r="836">
          <cell r="G836">
            <v>280.60000000000002</v>
          </cell>
        </row>
        <row r="837">
          <cell r="G837">
            <v>279.02</v>
          </cell>
        </row>
        <row r="838">
          <cell r="G838">
            <v>279.08</v>
          </cell>
        </row>
        <row r="839">
          <cell r="G839">
            <v>278.27999999999997</v>
          </cell>
        </row>
        <row r="840">
          <cell r="G840">
            <v>278.44</v>
          </cell>
        </row>
        <row r="841">
          <cell r="G841">
            <v>276.95999999999998</v>
          </cell>
        </row>
        <row r="842">
          <cell r="G842">
            <v>274</v>
          </cell>
        </row>
        <row r="843">
          <cell r="G843">
            <v>277.14</v>
          </cell>
        </row>
        <row r="844">
          <cell r="G844">
            <v>277.76</v>
          </cell>
        </row>
        <row r="845">
          <cell r="G845">
            <v>276.72000000000003</v>
          </cell>
        </row>
        <row r="846">
          <cell r="G846">
            <v>274.48</v>
          </cell>
        </row>
        <row r="847">
          <cell r="G847">
            <v>275.68</v>
          </cell>
        </row>
        <row r="848">
          <cell r="G848">
            <v>275.95999999999998</v>
          </cell>
        </row>
        <row r="849">
          <cell r="G849">
            <v>271.27999999999997</v>
          </cell>
        </row>
        <row r="850">
          <cell r="G850">
            <v>271.35000000000002</v>
          </cell>
        </row>
        <row r="851">
          <cell r="G851">
            <v>272.69</v>
          </cell>
        </row>
        <row r="852">
          <cell r="G852">
            <v>271.37</v>
          </cell>
        </row>
        <row r="853">
          <cell r="G853">
            <v>269.77999999999997</v>
          </cell>
        </row>
        <row r="854">
          <cell r="G854">
            <v>272.33</v>
          </cell>
        </row>
        <row r="855">
          <cell r="G855">
            <v>274.11</v>
          </cell>
        </row>
        <row r="856">
          <cell r="G856">
            <v>275.02</v>
          </cell>
        </row>
        <row r="857">
          <cell r="G857">
            <v>275.16000000000003</v>
          </cell>
        </row>
        <row r="858">
          <cell r="G858">
            <v>274.52</v>
          </cell>
        </row>
        <row r="859">
          <cell r="G859">
            <v>271.83999999999997</v>
          </cell>
        </row>
        <row r="860">
          <cell r="G860">
            <v>268.61</v>
          </cell>
        </row>
        <row r="861">
          <cell r="G861">
            <v>267.32</v>
          </cell>
        </row>
        <row r="862">
          <cell r="G862">
            <v>267.61</v>
          </cell>
        </row>
        <row r="863">
          <cell r="G863">
            <v>268.49</v>
          </cell>
        </row>
        <row r="864">
          <cell r="G864">
            <v>272.67</v>
          </cell>
        </row>
        <row r="865">
          <cell r="G865">
            <v>276.45999999999998</v>
          </cell>
        </row>
        <row r="866">
          <cell r="G866">
            <v>277.19</v>
          </cell>
        </row>
        <row r="867">
          <cell r="G867">
            <v>278.54000000000002</v>
          </cell>
        </row>
        <row r="868">
          <cell r="G868">
            <v>280.74</v>
          </cell>
        </row>
        <row r="869">
          <cell r="G869">
            <v>279.39</v>
          </cell>
        </row>
        <row r="870">
          <cell r="G870">
            <v>277.74</v>
          </cell>
        </row>
        <row r="871">
          <cell r="G871">
            <v>281.5</v>
          </cell>
        </row>
        <row r="872">
          <cell r="G872">
            <v>279.83999999999997</v>
          </cell>
        </row>
        <row r="873">
          <cell r="G873">
            <v>280.10000000000002</v>
          </cell>
        </row>
        <row r="874">
          <cell r="G874">
            <v>278.54000000000002</v>
          </cell>
        </row>
        <row r="875">
          <cell r="G875">
            <v>275.95</v>
          </cell>
        </row>
        <row r="876">
          <cell r="G876">
            <v>275.58</v>
          </cell>
        </row>
        <row r="877">
          <cell r="G877">
            <v>274.23</v>
          </cell>
        </row>
        <row r="878">
          <cell r="G878">
            <v>274.49</v>
          </cell>
        </row>
        <row r="879">
          <cell r="G879">
            <v>270.98</v>
          </cell>
        </row>
        <row r="880">
          <cell r="G880">
            <v>268.86</v>
          </cell>
        </row>
        <row r="881">
          <cell r="G881">
            <v>271.3</v>
          </cell>
        </row>
        <row r="882">
          <cell r="G882">
            <v>272.45999999999998</v>
          </cell>
        </row>
        <row r="883">
          <cell r="G883">
            <v>270.38</v>
          </cell>
        </row>
        <row r="884">
          <cell r="G884">
            <v>272.42</v>
          </cell>
        </row>
        <row r="885">
          <cell r="G885">
            <v>274.5</v>
          </cell>
        </row>
        <row r="886">
          <cell r="G886">
            <v>277.04000000000002</v>
          </cell>
        </row>
        <row r="887">
          <cell r="G887">
            <v>278.67</v>
          </cell>
        </row>
        <row r="888">
          <cell r="G888">
            <v>275.04000000000002</v>
          </cell>
        </row>
        <row r="889">
          <cell r="G889">
            <v>274.67</v>
          </cell>
        </row>
        <row r="890">
          <cell r="G890">
            <v>270.32</v>
          </cell>
        </row>
        <row r="891">
          <cell r="G891">
            <v>271.19</v>
          </cell>
        </row>
        <row r="892">
          <cell r="G892">
            <v>270.66000000000003</v>
          </cell>
        </row>
        <row r="893">
          <cell r="G893">
            <v>271.17</v>
          </cell>
        </row>
        <row r="894">
          <cell r="G894">
            <v>273.62</v>
          </cell>
        </row>
        <row r="895">
          <cell r="G895">
            <v>276.82</v>
          </cell>
        </row>
        <row r="896">
          <cell r="G896">
            <v>275.22000000000003</v>
          </cell>
        </row>
        <row r="897">
          <cell r="G897">
            <v>276.3</v>
          </cell>
        </row>
        <row r="898">
          <cell r="G898">
            <v>273.52999999999997</v>
          </cell>
        </row>
        <row r="899">
          <cell r="G899">
            <v>273.60000000000002</v>
          </cell>
        </row>
        <row r="900">
          <cell r="G900">
            <v>266.58999999999997</v>
          </cell>
        </row>
        <row r="901">
          <cell r="G901">
            <v>262.47000000000003</v>
          </cell>
        </row>
        <row r="902">
          <cell r="G902">
            <v>263.24</v>
          </cell>
        </row>
        <row r="903">
          <cell r="G903">
            <v>268.23</v>
          </cell>
        </row>
        <row r="904">
          <cell r="G904">
            <v>268.99</v>
          </cell>
        </row>
        <row r="905">
          <cell r="G905">
            <v>270.36</v>
          </cell>
        </row>
        <row r="906">
          <cell r="G906">
            <v>266.39999999999998</v>
          </cell>
        </row>
        <row r="907">
          <cell r="G907">
            <v>265.44</v>
          </cell>
        </row>
        <row r="908">
          <cell r="G908">
            <v>263</v>
          </cell>
        </row>
        <row r="909">
          <cell r="G909">
            <v>262.55</v>
          </cell>
        </row>
        <row r="910">
          <cell r="G910">
            <v>265.74</v>
          </cell>
        </row>
        <row r="911">
          <cell r="G911">
            <v>268.45</v>
          </cell>
        </row>
        <row r="912">
          <cell r="G912">
            <v>269.25</v>
          </cell>
        </row>
        <row r="913">
          <cell r="G913">
            <v>272.7</v>
          </cell>
        </row>
        <row r="914">
          <cell r="G914">
            <v>269.14999999999998</v>
          </cell>
        </row>
        <row r="915">
          <cell r="G915">
            <v>265.45999999999998</v>
          </cell>
        </row>
        <row r="916">
          <cell r="G916">
            <v>267.70999999999998</v>
          </cell>
        </row>
        <row r="917">
          <cell r="G917">
            <v>264.79000000000002</v>
          </cell>
        </row>
        <row r="918">
          <cell r="G918">
            <v>254.17</v>
          </cell>
        </row>
        <row r="919">
          <cell r="G919">
            <v>253.74</v>
          </cell>
        </row>
        <row r="920">
          <cell r="G920">
            <v>259.45999999999998</v>
          </cell>
        </row>
        <row r="921">
          <cell r="G921">
            <v>261.60000000000002</v>
          </cell>
        </row>
        <row r="922">
          <cell r="G922">
            <v>263.10000000000002</v>
          </cell>
        </row>
        <row r="923">
          <cell r="G923">
            <v>265.67</v>
          </cell>
        </row>
        <row r="924">
          <cell r="G924">
            <v>265.93</v>
          </cell>
        </row>
        <row r="925">
          <cell r="G925">
            <v>266.58</v>
          </cell>
        </row>
        <row r="926">
          <cell r="G926">
            <v>256.44</v>
          </cell>
        </row>
        <row r="927">
          <cell r="G927">
            <v>258.26</v>
          </cell>
        </row>
        <row r="928">
          <cell r="G928">
            <v>256.52</v>
          </cell>
        </row>
        <row r="929">
          <cell r="G929">
            <v>259.83</v>
          </cell>
        </row>
        <row r="930">
          <cell r="G930">
            <v>259.76</v>
          </cell>
        </row>
        <row r="931">
          <cell r="G931">
            <v>259.89</v>
          </cell>
        </row>
        <row r="932">
          <cell r="G932">
            <v>260.13</v>
          </cell>
        </row>
        <row r="933">
          <cell r="G933">
            <v>261.14</v>
          </cell>
        </row>
        <row r="934">
          <cell r="G934">
            <v>266.8</v>
          </cell>
        </row>
        <row r="935">
          <cell r="G935">
            <v>267.38</v>
          </cell>
        </row>
        <row r="936">
          <cell r="G936">
            <v>266.47000000000003</v>
          </cell>
        </row>
        <row r="937">
          <cell r="G937">
            <v>268.04000000000002</v>
          </cell>
        </row>
        <row r="938">
          <cell r="G938">
            <v>268.2</v>
          </cell>
        </row>
        <row r="939">
          <cell r="G939">
            <v>267.94</v>
          </cell>
        </row>
        <row r="940">
          <cell r="G940">
            <v>267.44</v>
          </cell>
        </row>
        <row r="941">
          <cell r="G941">
            <v>268.20999999999998</v>
          </cell>
        </row>
        <row r="942">
          <cell r="G942">
            <v>270.72000000000003</v>
          </cell>
        </row>
        <row r="943">
          <cell r="G943">
            <v>269.19</v>
          </cell>
        </row>
        <row r="944">
          <cell r="G944">
            <v>274.32</v>
          </cell>
        </row>
        <row r="945">
          <cell r="G945">
            <v>276.37</v>
          </cell>
        </row>
        <row r="946">
          <cell r="G946">
            <v>278.54000000000002</v>
          </cell>
        </row>
        <row r="947">
          <cell r="G947">
            <v>280.49</v>
          </cell>
        </row>
        <row r="948">
          <cell r="G948">
            <v>278.62</v>
          </cell>
        </row>
        <row r="949">
          <cell r="G949">
            <v>279.37</v>
          </cell>
        </row>
        <row r="950">
          <cell r="G950">
            <v>285.61</v>
          </cell>
        </row>
        <row r="951">
          <cell r="G951">
            <v>285.33999999999997</v>
          </cell>
        </row>
        <row r="952">
          <cell r="G952">
            <v>283.95999999999998</v>
          </cell>
        </row>
        <row r="953">
          <cell r="G953">
            <v>285.37</v>
          </cell>
        </row>
        <row r="954">
          <cell r="G954">
            <v>287.35000000000002</v>
          </cell>
        </row>
        <row r="955">
          <cell r="G955">
            <v>290.48</v>
          </cell>
        </row>
        <row r="956">
          <cell r="G956">
            <v>291.56</v>
          </cell>
        </row>
        <row r="957">
          <cell r="G957">
            <v>288.48</v>
          </cell>
        </row>
        <row r="958">
          <cell r="G958">
            <v>285.24</v>
          </cell>
        </row>
        <row r="959">
          <cell r="G959">
            <v>284.77</v>
          </cell>
        </row>
        <row r="960">
          <cell r="G960">
            <v>288.63</v>
          </cell>
        </row>
        <row r="961">
          <cell r="G961">
            <v>272.77999999999997</v>
          </cell>
        </row>
        <row r="962">
          <cell r="G962">
            <v>269.63</v>
          </cell>
        </row>
        <row r="963">
          <cell r="G963">
            <v>271.69</v>
          </cell>
        </row>
        <row r="964">
          <cell r="G964">
            <v>275.17</v>
          </cell>
        </row>
        <row r="965">
          <cell r="G965">
            <v>274.95</v>
          </cell>
        </row>
        <row r="966">
          <cell r="G966">
            <v>277.60000000000002</v>
          </cell>
        </row>
        <row r="967">
          <cell r="G967">
            <v>277</v>
          </cell>
        </row>
        <row r="968">
          <cell r="G968">
            <v>276.86</v>
          </cell>
        </row>
        <row r="969">
          <cell r="G969">
            <v>277.93</v>
          </cell>
        </row>
        <row r="970">
          <cell r="G970">
            <v>273.79000000000002</v>
          </cell>
        </row>
        <row r="971">
          <cell r="G971">
            <v>274.95999999999998</v>
          </cell>
        </row>
        <row r="972">
          <cell r="G972">
            <v>276.93</v>
          </cell>
        </row>
        <row r="973">
          <cell r="G973">
            <v>277.47000000000003</v>
          </cell>
        </row>
        <row r="974">
          <cell r="G974">
            <v>277.83999999999997</v>
          </cell>
        </row>
        <row r="975">
          <cell r="G975">
            <v>280.68</v>
          </cell>
        </row>
        <row r="976">
          <cell r="G976">
            <v>279.29000000000002</v>
          </cell>
        </row>
        <row r="977">
          <cell r="G977">
            <v>287.52</v>
          </cell>
        </row>
        <row r="978">
          <cell r="G978">
            <v>290.39</v>
          </cell>
        </row>
        <row r="979">
          <cell r="G979">
            <v>290.62</v>
          </cell>
        </row>
        <row r="980">
          <cell r="G980">
            <v>286.85000000000002</v>
          </cell>
        </row>
        <row r="981">
          <cell r="G981">
            <v>284.79000000000002</v>
          </cell>
        </row>
        <row r="982">
          <cell r="G982">
            <v>283.76</v>
          </cell>
        </row>
        <row r="983">
          <cell r="G983">
            <v>283.22000000000003</v>
          </cell>
        </row>
        <row r="984">
          <cell r="G984">
            <v>281.73</v>
          </cell>
        </row>
        <row r="985">
          <cell r="G985">
            <v>284.19</v>
          </cell>
        </row>
        <row r="986">
          <cell r="G986">
            <v>281.88</v>
          </cell>
        </row>
        <row r="987">
          <cell r="G987">
            <v>290.16000000000003</v>
          </cell>
        </row>
        <row r="988">
          <cell r="G988">
            <v>289.85000000000002</v>
          </cell>
        </row>
        <row r="989">
          <cell r="G989">
            <v>290.74</v>
          </cell>
        </row>
        <row r="990">
          <cell r="G990">
            <v>291.85000000000002</v>
          </cell>
        </row>
        <row r="991">
          <cell r="G991">
            <v>293.29000000000002</v>
          </cell>
        </row>
        <row r="992">
          <cell r="G992">
            <v>307.39999999999998</v>
          </cell>
        </row>
        <row r="993">
          <cell r="G993">
            <v>305.8</v>
          </cell>
        </row>
        <row r="994">
          <cell r="G994">
            <v>307.87</v>
          </cell>
        </row>
        <row r="995">
          <cell r="G995">
            <v>310.92</v>
          </cell>
        </row>
        <row r="996">
          <cell r="G996">
            <v>309.85000000000002</v>
          </cell>
        </row>
        <row r="997">
          <cell r="G997">
            <v>309.48</v>
          </cell>
        </row>
        <row r="998">
          <cell r="G998">
            <v>308.25</v>
          </cell>
        </row>
        <row r="999">
          <cell r="G999">
            <v>309.64</v>
          </cell>
        </row>
        <row r="1000">
          <cell r="G1000">
            <v>312.16000000000003</v>
          </cell>
        </row>
        <row r="1001">
          <cell r="G1001">
            <v>311.85000000000002</v>
          </cell>
        </row>
        <row r="1002">
          <cell r="G1002">
            <v>307.39</v>
          </cell>
        </row>
        <row r="1003">
          <cell r="G1003">
            <v>309.89999999999998</v>
          </cell>
        </row>
        <row r="1004">
          <cell r="G1004">
            <v>309.92</v>
          </cell>
        </row>
        <row r="1005">
          <cell r="G1005">
            <v>313.19</v>
          </cell>
        </row>
        <row r="1006">
          <cell r="G1006">
            <v>311.82</v>
          </cell>
        </row>
        <row r="1007">
          <cell r="G1007">
            <v>314.7</v>
          </cell>
        </row>
        <row r="1008">
          <cell r="G1008">
            <v>315.08</v>
          </cell>
        </row>
        <row r="1009">
          <cell r="G1009">
            <v>316.64999999999998</v>
          </cell>
        </row>
        <row r="1010">
          <cell r="G1010">
            <v>313.01</v>
          </cell>
        </row>
        <row r="1011">
          <cell r="G1011">
            <v>309.89999999999998</v>
          </cell>
        </row>
        <row r="1012">
          <cell r="G1012">
            <v>309.08</v>
          </cell>
        </row>
        <row r="1013">
          <cell r="G1013">
            <v>311.01</v>
          </cell>
        </row>
        <row r="1014">
          <cell r="G1014">
            <v>308.3</v>
          </cell>
        </row>
        <row r="1015">
          <cell r="G1015">
            <v>312.38</v>
          </cell>
        </row>
        <row r="1016">
          <cell r="G1016">
            <v>313.79000000000002</v>
          </cell>
        </row>
        <row r="1017">
          <cell r="G1017">
            <v>314.23</v>
          </cell>
        </row>
        <row r="1018">
          <cell r="G1018">
            <v>314.74</v>
          </cell>
        </row>
        <row r="1019">
          <cell r="G1019">
            <v>315.89</v>
          </cell>
        </row>
        <row r="1020">
          <cell r="G1020">
            <v>318.3</v>
          </cell>
        </row>
        <row r="1021">
          <cell r="G1021">
            <v>309.77999999999997</v>
          </cell>
        </row>
        <row r="1022">
          <cell r="G1022">
            <v>314.88</v>
          </cell>
        </row>
        <row r="1023">
          <cell r="G1023">
            <v>317.70999999999998</v>
          </cell>
        </row>
        <row r="1024">
          <cell r="G1024">
            <v>317.22000000000003</v>
          </cell>
        </row>
        <row r="1025">
          <cell r="G1025">
            <v>320.64999999999998</v>
          </cell>
        </row>
        <row r="1026">
          <cell r="G1026">
            <v>320.91000000000003</v>
          </cell>
        </row>
        <row r="1027">
          <cell r="G1027">
            <v>318.66000000000003</v>
          </cell>
        </row>
        <row r="1028">
          <cell r="G1028">
            <v>315.31</v>
          </cell>
        </row>
        <row r="1029">
          <cell r="G1029">
            <v>316.04000000000002</v>
          </cell>
        </row>
      </sheetData>
      <sheetData sheetId="1"/>
      <sheetData sheetId="2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9">
  <a r="1" c="1027">
    <v t="i">0</v>
    <v t="i">1</v>
    <v t="i">2</v>
    <v t="i">3</v>
    <v t="i">6</v>
    <v t="i">7</v>
    <v t="i">8</v>
    <v t="i">9</v>
    <v t="i">10</v>
    <v t="i">13</v>
    <v t="i">14</v>
    <v t="i">15</v>
    <v t="i">16</v>
    <v t="i">17</v>
    <v t="i">20</v>
    <v t="i">21</v>
    <v t="i">22</v>
    <v t="i">23</v>
    <v t="i">27</v>
    <v t="i">28</v>
    <v t="i">29</v>
    <v t="i">30</v>
    <v t="i">34</v>
    <v t="i">35</v>
    <v t="i">36</v>
    <v t="i">37</v>
    <v t="i">38</v>
    <v t="i">41</v>
    <v t="i">42</v>
    <v t="i">43</v>
    <v t="i">44</v>
    <v t="i">45</v>
    <v t="i">49</v>
    <v t="i">50</v>
    <v t="i">51</v>
    <v t="i">52</v>
    <v t="i">55</v>
    <v t="i">56</v>
    <v t="i">57</v>
    <v t="i">58</v>
    <v t="i">59</v>
    <v t="i">62</v>
    <v t="i">63</v>
    <v t="i">64</v>
    <v t="i">65</v>
    <v t="i">66</v>
    <v t="i">69</v>
    <v t="i">70</v>
    <v t="i">71</v>
    <v t="i">72</v>
    <v t="i">73</v>
    <v t="i">77</v>
    <v t="i">78</v>
    <v t="i">79</v>
    <v t="i">80</v>
    <v t="i">83</v>
    <v t="i">84</v>
    <v t="i">85</v>
    <v t="i">86</v>
    <v t="i">87</v>
    <v t="i">90</v>
    <v t="i">91</v>
    <v t="i">92</v>
    <v t="i">93</v>
    <v t="i">94</v>
    <v t="i">97</v>
    <v t="i">98</v>
    <v t="i">99</v>
    <v t="i">100</v>
    <v t="i">101</v>
    <v t="i">104</v>
    <v t="i">105</v>
    <v t="i">106</v>
    <v t="i">107</v>
    <v t="i">108</v>
    <v t="i">111</v>
    <v t="i">112</v>
    <v t="i">113</v>
    <v t="i">114</v>
    <v t="i">115</v>
    <v t="i">118</v>
    <v t="i">119</v>
    <v t="i">120</v>
    <v t="i">121</v>
    <v t="i">125</v>
    <v t="i">126</v>
    <v t="i">127</v>
    <v t="i">128</v>
    <v t="i">129</v>
    <v t="i">132</v>
    <v t="i">133</v>
    <v t="i">134</v>
    <v t="i">135</v>
    <v t="i">136</v>
    <v t="i">139</v>
    <v t="i">140</v>
    <v t="i">141</v>
    <v t="i">142</v>
    <v t="i">143</v>
    <v t="i">146</v>
    <v t="i">147</v>
    <v t="i">148</v>
    <v t="i">149</v>
    <v t="i">150</v>
    <v t="i">153</v>
    <v t="i">154</v>
    <v t="i">155</v>
    <v t="i">156</v>
    <v t="i">157</v>
    <v t="i">160</v>
    <v t="i">161</v>
    <v t="i">162</v>
    <v t="i">163</v>
    <v t="i">164</v>
    <v t="i">167</v>
    <v t="i">168</v>
    <v t="i">169</v>
    <v t="i">170</v>
    <v t="i">171</v>
    <v t="i">174</v>
    <v t="i">175</v>
    <v t="i">176</v>
    <v t="i">177</v>
    <v t="i">178</v>
    <v t="i">182</v>
    <v t="i">183</v>
    <v t="i">184</v>
    <v t="i">185</v>
    <v t="i">188</v>
    <v t="i">189</v>
    <v t="i">190</v>
    <v t="i">191</v>
    <v t="i">192</v>
    <v t="i">195</v>
    <v t="i">196</v>
    <v t="i">197</v>
    <v t="i">198</v>
    <v t="i">199</v>
    <v t="i">202</v>
    <v t="i">203</v>
    <v t="i">204</v>
    <v t="i">205</v>
    <v t="i">206</v>
    <v t="i">209</v>
    <v t="i">210</v>
    <v t="i">211</v>
    <v t="i">212</v>
    <v t="i">213</v>
    <v t="i">217</v>
    <v t="i">218</v>
    <v t="i">219</v>
    <v t="i">220</v>
    <v t="i">223</v>
    <v t="i">224</v>
    <v t="i">225</v>
    <v t="i">226</v>
    <v t="i">227</v>
    <v t="i">230</v>
    <v t="i">231</v>
    <v t="i">232</v>
    <v t="i">233</v>
    <v t="i">234</v>
    <v t="i">237</v>
    <v t="i">238</v>
    <v t="i">239</v>
    <v t="i">240</v>
    <v t="i">241</v>
    <v t="i">244</v>
    <v t="i">245</v>
    <v t="i">246</v>
    <v t="i">247</v>
    <v t="i">248</v>
    <v t="i">251</v>
    <v t="i">252</v>
    <v t="i">253</v>
    <v t="i">254</v>
    <v t="i">255</v>
    <v t="i">258</v>
    <v t="i">259</v>
    <v t="i">260</v>
    <v t="i">261</v>
    <v t="i">262</v>
    <v t="i">265</v>
    <v t="i">266</v>
    <v t="i">267</v>
    <v t="i">268</v>
    <v t="i">269</v>
    <v t="i">272</v>
    <v t="i">273</v>
    <v t="i">274</v>
    <v t="i">275</v>
    <v t="i">276</v>
    <v t="i">280</v>
    <v t="i">281</v>
    <v t="i">282</v>
    <v t="i">283</v>
    <v t="i">286</v>
    <v t="i">287</v>
    <v t="i">288</v>
    <v t="i">289</v>
    <v t="i">290</v>
    <v t="i">293</v>
    <v t="i">294</v>
    <v t="i">295</v>
    <v t="i">296</v>
    <v t="i">297</v>
    <v t="i">300</v>
    <v t="i">301</v>
    <v t="i">302</v>
    <v t="i">303</v>
    <v t="i">304</v>
    <v t="i">307</v>
    <v t="i">308</v>
    <v t="i">309</v>
    <v t="i">310</v>
    <v t="i">311</v>
    <v t="i">314</v>
    <v t="i">315</v>
    <v t="i">316</v>
    <v t="i">317</v>
    <v t="i">318</v>
    <v t="i">321</v>
    <v t="i">322</v>
    <v t="i">323</v>
    <v t="i">324</v>
    <v t="i">325</v>
    <v t="i">328</v>
    <v t="i">329</v>
    <v t="i">330</v>
    <v t="i">331</v>
    <v t="i">332</v>
    <v t="i">335</v>
    <v t="i">336</v>
    <v t="i">337</v>
    <v t="i">338</v>
    <v t="i">339</v>
    <v t="i">342</v>
    <v t="i">343</v>
    <v t="i">344</v>
    <v t="i">345</v>
    <v t="i">346</v>
    <v t="i">349</v>
    <v t="i">350</v>
    <v t="i">351</v>
    <v t="i">352</v>
    <v t="i">353</v>
    <v t="i">356</v>
    <v t="i">357</v>
    <v t="i">358</v>
    <v t="i">360</v>
    <v t="i">363</v>
    <v t="i">364</v>
    <v t="i">365</v>
    <v t="i">366</v>
    <v t="i">367</v>
    <v t="i">370</v>
    <v t="i">371</v>
    <v t="i">372</v>
    <v t="i">373</v>
    <v t="i">374</v>
    <v t="i">377</v>
    <v t="i">378</v>
    <v t="i">379</v>
    <v t="i">380</v>
    <v t="i">381</v>
    <v t="i">384</v>
    <v t="i">385</v>
    <v t="i">386</v>
    <v t="i">387</v>
    <v t="i">391</v>
    <v t="i">392</v>
    <v t="i">393</v>
    <v t="i">394</v>
    <v t="i">395</v>
    <v t="i">398</v>
    <v t="i">399</v>
    <v t="i">400</v>
    <v t="i">401</v>
    <v t="i">402</v>
    <v t="i">405</v>
    <v t="i">406</v>
    <v t="i">407</v>
    <v t="i">408</v>
    <v t="i">409</v>
    <v t="i">413</v>
    <v t="i">414</v>
    <v t="i">415</v>
    <v t="i">416</v>
    <v t="i">419</v>
    <v t="i">420</v>
    <v t="i">421</v>
    <v t="i">422</v>
    <v t="i">423</v>
    <v t="i">426</v>
    <v t="i">427</v>
    <v t="i">428</v>
    <v t="i">429</v>
    <v t="i">430</v>
    <v t="i">433</v>
    <v t="i">434</v>
    <v t="i">435</v>
    <v t="i">436</v>
    <v t="i">437</v>
    <v t="i">440</v>
    <v t="i">441</v>
    <v t="i">442</v>
    <v t="i">443</v>
    <v t="i">444</v>
    <v t="i">448</v>
    <v t="i">449</v>
    <v t="i">450</v>
    <v t="i">451</v>
    <v t="i">454</v>
    <v t="i">455</v>
    <v t="i">456</v>
    <v t="i">457</v>
    <v t="i">458</v>
    <v t="i">461</v>
    <v t="i">462</v>
    <v t="i">463</v>
    <v t="i">464</v>
    <v t="i">465</v>
    <v t="i">468</v>
    <v t="i">469</v>
    <v t="i">470</v>
    <v t="i">471</v>
    <v t="i">472</v>
    <v t="i">475</v>
    <v t="i">476</v>
    <v t="i">477</v>
    <v t="i">478</v>
    <v t="i">479</v>
    <v t="i">482</v>
    <v t="i">483</v>
    <v t="i">484</v>
    <v t="i">485</v>
    <v t="i">486</v>
    <v t="i">489</v>
    <v t="i">490</v>
    <v t="i">491</v>
    <v t="i">492</v>
    <v t="i">493</v>
    <v t="i">496</v>
    <v t="i">497</v>
    <v t="i">498</v>
    <v t="i">499</v>
    <v t="i">503</v>
    <v t="i">504</v>
    <v t="i">505</v>
    <v t="i">506</v>
    <v t="i">507</v>
    <v t="i">510</v>
    <v t="i">511</v>
    <v t="i">512</v>
    <v t="i">513</v>
    <v t="i">514</v>
    <v t="i">517</v>
    <v t="i">518</v>
    <v t="i">519</v>
    <v t="i">520</v>
    <v t="i">521</v>
    <v t="i">524</v>
    <v t="i">525</v>
    <v t="i">526</v>
    <v t="i">527</v>
    <v t="i">528</v>
    <v t="i">531</v>
    <v t="i">532</v>
    <v t="i">533</v>
    <v t="i">534</v>
    <v t="i">535</v>
    <v t="i">538</v>
    <v t="i">539</v>
    <v t="i">540</v>
    <v t="i">541</v>
    <v t="i">542</v>
    <v t="i">546</v>
    <v t="i">547</v>
    <v t="i">548</v>
    <v t="i">549</v>
    <v t="i">552</v>
    <v t="i">553</v>
    <v t="i">554</v>
    <v t="i">555</v>
    <v t="i">556</v>
    <v t="i">559</v>
    <v t="i">560</v>
    <v t="i">561</v>
    <v t="i">562</v>
    <v t="i">563</v>
    <v t="i">567</v>
    <v t="i">568</v>
    <v t="i">569</v>
    <v t="i">570</v>
    <v t="i">573</v>
    <v t="i">574</v>
    <v t="i">575</v>
    <v t="i">576</v>
    <v t="i">577</v>
    <v t="i">581</v>
    <v t="i">582</v>
    <v t="i">583</v>
    <v t="i">584</v>
    <v t="i">587</v>
    <v t="i">588</v>
    <v t="i">589</v>
    <v t="i">590</v>
    <v t="i">591</v>
    <v t="i">594</v>
    <v t="i">595</v>
    <v t="i">596</v>
    <v t="i">597</v>
    <v t="i">598</v>
    <v t="i">601</v>
    <v t="i">602</v>
    <v t="i">603</v>
    <v t="i">604</v>
    <v t="i">605</v>
    <v t="i">608</v>
    <v t="i">609</v>
    <v t="i">610</v>
    <v t="i">611</v>
    <v t="i">612</v>
    <v t="i">615</v>
    <v t="i">616</v>
    <v t="i">617</v>
    <v t="i">618</v>
    <v t="i">619</v>
    <v t="i">622</v>
    <v t="i">623</v>
    <v t="i">624</v>
    <v t="i">625</v>
    <v t="i">626</v>
    <v t="i">629</v>
    <v t="i">630</v>
    <v t="i">631</v>
    <v t="i">632</v>
    <v t="i">633</v>
    <v t="i">636</v>
    <v t="i">637</v>
    <v t="i">638</v>
    <v t="i">639</v>
    <v t="i">640</v>
    <v t="i">644</v>
    <v t="i">645</v>
    <v t="i">646</v>
    <v t="i">647</v>
    <v t="i">650</v>
    <v t="i">651</v>
    <v t="i">652</v>
    <v t="i">653</v>
    <v t="i">654</v>
    <v t="i">657</v>
    <v t="i">658</v>
    <v t="i">659</v>
    <v t="i">660</v>
    <v t="i">661</v>
    <v t="i">664</v>
    <v t="i">665</v>
    <v t="i">666</v>
    <v t="i">667</v>
    <v t="i">668</v>
    <v t="i">671</v>
    <v t="i">672</v>
    <v t="i">673</v>
    <v t="i">674</v>
    <v t="i">675</v>
    <v t="i">678</v>
    <v t="i">679</v>
    <v t="i">680</v>
    <v t="i">681</v>
    <v t="i">682</v>
    <v t="i">685</v>
    <v t="i">686</v>
    <v t="i">687</v>
    <v t="i">688</v>
    <v t="i">689</v>
    <v t="i">692</v>
    <v t="i">693</v>
    <v t="i">694</v>
    <v t="i">695</v>
    <v t="i">696</v>
    <v t="i">699</v>
    <v t="i">700</v>
    <v t="i">701</v>
    <v t="i">702</v>
    <v t="i">703</v>
    <v t="i">706</v>
    <v t="i">707</v>
    <v t="i">708</v>
    <v t="i">709</v>
    <v t="i">710</v>
    <v t="i">713</v>
    <v t="i">714</v>
    <v t="i">715</v>
    <v t="i">716</v>
    <v t="i">717</v>
    <v t="i">720</v>
    <v t="i">721</v>
    <v t="i">722</v>
    <v t="i">724</v>
    <v t="i">727</v>
    <v t="i">728</v>
    <v t="i">729</v>
    <v t="i">730</v>
    <v t="i">731</v>
    <v t="i">734</v>
    <v t="i">735</v>
    <v t="i">736</v>
    <v t="i">737</v>
    <v t="i">738</v>
    <v t="i">741</v>
    <v t="i">742</v>
    <v t="i">743</v>
    <v t="i">744</v>
    <v t="i">745</v>
    <v t="i">748</v>
    <v t="i">749</v>
    <v t="i">750</v>
    <v t="i">751</v>
    <v t="i">752</v>
    <v t="i">756</v>
    <v t="i">757</v>
    <v t="i">758</v>
    <v t="i">759</v>
    <v t="i">763</v>
    <v t="i">764</v>
    <v t="i">765</v>
    <v t="i">766</v>
    <v t="i">769</v>
    <v t="i">770</v>
    <v t="i">771</v>
    <v t="i">772</v>
    <v t="i">773</v>
    <v t="i">777</v>
    <v t="i">778</v>
    <v t="i">779</v>
    <v t="i">780</v>
    <v t="i">783</v>
    <v t="i">784</v>
    <v t="i">785</v>
    <v t="i">786</v>
    <v t="i">787</v>
    <v t="i">790</v>
    <v t="i">791</v>
    <v t="i">792</v>
    <v t="i">793</v>
    <v t="i">794</v>
    <v t="i">797</v>
    <v t="i">798</v>
    <v t="i">799</v>
    <v t="i">800</v>
    <v t="i">801</v>
    <v t="i">804</v>
    <v t="i">805</v>
    <v t="i">806</v>
    <v t="i">807</v>
    <v t="i">808</v>
    <v t="i">812</v>
    <v t="i">813</v>
    <v t="i">814</v>
    <v t="i">815</v>
    <v t="i">818</v>
    <v t="i">819</v>
    <v t="i">820</v>
    <v t="i">821</v>
    <v t="i">822</v>
    <v t="i">825</v>
    <v t="i">826</v>
    <v t="i">827</v>
    <v t="i">828</v>
    <v t="i">829</v>
    <v t="i">832</v>
    <v t="i">833</v>
    <v t="i">834</v>
    <v t="i">835</v>
    <v t="i">836</v>
    <v t="i">839</v>
    <v t="i">840</v>
    <v t="i">841</v>
    <v t="i">842</v>
    <v t="i">843</v>
    <v t="i">846</v>
    <v t="i">847</v>
    <v t="i">848</v>
    <v t="i">849</v>
    <v t="i">850</v>
    <v t="i">853</v>
    <v t="i">854</v>
    <v t="i">855</v>
    <v t="i">856</v>
    <v t="i">860</v>
    <v t="i">861</v>
    <v t="i">862</v>
    <v t="i">863</v>
    <v t="i">864</v>
    <v t="i">867</v>
    <v t="i">868</v>
    <v t="i">869</v>
    <v t="i">870</v>
    <v t="i">871</v>
    <v t="i">874</v>
    <v t="i">875</v>
    <v t="i">876</v>
    <v t="i">877</v>
    <v t="i">878</v>
    <v t="i">881</v>
    <v t="i">882</v>
    <v t="i">883</v>
    <v t="i">884</v>
    <v t="i">885</v>
    <v t="i">888</v>
    <v t="i">889</v>
    <v t="i">890</v>
    <v t="i">891</v>
    <v t="i">892</v>
    <v t="i">895</v>
    <v t="i">896</v>
    <v t="i">897</v>
    <v t="i">898</v>
    <v t="i">899</v>
    <v t="i">902</v>
    <v t="i">903</v>
    <v t="i">904</v>
    <v t="i">905</v>
    <v t="i">906</v>
    <v t="i">910</v>
    <v t="i">911</v>
    <v t="i">912</v>
    <v t="i">913</v>
    <v t="i">916</v>
    <v t="i">917</v>
    <v t="i">918</v>
    <v t="i">919</v>
    <v t="i">920</v>
    <v t="i">923</v>
    <v t="i">924</v>
    <v t="i">925</v>
    <v t="i">926</v>
    <v t="i">927</v>
    <v t="i">931</v>
    <v t="i">932</v>
    <v t="i">933</v>
    <v t="i">934</v>
    <v t="i">937</v>
    <v t="i">938</v>
    <v t="i">939</v>
    <v t="i">940</v>
    <v t="i">941</v>
    <v t="i">944</v>
    <v t="i">946</v>
    <v t="i">947</v>
    <v t="i">948</v>
    <v t="i">951</v>
    <v t="i">952</v>
    <v t="i">953</v>
    <v t="i">954</v>
    <v t="i">955</v>
    <v t="i">958</v>
    <v t="i">959</v>
    <v t="i">960</v>
    <v t="i">961</v>
    <v t="i">962</v>
    <v t="i">965</v>
    <v t="i">966</v>
    <v t="i">967</v>
    <v t="i">968</v>
    <v t="i">969</v>
    <v t="i">972</v>
    <v t="i">973</v>
    <v t="i">974</v>
    <v t="i">975</v>
    <v t="i">976</v>
    <v t="i">979</v>
    <v t="i">980</v>
    <v t="i">981</v>
    <v t="i">982</v>
    <v t="i">983</v>
    <v t="i">986</v>
    <v t="i">987</v>
    <v t="i">988</v>
    <v t="i">989</v>
    <v t="i">990</v>
    <v t="i">993</v>
    <v t="i">994</v>
    <v t="i">995</v>
    <v t="i">996</v>
    <v t="i">997</v>
    <v t="i">1000</v>
    <v t="i">1001</v>
    <v t="i">1002</v>
    <v t="i">1003</v>
    <v t="i">1004</v>
    <v t="i">1008</v>
    <v t="i">1009</v>
    <v t="i">1010</v>
    <v t="i">1011</v>
    <v t="i">1014</v>
    <v t="i">1015</v>
    <v t="i">1016</v>
    <v t="i">1017</v>
    <v t="i">1018</v>
    <v t="i">1021</v>
    <v t="i">1022</v>
    <v t="i">1023</v>
    <v t="i">1024</v>
    <v t="i">1025</v>
    <v t="i">1028</v>
    <v t="i">1029</v>
    <v t="i">1030</v>
    <v t="i">1031</v>
    <v t="i">1032</v>
    <v t="i">1035</v>
    <v t="i">1036</v>
    <v t="i">1037</v>
    <v t="i">1038</v>
    <v t="i">1039</v>
    <v t="i">1042</v>
    <v t="i">1043</v>
    <v t="i">1044</v>
    <v t="i">1045</v>
    <v t="i">1046</v>
    <v t="i">1049</v>
    <v t="i">1050</v>
    <v t="i">1051</v>
    <v t="i">1052</v>
    <v t="i">1053</v>
    <v t="i">1056</v>
    <v t="i">1057</v>
    <v t="i">1058</v>
    <v t="i">1059</v>
    <v t="i">1060</v>
    <v t="i">1063</v>
    <v t="i">1064</v>
    <v t="i">1065</v>
    <v t="i">1066</v>
    <v t="i">1067</v>
    <v t="i">1070</v>
    <v t="i">1071</v>
    <v t="i">1072</v>
    <v t="i">1073</v>
    <v t="i">1074</v>
    <v t="i">1077</v>
    <v t="i">1078</v>
    <v t="i">1079</v>
    <v t="i">1080</v>
    <v t="i">1081</v>
    <v t="i">1084</v>
    <v t="i">1085</v>
    <v t="i">1086</v>
    <v t="i">1088</v>
    <v t="i">1091</v>
    <v t="i">1092</v>
    <v t="i">1093</v>
    <v t="i">1094</v>
    <v t="i">1095</v>
    <v t="i">1098</v>
    <v t="i">1099</v>
    <v t="i">1100</v>
    <v t="i">1101</v>
    <v t="i">1102</v>
    <v t="i">1105</v>
    <v t="i">1106</v>
    <v t="i">1107</v>
    <v t="i">1108</v>
    <v t="i">1109</v>
    <v t="i">1112</v>
    <v t="i">1113</v>
    <v t="i">1114</v>
    <v t="i">1115</v>
    <v t="i">1116</v>
    <v t="i">1120</v>
    <v t="i">1121</v>
    <v t="i">1122</v>
    <v t="i">1123</v>
    <v t="i">1127</v>
    <v t="i">1128</v>
    <v t="i">1129</v>
    <v t="i">1130</v>
    <v t="i">1133</v>
    <v t="i">1134</v>
    <v t="i">1135</v>
    <v t="i">1136</v>
    <v t="i">1137</v>
    <v t="i">1141</v>
    <v t="i">1142</v>
    <v t="i">1143</v>
    <v t="i">1144</v>
    <v t="i">1147</v>
    <v t="i">1148</v>
    <v t="i">1149</v>
    <v t="i">1150</v>
    <v t="i">1151</v>
    <v t="i">1154</v>
    <v t="i">1155</v>
    <v t="i">1156</v>
    <v t="i">1157</v>
    <v t="i">1158</v>
    <v t="i">1161</v>
    <v t="i">1162</v>
    <v t="i">1163</v>
    <v t="i">1164</v>
    <v t="i">1165</v>
    <v t="i">1168</v>
    <v t="i">1169</v>
    <v t="i">1170</v>
    <v t="i">1171</v>
    <v t="i">1172</v>
    <v t="i">1176</v>
    <v t="i">1177</v>
    <v t="i">1178</v>
    <v t="i">1179</v>
    <v t="i">1182</v>
    <v t="i">1183</v>
    <v t="i">1184</v>
    <v t="i">1185</v>
    <v t="i">1186</v>
    <v t="i">1189</v>
    <v t="i">1190</v>
    <v t="i">1191</v>
    <v t="i">1192</v>
    <v t="i">1193</v>
    <v t="i">1196</v>
    <v t="i">1197</v>
    <v t="i">1198</v>
    <v t="i">1199</v>
    <v t="i">1200</v>
    <v t="i">1203</v>
    <v t="i">1204</v>
    <v t="i">1205</v>
    <v t="i">1206</v>
    <v t="i">1207</v>
    <v t="i">1210</v>
    <v t="i">1211</v>
    <v t="i">1212</v>
    <v t="i">1213</v>
    <v t="i">1217</v>
    <v t="i">1218</v>
    <v t="i">1219</v>
    <v t="i">1220</v>
    <v t="i">1221</v>
    <v t="i">1224</v>
    <v t="i">1225</v>
    <v t="i">1226</v>
    <v t="i">1227</v>
    <v t="i">1228</v>
    <v t="i">1231</v>
    <v t="i">1232</v>
    <v t="i">1233</v>
    <v t="i">1234</v>
    <v t="i">1235</v>
    <v t="i">1238</v>
    <v t="i">1239</v>
    <v t="i">1240</v>
    <v t="i">1241</v>
    <v t="i">1242</v>
    <v t="i">1245</v>
    <v t="i">1246</v>
    <v t="i">1247</v>
    <v t="i">1248</v>
    <v t="i">1249</v>
    <v t="i">1252</v>
    <v t="i">1253</v>
    <v t="i">1254</v>
    <v t="i">1255</v>
    <v t="i">1256</v>
    <v t="i">1259</v>
    <v t="i">1260</v>
    <v t="i">1261</v>
    <v t="i">1262</v>
    <v t="i">1263</v>
    <v t="i">1266</v>
    <v t="i">1267</v>
    <v t="i">1268</v>
    <v t="i">1269</v>
    <v t="i">1270</v>
    <v t="i">1274</v>
    <v t="i">1275</v>
    <v t="i">1276</v>
    <v t="i">1277</v>
    <v t="i">1280</v>
    <v t="i">1281</v>
    <v t="i">1282</v>
    <v t="i">1283</v>
    <v t="i">1284</v>
    <v t="i">1287</v>
    <v t="i">1288</v>
    <v t="i">1289</v>
    <v t="i">1290</v>
    <v t="i">1291</v>
    <v t="i">1294</v>
    <v t="i">1295</v>
    <v t="i">1297</v>
    <v t="i">1298</v>
    <v t="i">1301</v>
    <v t="i">1302</v>
    <v t="i">1303</v>
    <v t="i">1304</v>
    <v t="i">1305</v>
    <v t="i">1308</v>
    <v t="i">1309</v>
    <v t="i">1310</v>
    <v t="i">1312</v>
    <v t="i">1315</v>
    <v t="i">1316</v>
    <v t="i">1317</v>
    <v t="i">1318</v>
    <v t="i">1319</v>
    <v t="i">1322</v>
    <v t="i">1323</v>
    <v t="i">1324</v>
    <v t="i">1325</v>
    <v t="i">1326</v>
    <v t="i">1329</v>
    <v t="i">1330</v>
    <v t="i">1331</v>
    <v t="i">1332</v>
    <v t="i">1333</v>
    <v t="i">1336</v>
    <v t="i">1337</v>
    <v t="i">1338</v>
    <v t="i">1339</v>
    <v t="i">1340</v>
    <v t="i">1343</v>
    <v t="i">1344</v>
    <v t="i">1345</v>
    <v t="i">1346</v>
    <v t="i">1347</v>
    <v t="i">1350</v>
    <v t="i">1351</v>
    <v t="i">1352</v>
    <v t="i">1353</v>
    <v t="i">1354</v>
    <v t="i">1357</v>
    <v t="i">1358</v>
    <v t="i">1359</v>
    <v t="i">1360</v>
    <v t="i">1361</v>
    <v t="i">1364</v>
    <v t="i">1365</v>
    <v t="i">1366</v>
    <v t="i">1367</v>
    <v t="i">1368</v>
    <v t="i">1372</v>
    <v t="i">1373</v>
    <v t="i">1374</v>
    <v t="i">1375</v>
    <v t="i">1378</v>
    <v t="i">1379</v>
    <v t="i">1380</v>
    <v t="i">1381</v>
    <v t="i">1382</v>
    <v t="i">1385</v>
    <v t="i">1386</v>
    <v t="i">1387</v>
    <v t="i">1388</v>
    <v t="i">1389</v>
    <v t="i">1392</v>
    <v t="i">1393</v>
    <v t="i">1394</v>
    <v t="i">1395</v>
    <v t="i">1396</v>
    <v t="i">1399</v>
    <v t="i">1400</v>
    <v t="i">1401</v>
    <v t="i">1402</v>
    <v t="i">1403</v>
    <v t="i">1406</v>
    <v t="i">1407</v>
    <v t="i">1408</v>
    <v t="i">1409</v>
    <v t="i">1410</v>
    <v t="i">1413</v>
    <v t="i">1414</v>
    <v t="i">1415</v>
    <v t="i">1416</v>
    <v t="i">1417</v>
    <v t="i">1420</v>
    <v t="i">1421</v>
    <v t="i">1422</v>
    <v t="i">1423</v>
    <v t="i">1424</v>
    <v t="i">1427</v>
    <v t="i">1428</v>
    <v t="i">1429</v>
    <v t="i">1430</v>
    <v t="i">1431</v>
    <v t="i">1434</v>
    <v t="i">1435</v>
    <v t="i">1436</v>
    <v t="i">1437</v>
    <v t="i">1438</v>
    <v t="i">1441</v>
    <v t="i">1442</v>
    <v t="i">1443</v>
    <v t="i">1444</v>
    <v t="i">1445</v>
    <v t="i">1448</v>
    <v t="i">1449</v>
    <v t="i">1450</v>
    <v t="i">1451</v>
    <v t="i">1452</v>
    <v t="i">1455</v>
    <v t="i">1456</v>
    <v t="i">1457</v>
    <v t="i">1459</v>
    <v t="i">1462</v>
    <v t="i">1463</v>
    <v t="i">1464</v>
    <v t="i">1465</v>
    <v t="i">1466</v>
    <v t="i">1469</v>
    <v t="i">1470</v>
    <v t="i">1471</v>
    <v t="i">1472</v>
    <v t="i">1473</v>
    <v t="i">1476</v>
    <v t="i">1477</v>
    <v t="i">1478</v>
    <v t="i">1479</v>
    <v t="i">1480</v>
    <v t="i">1483</v>
    <v t="i">1484</v>
    <v t="i">1486</v>
    <v t="i">1487</v>
    <v t="i">1490</v>
    <v t="i">1491</v>
  </a>
  <a r="1" c="1027">
    <v>211.2</v>
    <v>210.18</v>
    <v>208.05</v>
    <v>212.68</v>
    <v>212.65</v>
    <v>212.77</v>
    <v>209.58</v>
    <v>207.61</v>
    <v>206.24</v>
    <v>207.25</v>
    <v>208.36</v>
    <v>208.27</v>
    <v>211.18</v>
    <v>211.31</v>
    <v>209.01</v>
    <v>205.84</v>
    <v>205.3</v>
    <v>208.7</v>
    <v>212.63</v>
    <v>214.37</v>
    <v>218.36</v>
    <v>218.73</v>
    <v>217.76</v>
    <v>214.51</v>
    <v>212.62</v>
    <v>213.81</v>
    <v>215.45</v>
    <v>212.89</v>
    <v>208.86</v>
    <v>209.35</v>
    <v>201.86</v>
    <v>201.59</v>
    <v>201.66</v>
    <v>206.01</v>
    <v>205.14</v>
    <v>202.02</v>
    <v>200.98</v>
    <v>202.01</v>
    <v>194.97</v>
    <v>198.22</v>
    <v>193.25</v>
    <v>198.36</v>
    <v>202.61</v>
    <v>201.36</v>
    <v>209.25</v>
    <v>208.77</v>
    <v>206.89</v>
    <v>206.52</v>
    <v>206.44</v>
    <v>210.66</v>
    <v>209.96</v>
    <v>207.9</v>
    <v>207.51</v>
    <v>209.35</v>
    <v>204.73</v>
    <v>208.32</v>
    <v>212.11</v>
    <v>219.43</v>
    <v>213.75</v>
    <v>212.39</v>
    <v>216.63</v>
    <v>215.77</v>
    <v>214.85</v>
    <v>211.5</v>
    <v>215.41</v>
    <v>220.27</v>
    <v>220.36</v>
    <v>223.17</v>
    <v>226.15</v>
    <v>224.36</v>
    <v>223.27</v>
    <v>224.7</v>
    <v>223.02</v>
    <v>220.66</v>
    <v>206.9</v>
    <v>208</v>
    <v>208.15</v>
    <v>208.07</v>
    <v>207.97</v>
    <v>213.53</v>
    <v>214.51</v>
    <v>211.9</v>
    <v>211.73</v>
    <v>216.86</v>
    <v>219.04</v>
    <v>218.65</v>
    <v>219.27</v>
    <v>220.7</v>
    <v>222.52</v>
    <v>221.47</v>
    <v>221.02</v>
    <v>221.98</v>
    <v>226.28</v>
    <v>226.41</v>
    <v>225.79</v>
    <v>223.28</v>
    <v>227.45</v>
    <v>227.57</v>
    <v>230</v>
    <v>230.34</v>
    <v>229.91</v>
    <v>233.45</v>
    <v>236.86</v>
    <v>233.56</v>
    <v>232.61</v>
    <v>232.03</v>
    <v>229.21</v>
    <v>231.32</v>
    <v>232.12</v>
    <v>225.97</v>
    <v>225.48</v>
    <v>220.63</v>
    <v>223.74</v>
    <v>226.94</v>
    <v>226.44</v>
    <v>225.57</v>
    <v>224.59</v>
    <v>226.44</v>
    <v>226.77</v>
    <v>229.32</v>
    <v>229.02</v>
    <v>227.07</v>
    <v>226.86</v>
    <v>227.3</v>
    <v>226.63</v>
    <v>229.66</v>
    <v>228.11</v>
    <v>230.14</v>
    <v>231.32</v>
    <v>232.05</v>
    <v>232.31</v>
    <v>233.95</v>
    <v>234.96</v>
    <v>234.08</v>
    <v>232.98</v>
    <v>229.6</v>
    <v>232.15</v>
    <v>230.41</v>
    <v>234.32</v>
    <v>235.93</v>
    <v>234.68</v>
    <v>236.24</v>
    <v>237.32</v>
    <v>234.09</v>
    <v>235.95</v>
    <v>233.82</v>
    <v>235.15</v>
    <v>238.63</v>
    <v>239.6</v>
    <v>240</v>
    <v>236.61</v>
    <v>238.47</v>
    <v>237.87</v>
    <v>242.35</v>
    <v>245.99</v>
    <v>248.55</v>
    <v>248.12</v>
    <v>240.41</v>
    <v>242.7</v>
    <v>243.66</v>
    <v>244.14</v>
    <v>249.02</v>
    <v>250.25</v>
    <v>250.93</v>
    <v>246.94</v>
    <v>247.92</v>
    <v>246.39</v>
    <v>239.78</v>
    <v>237.09</v>
    <v>236.67</v>
    <v>240.21</v>
    <v>241.4</v>
    <v>240</v>
    <v>238.07</v>
    <v>235.06</v>
    <v>231.79</v>
    <v>232.65</v>
    <v>235.36</v>
    <v>234.53</v>
    <v>231.63</v>
    <v>231.57</v>
    <v>231.36</v>
    <v>234.14</v>
    <v>234.24</v>
    <v>232.59</v>
    <v>230.52</v>
    <v>232.69</v>
    <v>231.23</v>
    <v>229.1</v>
    <v>230.12</v>
    <v>224.18</v>
    <v>225.11</v>
    <v>226.27</v>
    <v>229.09</v>
    <v>227.49</v>
    <v>224.91</v>
    <v>224.63</v>
    <v>223.03</v>
    <v>223.81</v>
    <v>224.33</v>
    <v>221.75</v>
    <v>220.05</v>
    <v>220.17</v>
    <v>222.75</v>
    <v>228.31</v>
    <v>231.59</v>
    <v>229.6</v>
    <v>225.56</v>
    <v>226.68</v>
    <v>222.75</v>
    <v>230.46</v>
    <v>224.73</v>
    <v>224.28</v>
    <v>226.51</v>
    <v>230.55</v>
    <v>230.27</v>
    <v>225.11</v>
    <v>224.05</v>
    <v>222.46</v>
    <v>225.18</v>
    <v>230.99</v>
    <v>230.65</v>
    <v>233.52</v>
    <v>231.42</v>
    <v>230.24</v>
    <v>231.23</v>
    <v>233.88</v>
    <v>231.82</v>
    <v>215.78</v>
    <v>209.84</v>
    <v>211.77</v>
    <v>212.46</v>
    <v>209.14</v>
    <v>208.1</v>
    <v>208.78</v>
    <v>216.67</v>
    <v>220.49</v>
    <v>213.39</v>
    <v>215.56</v>
    <v>210.42</v>
    <v>212.09</v>
    <v>212.3</v>
    <v>215.18</v>
    <v>205.06</v>
    <v>203.33</v>
    <v>200.86</v>
    <v>195.58</v>
    <v>198.49</v>
    <v>203.25</v>
    <v>197.65</v>
    <v>196.29</v>
    <v>193.77</v>
    <v>190.16</v>
    <v>198.29</v>
    <v>196.32</v>
    <v>202.68</v>
    <v>207.37</v>
    <v>208.99</v>
    <v>211.39</v>
    <v>213.4</v>
    <v>211.02</v>
    <v>209.98</v>
    <v>212.31</v>
    <v>214.37</v>
    <v>211.88</v>
    <v>208.74</v>
    <v>215.38</v>
    <v>217.96</v>
    <v>216.62</v>
    <v>217.63</v>
    <v>218.05</v>
    <v>218.17</v>
    <v>217.87</v>
    <v>216.71</v>
    <v>221.43</v>
    <v>222.46</v>
    <v>220</v>
    <v>219.75</v>
    <v>216.96</v>
    <v>211.97</v>
    <v>214.38</v>
    <v>215.71</v>
    <v>215</v>
    <v>214.67</v>
    <v>215.71</v>
    <v>214.68</v>
    <v>214.35</v>
    <v>205.93</v>
    <v>201.85</v>
    <v>202</v>
    <v>205.87</v>
    <v>206.15</v>
    <v>228</v>
    <v>226.17</v>
    <v>232.36</v>
    <v>235.42</v>
    <v>231.54</v>
    <v>228.39</v>
    <v>227.16</v>
    <v>227.94</v>
    <v>230.87</v>
    <v>225.59</v>
    <v>224.69</v>
    <v>225.34</v>
    <v>227.82</v>
    <v>228.82</v>
    <v>224.61</v>
    <v>222.69</v>
    <v>221.32</v>
    <v>215.95</v>
    <v>217.3</v>
    <v>219.27</v>
    <v>216.12</v>
    <v>208.97</v>
    <v>208.48</v>
    <v>207.23</v>
    <v>200.29</v>
    <v>190.7</v>
    <v>191.71</v>
    <v>199.76</v>
    <v>197.97</v>
    <v>196.71</v>
    <v>200.33</v>
    <v>206.14</v>
    <v>211.87</v>
    <v>213.45</v>
    <v>219.11</v>
    <v>217.04</v>
    <v>218.47</v>
    <v>214.68</v>
    <v>217.31</v>
    <v>218.43</v>
    <v>220.77</v>
    <v>228.12</v>
    <v>223.95</v>
    <v>221.77</v>
    <v>226.36</v>
    <v>227.74</v>
    <v>226.09</v>
    <v>219.01</v>
    <v>216.15</v>
    <v>216.98</v>
    <v>214.75</v>
    <v>211.4</v>
    <v>213.27</v>
    <v>212.79</v>
    <v>213.17</v>
    <v>215.7</v>
    <v>217.79</v>
    <v>216.45</v>
    <v>208.17</v>
    <v>209.95</v>
    <v>201.1</v>
    <v>214.11</v>
    <v>220.66</v>
    <v>213.13</v>
    <v>211.53</v>
    <v>208.56</v>
    <v>214.52</v>
    <v>205.24</v>
    <v>202.82</v>
    <v>193</v>
    <v>193.58</v>
    <v>196.72</v>
    <v>193.97</v>
    <v>199.23</v>
    <v>197.81</v>
    <v>204</v>
    <v>199.99</v>
    <v>197.37</v>
    <v>199.03</v>
    <v>207.56</v>
    <v>202.63</v>
    <v>203.84</v>
    <v>208.55</v>
    <v>212.88</v>
    <v>212.17</v>
    <v>209.93</v>
    <v>215.05</v>
    <v>212.65</v>
    <v>212.94</v>
    <v>214.5</v>
    <v>213.5</v>
    <v>206.11</v>
    <v>199.51</v>
    <v>192.26</v>
    <v>193.52</v>
    <v>196.16</v>
    <v>189.05</v>
    <v>190.01</v>
    <v>194.39</v>
    <v>193.82</v>
    <v>196.64</v>
    <v>205.51</v>
    <v>203.56</v>
    <v>198.12</v>
    <v>199.5</v>
    <v>196.89</v>
    <v>199.18</v>
    <v>200.54</v>
    <v>201.12</v>
    <v>202.8</v>
    <v>203.57</v>
    <v>205.06</v>
    <v>204.82</v>
    <v>204.15</v>
    <v>205.91</v>
    <v>210.04</v>
    <v>207.21</v>
    <v>213.66</v>
    <v>213.37</v>
    <v>216.19</v>
    <v>213.7</v>
    <v>214.27</v>
    <v>212.49</v>
    <v>210.47</v>
    <v>211.35</v>
    <v>212.11</v>
    <v>211.36</v>
    <v>206.26</v>
    <v>208.48</v>
    <v>213.47</v>
    <v>215.87</v>
    <v>213.32</v>
    <v>210.26</v>
    <v>212.1</v>
    <v>211.08</v>
    <v>211.33</v>
    <v>216.42</v>
    <v>217.14</v>
    <v>214.52</v>
    <v>215.25</v>
    <v>212.82</v>
    <v>208.61</v>
    <v>206.8</v>
    <v>206.67</v>
    <v>209.82</v>
    <v>202.89</v>
    <v>202.33</v>
    <v>201.38</v>
    <v>198.71</v>
    <v>200.13</v>
    <v>197.76</v>
    <v>198.64</v>
    <v>200.42</v>
    <v>200.71</v>
    <v>205.2</v>
    <v>206.63</v>
    <v>199.67</v>
    <v>199.41</v>
    <v>195.37</v>
    <v>193.3</v>
    <v>193.13</v>
    <v>192.07</v>
    <v>187.02</v>
    <v>185.79</v>
    <v>183.96</v>
    <v>180.59</v>
    <v>177.87</v>
    <v>179.18</v>
    <v>180.06</v>
    <v>177.65</v>
    <v>181.65</v>
    <v>185.65</v>
    <v>187.67</v>
    <v>185.59</v>
    <v>183.83</v>
    <v>182.18</v>
    <v>179.14</v>
    <v>178.24</v>
    <v>184.66</v>
    <v>182.62</v>
    <v>185.25</v>
    <v>187.17</v>
    <v>186.41</v>
    <v>187.22</v>
    <v>190.37</v>
    <v>190.71</v>
    <v>194.38</v>
    <v>203.33</v>
    <v>204.29</v>
    <v>209.34</v>
    <v>207.16</v>
    <v>206.93</v>
    <v>200.95</v>
    <v>194.75</v>
    <v>196.98</v>
    <v>200.1</v>
    <v>201.78</v>
    <v>193.93</v>
    <v>205.57</v>
    <v>205</v>
    <v>206.86</v>
    <v>209.99</v>
    <v>210.14</v>
    <v>210.99</v>
    <v>210.8</v>
    <v>206.32</v>
    <v>210.33</v>
    <v>211.73</v>
    <v>213.79</v>
    <v>211.26</v>
    <v>209.06</v>
    <v>217</v>
    <v>217</v>
    <v>217.66</v>
    <v>213.68</v>
    <v>209.08</v>
    <v>207.81</v>
    <v>209.1</v>
    <v>208.7</v>
    <v>214.59</v>
    <v>213.04</v>
    <v>213.32</v>
    <v>207.91</v>
    <v>206.89</v>
    <v>204.82</v>
    <v>205.36</v>
    <v>206.81</v>
    <v>205.06</v>
    <v>205.83</v>
    <v>206.29</v>
    <v>204.99</v>
    <v>208.06</v>
    <v>207.76</v>
    <v>207.39</v>
    <v>212.61</v>
    <v>211.11</v>
    <v>217.75</v>
    <v>218.6</v>
    <v>221.09</v>
    <v>222.1</v>
    <v>223.62</v>
    <v>223.06</v>
    <v>223</v>
    <v>219.46</v>
    <v>220.41</v>
    <v>224.31</v>
    <v>224.18</v>
    <v>223.89</v>
    <v>224.9</v>
    <v>224.71</v>
    <v>231.44</v>
    <v>229.1</v>
    <v>230.21</v>
    <v>230.9</v>
    <v>229.56</v>
    <v>230.13</v>
    <v>229.44</v>
    <v>231.32</v>
    <v>230.2</v>
    <v>229.35</v>
    <v>227.2</v>
    <v>228.88</v>
    <v>229.39</v>
    <v>228.92</v>
    <v>225.83</v>
    <v>223.56</v>
    <v>220.62</v>
    <v>220.02</v>
    <v>221.13</v>
    <v>219.55</v>
    <v>220.35</v>
    <v>219.94</v>
    <v>218.36</v>
    <v>219.06</v>
    <v>223.77</v>
    <v>226.75</v>
    <v>223.17</v>
    <v>222.19</v>
    <v>220.01</v>
    <v>216.14</v>
    <v>214.47</v>
    <v>218.66</v>
    <v>216.37</v>
    <v>217.45</v>
    <v>217.39</v>
    <v>218.15</v>
    <v>221.95</v>
    <v>220.04</v>
    <v>222.59</v>
    <v>221.04</v>
    <v>221.81</v>
    <v>220.33</v>
    <v>223.3</v>
    <v>222.36</v>
    <v>225.46</v>
    <v>229</v>
    <v>227.66</v>
    <v>228.17</v>
    <v>225.99</v>
    <v>226.43</v>
    <v>228.45</v>
    <v>227.81</v>
    <v>232.69</v>
    <v>234.02</v>
    <v>233.48</v>
    <v>233.6</v>
    <v>232.57</v>
    <v>234.6</v>
    <v>234.05</v>
    <v>232.76</v>
    <v>229.59</v>
    <v>228.15</v>
    <v>229.01</v>
    <v>232.73</v>
    <v>232.51</v>
    <v>226.98</v>
    <v>225.98</v>
    <v>225.6</v>
    <v>231.78</v>
    <v>232.23</v>
    <v>233.26</v>
    <v>231.27</v>
    <v>231.01</v>
    <v>231.38</v>
    <v>232.81</v>
    <v>230.47</v>
    <v>232.65</v>
    <v>233.6</v>
    <v>233.31</v>
    <v>231.28</v>
    <v>224.58</v>
    <v>222.25</v>
    <v>223.38</v>
    <v>225.01</v>
    <v>221.64</v>
    <v>221.03</v>
    <v>226.5</v>
    <v>228.79</v>
    <v>226.77</v>
    <v>228.22</v>
    <v>225.27</v>
    <v>223.05</v>
    <v>223.56</v>
    <v>226.17</v>
    <v>223.4</v>
    <v>223.44</v>
    <v>226.17</v>
    <v>228.91</v>
    <v>226.47</v>
    <v>227.25</v>
    <v>228.39</v>
    <v>229.55</v>
    <v>226.3</v>
    <v>227.34</v>
    <v>227.96</v>
    <v>234.32</v>
    <v>237.48</v>
    <v>237.97</v>
    <v>239.45</v>
    <v>238.88</v>
    <v>236.45</v>
    <v>238.16</v>
    <v>240.55</v>
    <v>242.21</v>
    <v>243.31</v>
    <v>243.16</v>
    <v>243.99</v>
    <v>240.77</v>
    <v>241.42</v>
    <v>239.62</v>
    <v>239.25</v>
    <v>240.74</v>
    <v>238.69</v>
    <v>237.1</v>
    <v>234.44</v>
    <v>235.75</v>
    <v>237.73</v>
    <v>239.78</v>
    <v>237.56</v>
    <v>238.76</v>
    <v>238.99</v>
    <v>241.51</v>
    <v>239.29</v>
    <v>239.76</v>
    <v>240.16</v>
    <v>240.04</v>
    <v>242.9</v>
    <v>239.83</v>
    <v>239.29</v>
    <v>237.37</v>
    <v>238.17</v>
    <v>239.46</v>
    <v>240.57</v>
    <v>242.3</v>
    <v>239.47</v>
    <v>242.57</v>
    <v>243.83</v>
    <v>245.34</v>
    <v>246.23</v>
    <v>245.68</v>
    <v>248.11</v>
    <v>245.34</v>
    <v>246.16</v>
    <v>247.14</v>
    <v>247.29</v>
    <v>247.22</v>
    <v>247.3</v>
    <v>247.83</v>
    <v>241.5</v>
    <v>241.07</v>
    <v>244.66</v>
    <v>243.56</v>
    <v>241.86</v>
    <v>236.61</v>
    <v>235.08</v>
    <v>233.36</v>
    <v>229.65</v>
    <v>229.5</v>
    <v>231.66</v>
    <v>230.01</v>
    <v>231.27</v>
    <v>228.81</v>
    <v>231.22</v>
    <v>233.48</v>
    <v>235.04</v>
    <v>234.44</v>
    <v>236.6</v>
    <v>235.68</v>
    <v>236.78</v>
    <v>237.67</v>
    <v>240.07</v>
    <v>241.2</v>
    <v>237.47</v>
    <v>233.81</v>
    <v>233.38</v>
    <v>231.53</v>
    <v>234.65</v>
    <v>236.85</v>
    <v>231.28</v>
    <v>229.27</v>
    <v>233.08</v>
    <v>235.1</v>
    <v>238.58</v>
    <v>243.25</v>
    <v>243.6</v>
    <v>243.49</v>
    <v>244.77</v>
    <v>243.91</v>
    <v>241.64</v>
    <v>245.25</v>
    <v>244.67</v>
    <v>246.94</v>
    <v>248.11</v>
    <v>248.57</v>
    <v>249.56</v>
    <v>249.97</v>
    <v>252.23</v>
    <v>253.72</v>
    <v>254.3</v>
    <v>254.14</v>
    <v>252.94</v>
    <v>254.23</v>
    <v>256.68</v>
    <v>256.45</v>
    <v>254.44</v>
    <v>254.61</v>
    <v>254.29</v>
    <v>255.82</v>
    <v>255.74</v>
    <v>256.52</v>
    <v>259.56</v>
    <v>262.38</v>
    <v>258.73</v>
    <v>258.02999999999997</v>
    <v>258.37</v>
    <v>259.99</v>
    <v>257.11</v>
    <v>259.54000000000002</v>
    <v>258.43</v>
    <v>259.16000000000003</v>
    <v>258.93</v>
    <v>260.39999999999998</v>
    <v>260.35000000000002</v>
    <v>258.87</v>
    <v>257.98</v>
    <v>259.61</v>
    <v>259.69</v>
    <v>262.54000000000002</v>
    <v>263.33</v>
    <v>264.56</v>
    <v>264.02999999999997</v>
    <v>264.17</v>
    <v>265.24</v>
    <v>266.63</v>
    <v>268.14</v>
    <v>270.89999999999998</v>
    <v>271.2</v>
    <v>271.26</v>
    <v>271.64999999999998</v>
    <v>272.61</v>
    <v>267.94</v>
    <v>273.66000000000003</v>
    <v>277.14999999999998</v>
    <v>273.26</v>
    <v>277.05</v>
    <v>277.18</v>
    <v>275.58</v>
    <v>276.76</v>
    <v>279.39</v>
    <v>275.77999999999997</v>
    <v>276.43</v>
    <v>275.07</v>
    <v>275.81</v>
    <v>277.56</v>
    <v>280.98</v>
    <v>278.56</v>
    <v>275.14999999999998</v>
    <v>276.76</v>
    <v>283.75</v>
    <v>283.60000000000002</v>
    <v>284.14999999999998</v>
    <v>283.17</v>
    <v>285.63</v>
    <v>282.64</v>
    <v>283.16000000000003</v>
    <v>280.52999999999997</v>
    <v>279.38</v>
    <v>280.43</v>
    <v>278.26</v>
    <v>280.04000000000002</v>
    <v>280.56</v>
    <v>283.92</v>
    <v>285.14</v>
    <v>286.41000000000003</v>
    <v>283.04000000000002</v>
    <v>285.05</v>
    <v>287.35000000000002</v>
    <v>289.27999999999997</v>
    <v>290.37</v>
    <v>283.26</v>
    <v>281.20999999999998</v>
    <v>280.60000000000002</v>
    <v>279.02</v>
    <v>279.08</v>
    <v>278.27999999999997</v>
    <v>278.44</v>
    <v>276.95999999999998</v>
    <v>274</v>
    <v>277.14</v>
    <v>277.76</v>
    <v>276.72000000000003</v>
    <v>274.48</v>
    <v>275.68</v>
    <v>275.95999999999998</v>
    <v>271.27999999999997</v>
    <v>271.35000000000002</v>
    <v>272.69</v>
    <v>271.37</v>
    <v>269.77999999999997</v>
    <v>272.33</v>
    <v>274.11</v>
    <v>275.02</v>
    <v>275.16000000000003</v>
    <v>274.52</v>
    <v>271.83999999999997</v>
    <v>268.61</v>
    <v>267.32</v>
    <v>267.61</v>
    <v>268.49</v>
    <v>272.67</v>
    <v>276.45999999999998</v>
    <v>277.19</v>
    <v>278.54000000000002</v>
    <v>280.74</v>
    <v>279.39</v>
    <v>277.74</v>
    <v>281.5</v>
    <v>279.83999999999997</v>
    <v>280.10000000000002</v>
    <v>278.54000000000002</v>
    <v>275.95</v>
    <v>275.58</v>
    <v>274.23</v>
    <v>274.49</v>
    <v>270.98</v>
    <v>268.86</v>
    <v>271.3</v>
    <v>272.45999999999998</v>
    <v>270.38</v>
    <v>272.42</v>
    <v>274.5</v>
    <v>277.04000000000002</v>
    <v>278.67</v>
    <v>275.04000000000002</v>
    <v>274.67</v>
    <v>270.32</v>
    <v>271.19</v>
    <v>270.66000000000003</v>
    <v>271.17</v>
    <v>273.62</v>
    <v>276.82</v>
    <v>275.22000000000003</v>
    <v>276.3</v>
    <v>273.52999999999997</v>
    <v>273.60000000000002</v>
    <v>266.58999999999997</v>
    <v>262.47000000000003</v>
    <v>263.24</v>
    <v>268.23</v>
    <v>268.99</v>
    <v>270.36</v>
    <v>266.39999999999998</v>
    <v>265.44</v>
    <v>263</v>
    <v>262.55</v>
    <v>265.74</v>
    <v>268.45</v>
    <v>269.25</v>
    <v>272.7</v>
    <v>269.14999999999998</v>
    <v>265.45999999999998</v>
    <v>267.70999999999998</v>
    <v>264.79000000000002</v>
    <v>254.17</v>
    <v>253.74</v>
    <v>259.45999999999998</v>
    <v>261.60000000000002</v>
    <v>263.10000000000002</v>
    <v>265.67</v>
    <v>265.93</v>
    <v>266.58</v>
    <v>256.44</v>
    <v>258.26</v>
    <v>256.52</v>
    <v>259.83</v>
    <v>259.76</v>
    <v>259.89</v>
    <v>260.13</v>
    <v>261.14</v>
    <v>266.8</v>
    <v>267.38</v>
    <v>266.47000000000003</v>
    <v>268.04000000000002</v>
    <v>268.2</v>
    <v>267.94</v>
    <v>267.44</v>
    <v>268.20999999999998</v>
    <v>270.72000000000003</v>
    <v>269.19</v>
    <v>274.32</v>
    <v>276.37</v>
    <v>278.54000000000002</v>
    <v>280.49</v>
    <v>278.62</v>
    <v>279.37</v>
    <v>285.61</v>
    <v>285.33999999999997</v>
    <v>283.95999999999998</v>
    <v>285.37</v>
    <v>287.35000000000002</v>
    <v>290.48</v>
    <v>291.56</v>
    <v>288.48</v>
    <v>285.24</v>
    <v>284.77</v>
    <v>288.63</v>
    <v>272.77999999999997</v>
    <v>269.63</v>
    <v>271.69</v>
    <v>275.17</v>
    <v>274.95</v>
    <v>277.60000000000002</v>
    <v>277</v>
    <v>276.86</v>
    <v>277.93</v>
    <v>273.79000000000002</v>
    <v>274.95999999999998</v>
    <v>276.93</v>
    <v>277.47000000000003</v>
    <v>277.83999999999997</v>
    <v>280.68</v>
    <v>279.29000000000002</v>
    <v>287.52</v>
    <v>290.39</v>
    <v>290.62</v>
    <v>286.85000000000002</v>
    <v>284.79000000000002</v>
    <v>283.76</v>
    <v>283.22000000000003</v>
    <v>281.73</v>
    <v>284.19</v>
    <v>281.88</v>
    <v>290.16000000000003</v>
    <v>289.85000000000002</v>
    <v>290.74</v>
    <v>291.85000000000002</v>
    <v>293.29000000000002</v>
    <v>307.39999999999998</v>
    <v>305.8</v>
    <v>307.87</v>
    <v>310.92</v>
    <v>309.85000000000002</v>
    <v>309.48</v>
    <v>308.25</v>
    <v>309.64</v>
    <v>312.16000000000003</v>
    <v>311.85000000000002</v>
    <v>307.39</v>
    <v>309.89999999999998</v>
    <v>309.92</v>
    <v>313.19</v>
    <v>311.82</v>
    <v>314.7</v>
    <v>315.08</v>
    <v>316.64999999999998</v>
    <v>313.01</v>
    <v>309.89999999999998</v>
    <v>309.08</v>
    <v>311.01</v>
    <v>308.3</v>
    <v>312.38</v>
    <v>313.79000000000002</v>
    <v>314.23</v>
    <v>314.74</v>
    <v>315.89</v>
    <v>318.3</v>
    <v>309.77999999999997</v>
    <v>314.88</v>
    <v>317.70999999999998</v>
    <v>317.22000000000003</v>
    <v>320.64999999999998</v>
    <v>320.91000000000003</v>
    <v>318.66000000000003</v>
    <v>315.31</v>
    <v>316.04000000000002</v>
  </a>
  <a r="1" c="1027">
    <v>32.4</v>
    <v>32.131999999999998</v>
    <v>33.159999999999997</v>
    <v>32.799999999999997</v>
    <v>33.622</v>
    <v>28.945</v>
    <v>28.620999999999999</v>
    <v>29.033000000000001</v>
    <v>28.591999999999999</v>
    <v>27.952999999999999</v>
    <v>28.579000000000001</v>
    <v>29.911999999999999</v>
    <v>29.78</v>
    <v>30.12</v>
    <v>31.76</v>
    <v>33.15</v>
    <v>33.718000000000004</v>
    <v>32.261000000000003</v>
    <v>37</v>
    <v>36.606999999999999</v>
    <v>38.997</v>
    <v>38.854999999999997</v>
    <v>42.521999999999998</v>
    <v>42.863</v>
    <v>48.055</v>
    <v>53.575000000000003</v>
    <v>53.164000000000001</v>
    <v>49.548999999999999</v>
    <v>51.423999999999999</v>
    <v>51.926000000000002</v>
    <v>63.1</v>
    <v>57.807000000000002</v>
    <v>59.220999999999997</v>
    <v>55.082000000000001</v>
    <v>52.045999999999999</v>
    <v>57.703000000000003</v>
    <v>57.142000000000003</v>
    <v>55.981000000000002</v>
    <v>54.01</v>
    <v>57.837499999999999</v>
    <v>61.731000000000002</v>
    <v>63.456000000000003</v>
    <v>68.792000000000002</v>
    <v>74.119</v>
    <v>76.558999999999997</v>
    <v>80.599999999999994</v>
    <v>104.1</v>
    <v>127.294</v>
    <v>97.447999999999993</v>
    <v>100.994</v>
    <v>103.431</v>
    <v>95.5</v>
    <v>94.18</v>
    <v>92.778000000000006</v>
    <v>96.372</v>
    <v>87.6</v>
    <v>69.123000000000005</v>
    <v>81.769000000000005</v>
    <v>73.161000000000001</v>
    <v>75.040999999999997</v>
    <v>78.244</v>
    <v>74.849999999999994</v>
    <v>73.156999999999996</v>
    <v>64.566000000000003</v>
    <v>62.024000000000001</v>
    <v>62.418999999999997</v>
    <v>71.599000000000004</v>
    <v>75.655000000000001</v>
    <v>80.375</v>
    <v>78.400000000000006</v>
    <v>76.900999999999996</v>
    <v>72.429000000000002</v>
    <v>77.099000000000004</v>
    <v>73.204999999999998</v>
    <v>77.703999999999994</v>
    <v>72.456000000000003</v>
    <v>67.721000000000004</v>
    <v>62.156999999999996</v>
    <v>62.091000000000001</v>
    <v>62.4</v>
    <v>63.134</v>
    <v>65.397999999999996</v>
    <v>67.88</v>
    <v>70.355999999999995</v>
    <v>72.055000000000007</v>
    <v>70.457999999999998</v>
    <v>65.62</v>
    <v>69.012</v>
    <v>71.099999999999994</v>
    <v>71.823999999999998</v>
    <v>84.853999999999999</v>
    <v>73.55</v>
    <v>74.015000000000001</v>
    <v>69.361999999999995</v>
    <v>63.752000000000002</v>
    <v>64.644999999999996</v>
    <v>65.046000000000006</v>
    <v>59.82</v>
    <v>61.304000000000002</v>
    <v>65.882000000000005</v>
    <v>67.698999999999998</v>
    <v>68.081999999999994</v>
    <v>65.501000000000005</v>
    <v>65.715999999999994</v>
    <v>63.561999999999998</v>
    <v>61.688000000000002</v>
    <v>62.344999999999999</v>
    <v>60.908000000000001</v>
    <v>62.045999999999999</v>
    <v>56.945999999999998</v>
    <v>57.695999999999998</v>
    <v>54.188000000000002</v>
    <v>48.808</v>
    <v>52.131</v>
    <v>48.935000000000002</v>
    <v>48.72</v>
    <v>45.485999999999997</v>
    <v>47.265999999999998</v>
    <v>45.052</v>
    <v>47.244999999999997</v>
    <v>46.966999999999999</v>
    <v>48.279000000000003</v>
    <v>49.384999999999998</v>
    <v>47</v>
    <v>47.776000000000003</v>
    <v>49.85</v>
    <v>48.863999999999997</v>
    <v>48.466999999999999</v>
    <v>46.981000000000002</v>
    <v>45.938000000000002</v>
    <v>51.298999999999999</v>
    <v>50.865000000000002</v>
    <v>51.643999999999998</v>
    <v>59.848999999999997</v>
    <v>63.054000000000002</v>
    <v>61.981999999999999</v>
    <v>63.081000000000003</v>
    <v>64.646000000000001</v>
    <v>58.366999999999997</v>
    <v>55.372</v>
    <v>55.3</v>
    <v>58.188000000000002</v>
    <v>55.005000000000003</v>
    <v>62.417000000000002</v>
    <v>66.899000000000001</v>
    <v>66.45</v>
    <v>65.085999999999999</v>
    <v>63.561</v>
    <v>63.429000000000002</v>
    <v>63.985999999999997</v>
    <v>61.844000000000001</v>
    <v>62.866</v>
    <v>58.869</v>
    <v>57.988</v>
    <v>56.042999999999999</v>
    <v>54.103999999999999</v>
    <v>52.308999999999997</v>
    <v>49.872</v>
    <v>50.177999999999997</v>
    <v>55.694000000000003</v>
    <v>55.594000000000001</v>
    <v>53.970999999999997</v>
    <v>68.25</v>
    <v>63.061</v>
    <v>64.665000000000006</v>
    <v>62.500999999999998</v>
    <v>62.600999999999999</v>
    <v>63.779000000000003</v>
    <v>62.506</v>
    <v>67.093000000000004</v>
    <v>71.561999999999998</v>
    <v>74.872</v>
    <v>76.772999999999996</v>
    <v>75.049000000000007</v>
    <v>74.748999999999995</v>
    <v>72.099000000000004</v>
    <v>72.8</v>
    <v>69.751000000000005</v>
    <v>66.369</v>
    <v>65.504999999999995</v>
    <v>67.626000000000005</v>
    <v>71.656000000000006</v>
    <v>71.850999999999999</v>
    <v>71.55</v>
    <v>72.671000000000006</v>
    <v>69.366</v>
    <v>70.72</v>
    <v>70.299000000000007</v>
    <v>69.430000000000007</v>
    <v>70.25</v>
    <v>69.570999999999998</v>
    <v>71.225999999999999</v>
    <v>64.801000000000002</v>
    <v>63.862000000000002</v>
    <v>64.061999999999998</v>
    <v>61.557000000000002</v>
    <v>64.27</v>
    <v>61.847999999999999</v>
    <v>63.3</v>
    <v>63.3</v>
    <v>61.429000000000002</v>
    <v>58.838999999999999</v>
    <v>58.101999999999997</v>
    <v>59.960999999999999</v>
    <v>61.656999999999996</v>
    <v>59.939</v>
    <v>59.475000000000001</v>
    <v>57.350999999999999</v>
    <v>56.631999999999998</v>
    <v>57.84</v>
    <v>61.246000000000002</v>
    <v>60.725000000000001</v>
    <v>65.100999999999999</v>
    <v>67.381</v>
    <v>69.278999999999996</v>
    <v>70.882000000000005</v>
    <v>73.180000000000007</v>
    <v>71.064999999999998</v>
    <v>72.63</v>
    <v>72.394999999999996</v>
    <v>74.984999999999999</v>
    <v>73.963999999999999</v>
    <v>72.724999999999994</v>
    <v>75.817999999999998</v>
    <v>73.543000000000006</v>
    <v>71.852000000000004</v>
    <v>74.602000000000004</v>
    <v>73.486000000000004</v>
    <v>71.501999999999995</v>
    <v>71.712999999999994</v>
    <v>71.506</v>
    <v>73.611999999999995</v>
    <v>79.414000000000001</v>
    <v>81.025000000000006</v>
    <v>80</v>
    <v>79.751000000000005</v>
    <v>86</v>
    <v>85.900999999999996</v>
    <v>81.634</v>
    <v>81.835999999999999</v>
    <v>81.173000000000002</v>
    <v>79.5</v>
    <v>75.201999999999998</v>
    <v>75.3</v>
    <v>72.736000000000004</v>
    <v>71.831000000000003</v>
    <v>69.001999999999995</v>
    <v>69.677000000000007</v>
    <v>70.09</v>
    <v>66.3</v>
    <v>69.548000000000002</v>
    <v>72.143000000000001</v>
    <v>70.546999999999997</v>
    <v>68.335999999999999</v>
    <v>63.098999999999997</v>
    <v>59.646999999999998</v>
    <v>62.817</v>
    <v>63.654000000000003</v>
    <v>59.188000000000002</v>
    <v>60.084000000000003</v>
    <v>57.164000000000001</v>
    <v>58.037999999999997</v>
    <v>59.859000000000002</v>
    <v>56.694000000000003</v>
    <v>57.158000000000001</v>
    <v>54.639000000000003</v>
    <v>56.75</v>
    <v>56.999000000000002</v>
    <v>59.720999999999997</v>
    <v>60.828000000000003</v>
    <v>56.796999999999997</v>
    <v>55.609000000000002</v>
    <v>56.234000000000002</v>
    <v>54.448999999999998</v>
    <v>55.826000000000001</v>
    <v>55.106999999999999</v>
    <v>50.91</v>
    <v>49.862000000000002</v>
    <v>48.295000000000002</v>
    <v>48.195</v>
    <v>50.655999999999999</v>
    <v>51.463999999999999</v>
    <v>48.959000000000003</v>
    <v>49.956000000000003</v>
    <v>46.828000000000003</v>
    <v>46.042000000000002</v>
    <v>45.753</v>
    <v>37.588999999999999</v>
    <v>37.045000000000002</v>
    <v>36.505000000000003</v>
    <v>35.365000000000002</v>
    <v>31.945</v>
    <v>33.895000000000003</v>
    <v>36.801000000000002</v>
    <v>37.299999999999997</v>
    <v>34.884</v>
    <v>34.009</v>
    <v>39.164000000000001</v>
    <v>41.347000000000001</v>
    <v>42.542999999999999</v>
    <v>44.66</v>
    <v>43.148000000000003</v>
    <v>41.100999999999999</v>
    <v>40.948999999999998</v>
    <v>43.723999999999997</v>
    <v>43.497999999999998</v>
    <v>40.46</v>
    <v>39.597000000000001</v>
    <v>37.770000000000003</v>
    <v>36.503</v>
    <v>39.695999999999998</v>
    <v>40.5</v>
    <v>44.3</v>
    <v>46.472999999999999</v>
    <v>45.929000000000002</v>
    <v>42.87</v>
    <v>41.036000000000001</v>
    <v>38.890999999999998</v>
    <v>41.036000000000001</v>
    <v>43.674999999999997</v>
    <v>42.113</v>
    <v>39.082000000000001</v>
    <v>36.993000000000002</v>
    <v>39.613999999999997</v>
    <v>42.878</v>
    <v>43.408999999999999</v>
    <v>45.427999999999997</v>
    <v>43.648000000000003</v>
    <v>45.994999999999997</v>
    <v>45.069000000000003</v>
    <v>48.392000000000003</v>
    <v>47.241999999999997</v>
    <v>51</v>
    <v>52</v>
    <v>50.069000000000003</v>
    <v>48.631999999999998</v>
    <v>49.097999999999999</v>
    <v>50.125999999999998</v>
    <v>48.728000000000002</v>
    <v>45.511000000000003</v>
    <v>46.360999999999997</v>
    <v>45.323999999999998</v>
    <v>43.639000000000003</v>
    <v>44.344999999999999</v>
    <v>46.357999999999997</v>
    <v>44.918999999999997</v>
    <v>44.588999999999999</v>
    <v>47.113999999999997</v>
    <v>44.902999999999999</v>
    <v>42.786000000000001</v>
    <v>40.908000000000001</v>
    <v>42.8</v>
    <v>39.100999999999999</v>
    <v>38.578000000000003</v>
    <v>40.048999999999999</v>
    <v>35.417000000000002</v>
    <v>36.591000000000001</v>
    <v>34.340000000000003</v>
    <v>36.643999999999998</v>
    <v>31.452000000000002</v>
    <v>29.423999999999999</v>
    <v>21.905000000000001</v>
    <v>22.552</v>
    <v>16.82</v>
    <v>17.117999999999999</v>
    <v>20.457000000000001</v>
    <v>20.151</v>
    <v>22.486999999999998</v>
    <v>19.744</v>
    <v>21.077000000000002</v>
    <v>20.274999999999999</v>
    <v>20.437000000000001</v>
    <v>19.300999999999998</v>
    <v>19.812000000000001</v>
    <v>21.61</v>
    <v>21.939</v>
    <v>26.469000000000001</v>
    <v>23.814</v>
    <v>24.446000000000002</v>
    <v>22.722000000000001</v>
    <v>23.544</v>
    <v>24</v>
    <v>23.289000000000001</v>
    <v>21.776</v>
    <v>20.335999999999999</v>
    <v>15.215</v>
    <v>15.686999999999999</v>
    <v>17.134</v>
    <v>16.134</v>
    <v>16.760000000000002</v>
    <v>17.896000000000001</v>
    <v>17.091000000000001</v>
    <v>18.831</v>
    <v>20.544</v>
    <v>19.672999999999998</v>
    <v>18.611999999999998</v>
    <v>17.969000000000001</v>
    <v>16.43</v>
    <v>16.677</v>
    <v>18.768000000000001</v>
    <v>18.829999999999998</v>
    <v>21.951000000000001</v>
    <v>22.128</v>
    <v>20.09</v>
    <v>19.251999999999999</v>
    <v>19.555</v>
    <v>20.459</v>
    <v>21.398</v>
    <v>22.562999999999999</v>
    <v>26.716999999999999</v>
    <v>28.876999999999999</v>
    <v>28.971</v>
    <v>28.192</v>
    <v>26.585999999999999</v>
    <v>23.763999999999999</v>
    <v>26.24</v>
    <v>27.571999999999999</v>
    <v>28.606000000000002</v>
    <v>27.574000000000002</v>
    <v>27.826000000000001</v>
    <v>31.367999999999999</v>
    <v>30.931000000000001</v>
    <v>31.914999999999999</v>
    <v>33.000999999999998</v>
    <v>31.937999999999999</v>
    <v>33.58</v>
    <v>33.698999999999998</v>
    <v>35.283999999999999</v>
    <v>34.908000000000001</v>
    <v>34.264000000000003</v>
    <v>32.520000000000003</v>
    <v>32.438000000000002</v>
    <v>28.3</v>
    <v>26.809000000000001</v>
    <v>26.58</v>
    <v>27.440999999999999</v>
    <v>27.280999999999999</v>
    <v>24.92</v>
    <v>24.495999999999999</v>
    <v>24.023</v>
    <v>23.155999999999999</v>
    <v>22.091999999999999</v>
    <v>21.806000000000001</v>
    <v>20.425000000000001</v>
    <v>21.861000000000001</v>
    <v>23.45</v>
    <v>26.196999999999999</v>
    <v>26.297999999999998</v>
    <v>23.125</v>
    <v>22.599</v>
    <v>21.693999999999999</v>
    <v>20.634</v>
    <v>20.62</v>
    <v>19.66</v>
    <v>19.591999999999999</v>
    <v>19.231999999999999</v>
    <v>19.145</v>
    <v>20.018000000000001</v>
    <v>20.606999999999999</v>
    <v>22.047000000000001</v>
    <v>21.181999999999999</v>
    <v>21.225999999999999</v>
    <v>22.452000000000002</v>
    <v>24.873999999999999</v>
    <v>24.219000000000001</v>
    <v>24.167000000000002</v>
    <v>22.03</v>
    <v>22.065000000000001</v>
    <v>21.637</v>
    <v>21.838000000000001</v>
    <v>22.053999999999998</v>
    <v>20.931000000000001</v>
    <v>22.113</v>
    <v>23.5</v>
    <v>22.608000000000001</v>
    <v>22.100999999999999</v>
    <v>23.262</v>
    <v>23.76</v>
    <v>26.869</v>
    <v>27.271999999999998</v>
    <v>27.056000000000001</v>
    <v>27.998999999999999</v>
    <v>26.751000000000001</v>
    <v>25.72</v>
    <v>24.823</v>
    <v>24.844000000000001</v>
    <v>27.71</v>
    <v>26.664000000000001</v>
    <v>21.184000000000001</v>
    <v>17.036000000000001</v>
    <v>17.5</v>
    <v>17.518000000000001</v>
    <v>16.59</v>
    <v>17.152999999999999</v>
    <v>16.943999999999999</v>
    <v>17.388000000000002</v>
    <v>17.012</v>
    <v>15.722</v>
    <v>16.707999999999998</v>
    <v>17.638999999999999</v>
    <v>18.3</v>
    <v>17.667000000000002</v>
    <v>18.2</v>
    <v>19.809000000000001</v>
    <v>19.898</v>
    <v>20.693999999999999</v>
    <v>19.567</v>
    <v>19.552</v>
    <v>19.349</v>
    <v>20.257000000000001</v>
    <v>20.324999999999999</v>
    <v>19.616</v>
    <v>20.181000000000001</v>
    <v>20.273</v>
    <v>18.8</v>
    <v>17.375</v>
    <v>17.021000000000001</v>
    <v>16.885000000000002</v>
    <v>16.882000000000001</v>
    <v>16.623000000000001</v>
    <v>16.266999999999999</v>
    <v>14.773999999999999</v>
    <v>13.808999999999999</v>
    <v>13.663</v>
    <v>14.157</v>
    <v>14.502000000000001</v>
    <v>16.506</v>
    <v>15.656000000000001</v>
    <v>16.045000000000002</v>
    <v>17.501000000000001</v>
    <v>19</v>
    <v>19.475999999999999</v>
    <v>21.016999999999999</v>
    <v>21.696999999999999</v>
    <v>23.591999999999999</v>
    <v>22.119</v>
    <v>22.145</v>
    <v>24.003</v>
    <v>25.0215</v>
    <v>24.75</v>
    <v>24.584</v>
    <v>24.532</v>
    <v>25.835999999999999</v>
    <v>24.568999999999999</v>
    <v>25.172999999999998</v>
    <v>26.792000000000002</v>
    <v>29.213000000000001</v>
    <v>28.475999999999999</v>
    <v>28.204999999999998</v>
    <v>28.387</v>
    <v>27.596</v>
    <v>24.904</v>
    <v>24.337</v>
    <v>24.925000000000001</v>
    <v>27.114000000000001</v>
    <v>29.84</v>
    <v>28.402999999999999</v>
    <v>29.405000000000001</v>
    <v>26.992000000000001</v>
    <v>26.858000000000001</v>
    <v>26.574999999999999</v>
    <v>25.58</v>
    <v>25.864999999999998</v>
    <v>26.227</v>
    <v>25.791</v>
    <v>25.289000000000001</v>
    <v>24.690999999999999</v>
    <v>23.745000000000001</v>
    <v>23.143999999999998</v>
    <v>23.271999999999998</v>
    <v>21.082000000000001</v>
    <v>19.201000000000001</v>
    <v>22.315999999999999</v>
    <v>22.946999999999999</v>
    <v>22.754999999999999</v>
    <v>24.108000000000001</v>
    <v>26.765999999999998</v>
    <v>26.396000000000001</v>
    <v>27.338000000000001</v>
    <v>24.686</v>
    <v>26.332999999999998</v>
    <v>25.667000000000002</v>
    <v>23.896000000000001</v>
    <v>24.826000000000001</v>
    <v>28.402999999999999</v>
    <v>27.922999999999998</v>
    <v>29.231999999999999</v>
    <v>29.739000000000001</v>
    <v>29.898</v>
    <v>29.084</v>
    <v>29.01</v>
    <v>31.277999999999999</v>
    <v>33.234999999999999</v>
    <v>32.283000000000001</v>
    <v>34.072000000000003</v>
    <v>33.375</v>
    <v>31.303000000000001</v>
    <v>32.984999999999999</v>
    <v>31.472000000000001</v>
    <v>29.471</v>
    <v>29.102</v>
    <v>28.533000000000001</v>
    <v>29.091000000000001</v>
    <v>29.946000000000002</v>
    <v>31.864000000000001</v>
    <v>32.838000000000001</v>
    <v>30.747</v>
    <v>32.801000000000002</v>
    <v>30.425000000000001</v>
    <v>31.223500000000001</v>
    <v>32.671999999999997</v>
    <v>29.466999999999999</v>
    <v>30.343</v>
    <v>31.510999999999999</v>
    <v>28.736999999999998</v>
    <v>27.1</v>
    <v>28.25</v>
    <v>27.344000000000001</v>
    <v>29.056999999999999</v>
    <v>28.757999999999999</v>
    <v>28.827999999999999</v>
    <v>29.411999999999999</v>
    <v>28.933</v>
    <v>28.443000000000001</v>
    <v>28.099</v>
    <v>28.51</v>
    <v>29.927</v>
    <v>30.163</v>
    <v>29.994</v>
    <v>30.213000000000001</v>
    <v>27.635999999999999</v>
    <v>29.882000000000001</v>
    <v>29.081</v>
    <v>29.093</v>
    <v>28.233000000000001</v>
    <v>27.77</v>
    <v>28.382000000000001</v>
    <v>28.288</v>
    <v>27.792000000000002</v>
    <v>29.338999999999999</v>
    <v>31.34</v>
    <v>33.131</v>
    <v>32.722999999999999</v>
    <v>32.911000000000001</v>
    <v>30.574000000000002</v>
    <v>32.488</v>
    <v>32.561</v>
    <v>34.025500000000001</v>
    <v>34.241999999999997</v>
    <v>37.783999999999999</v>
    <v>37.811</v>
    <v>37.655000000000001</v>
    <v>38.073999999999998</v>
    <v>40.771000000000001</v>
    <v>41.23</v>
    <v>41.348999999999997</v>
    <v>46.183</v>
    <v>45.886000000000003</v>
    <v>44.988</v>
    <v>44.579500000000003</v>
    <v>45.31</v>
    <v>44.082999999999998</v>
    <v>43.664999999999999</v>
    <v>43.093499999999999</v>
    <v>43.682000000000002</v>
    <v>44.345999999999997</v>
    <v>42.615000000000002</v>
    <v>43.460999999999999</v>
    <v>43.787999999999997</v>
    <v>43.497999999999998</v>
    <v>40.732999999999997</v>
    <v>38.991</v>
    <v>37.697000000000003</v>
    <v>37.082000000000001</v>
    <v>38.948</v>
    <v>37.783999999999999</v>
    <v>37.801000000000002</v>
    <v>38.430999999999997</v>
    <v>38.883000000000003</v>
    <v>37.615000000000002</v>
    <v>36.966999999999999</v>
    <v>34.679000000000002</v>
    <v>32.862000000000002</v>
    <v>33.524999999999999</v>
    <v>32.951000000000001</v>
    <v>34.64</v>
    <v>33.655999999999999</v>
    <v>33.604999999999997</v>
    <v>34.436999999999998</v>
    <v>38.152000000000001</v>
    <v>37.167999999999999</v>
    <v>35.753</v>
    <v>35.148000000000003</v>
    <v>34.924999999999997</v>
    <v>35.07</v>
    <v>35.307000000000002</v>
    <v>35.628</v>
    <v>34.268000000000001</v>
    <v>34.776000000000003</v>
    <v>34.183999999999997</v>
    <v>34.64</v>
    <v>34.078000000000003</v>
    <v>34.061999999999998</v>
    <v>33.926000000000002</v>
    <v>33.347000000000001</v>
    <v>32.606000000000002</v>
    <v>32.280999999999999</v>
    <v>32.76</v>
    <v>31.73</v>
    <v>31.562999999999999</v>
    <v>32.892000000000003</v>
    <v>32.828000000000003</v>
    <v>32.948999999999998</v>
    <v>31.132999999999999</v>
    <v>32.04</v>
    <v>32.341999999999999</v>
    <v>34.063000000000002</v>
    <v>34.045000000000002</v>
    <v>34.045999999999999</v>
    <v>33.460999999999999</v>
    <v>32.36</v>
    <v>31.821999999999999</v>
    <v>32.58</v>
    <v>33.540999999999997</v>
    <v>32.914000000000001</v>
    <v>34.234999999999999</v>
    <v>34.804000000000002</v>
    <v>37.749000000000002</v>
    <v>42.487000000000002</v>
    <v>43.322000000000003</v>
    <v>41.344999999999999</v>
    <v>40.676000000000002</v>
    <v>42.021999999999998</v>
    <v>42.338999999999999</v>
    <v>42.667000000000002</v>
    <v>45.363</v>
    <v>45.395000000000003</v>
    <v>45.963000000000001</v>
    <v>47.354999999999997</v>
    <v>47.45</v>
    <v>49.406999999999996</v>
    <v>50.917999999999999</v>
    <v>50.488</v>
    <v>48</v>
    <v>50.594999999999999</v>
    <v>48.908000000000001</v>
    <v>48.622</v>
    <v>50.853000000000002</v>
    <v>49.304000000000002</v>
    <v>50.787999999999997</v>
    <v>52.024000000000001</v>
    <v>49.537999999999997</v>
    <v>50.587000000000003</v>
    <v>50.71</v>
    <v>49.83</v>
    <v>52.768000000000001</v>
    <v>56.322000000000003</v>
    <v>57.75</v>
    <v>56.888500000000001</v>
    <v>57.109000000000002</v>
    <v>59.939</v>
    <v>55.58</v>
    <v>55.832000000000001</v>
    <v>58.6</v>
    <v>58.237000000000002</v>
    <v>57.040999999999997</v>
    <v>57.19</v>
    <v>57.13</v>
    <v>57.347000000000001</v>
    <v>58.195</v>
    <v>61.923999999999999</v>
    <v>60.389000000000003</v>
    <v>67.070999999999998</v>
    <v>66.787999999999997</v>
    <v>63.161999999999999</v>
    <v>68.515000000000001</v>
    <v>63.106000000000002</v>
    <v>65.581000000000003</v>
    <v>63.107999999999997</v>
    <v>59.801000000000002</v>
    <v>57.728999999999999</v>
    <v>56.567</v>
    <v>53.618000000000002</v>
    <v>48.552999999999997</v>
    <v>48.213999999999999</v>
    <v>49.9</v>
    <v>48.66</v>
    <v>48.1</v>
    <v>47.018999999999998</v>
    <v>45.018999999999998</v>
    <v>45.098999999999997</v>
    <v>45.777999999999999</v>
    <v>49.45</v>
    <v>51.381</v>
    <v>51.951000000000001</v>
    <v>50.121000000000002</v>
    <v>50.347999999999999</v>
    <v>50.01</v>
    <v>49.06</v>
    <v>49.8</v>
    <v>50.801000000000002</v>
    <v>58.780999999999999</v>
    <v>64.632000000000005</v>
    <v>71.751999999999995</v>
    <v>68.602000000000004</v>
    <v>76.988</v>
    <v>71.8</v>
    <v>69.956000000000003</v>
    <v>70.498000000000005</v>
    <v>67.28</v>
    <v>71.314999999999998</v>
    <v>68.744</v>
    <v>79.647999999999996</v>
    <v>87.18</v>
    <v>96.295000000000002</v>
    <v>102.28400000000001</v>
    <v>107.93899999999999</v>
    <v>133.40100000000001</v>
    <v>105.101</v>
    <v>124.621</v>
    <v>130.00200000000001</v>
    <v>142.559</v>
    <v>148.423</v>
    <v>159.33500000000001</v>
    <v>176.61500000000001</v>
    <v>167.685</v>
    <v>178.23599999999999</v>
    <v>150.27600000000001</v>
    <v>141.75</v>
    <v>154.65199999999999</v>
    <v>159.929</v>
    <v>152.30000000000001</v>
    <v>185.6</v>
    <v>187.69900000000001</v>
    <v>191.916</v>
    <v>170.45599999999999</v>
    <v>163.67400000000001</v>
    <v>157.88300000000001</v>
    <v>160.61099999999999</v>
    <v>161.542</v>
    <v>143.9</v>
    <v>151.29900000000001</v>
    <v>144.102</v>
    <v>156.6</v>
    <v>155.18100000000001</v>
    <v>147.958</v>
    <v>133.58799999999999</v>
    <v>125.40300000000001</v>
    <v>118.80500000000001</v>
    <v>120.816</v>
    <v>117.411</v>
    <v>132.40100000000001</v>
    <v>133.864</v>
    <v>126.56699999999999</v>
    <v>124.041</v>
    <v>128.238</v>
    <v>129.297</v>
    <v>106.503</v>
    <v>102.827</v>
    <v>112.94199999999999</v>
    <v>122.301</v>
    <v>126.881</v>
    <v>125.745</v>
    <v>123.312</v>
    <v>126.364</v>
    <v>118.048</v>
    <v>124.596</v>
    <v>129.76300000000001</v>
    <v>150.34700000000001</v>
    <v>143.99799999999999</v>
    <v>158.44999999999999</v>
    <v>172.72399999999999</v>
    <v>165.542</v>
    <v>164.7</v>
    <v>154.40700000000001</v>
    <v>168.48400000000001</v>
    <v>167.535</v>
    <v>161.87</v>
    <v>154.1</v>
    <v>152.44900000000001</v>
    <v>162.74100000000001</v>
    <v>163.87700000000001</v>
    <v>169.46899999999999</v>
    <v>165.66300000000001</v>
    <v>159.62</v>
    <v>159.99199999999999</v>
    <v>155.54900000000001</v>
    <v>160.36699999999999</v>
    <v>148.38800000000001</v>
    <v>149.554</v>
    <v>150.726</v>
    <v>146.94300000000001</v>
    <v>146.54</v>
    <v>148.376</v>
    <v>137.215</v>
    <v>149.57400000000001</v>
    <v>145.773</v>
    <v>152.54</v>
    <v>137.74799999999999</v>
    <v>136.59700000000001</v>
    <v>132.01900000000001</v>
    <v>130.209</v>
    <v>128.172</v>
    <v>129.05799999999999</v>
    <v>130.17699999999999</v>
    <v>130.572</v>
    <v>135.85599999999999</v>
    <v>139.67599999999999</v>
    <v>161.12799999999999</v>
    <v>166.43</v>
    <v>159</v>
    <v>155.51599999999999</v>
    <v>177.85</v>
    <v>180.00899999999999</v>
    <v>172.17699999999999</v>
    <v>167.26900000000001</v>
    <v>160.64699999999999</v>
    <v>175.27099999999999</v>
    <v>168.48500000000001</v>
    <v>160.40700000000001</v>
    <v>161.44399999999999</v>
    <v>151.18100000000001</v>
    <v>144.79900000000001</v>
    <v>130.9</v>
    <v>136.92099999999999</v>
    <v>124.685</v>
    <v>135.99</v>
    <v>135.37</v>
    <v>131.46</v>
    <v>135.38</v>
    <v>130.37</v>
    <v>131.93</v>
    <v>133.04</v>
    <v>135.35</v>
    <v>133.69</v>
    <v>141.41999999999999</v>
    <v>133.81</v>
    <v>150.01</v>
    <v>146.9</v>
    <v>140.01</v>
    <v>132.09</v>
    <v>132.56</v>
    <v>132.41999999999999</v>
    <v>122.32</v>
    <v>124.85</v>
    <v>119.57</v>
    <v>114.3</v>
    <v>124.82</v>
    <v>129.63999999999999</v>
    <v>129.28</v>
    <v>130.77000000000001</v>
    <v>141.47</v>
    <v>134.53</v>
    <v>131.27000000000001</v>
    <v>132.66999999999999</v>
    <v>144.66</v>
    <v>144.78</v>
    <v>149.97</v>
    <v>153.88</v>
    <v>151.94</v>
    <v>165.98</v>
    <v>176.22</v>
    <v>168.6</v>
    <v>162.69</v>
    <v>164.64</v>
    <v>163.41</v>
    <v>176.51</v>
    <v>186.09</v>
    <v>192.2</v>
    <v>188.91</v>
    <v>183.34</v>
    <v>212.59</v>
    <v>201.67</v>
    <v>194.31</v>
    <v>194.09</v>
    <v>193.42</v>
    <v>215.86</v>
    <v>219.05</v>
    <v>219.7</v>
    <v>213.95</v>
    <v>235.89</v>
    <v>234.34</v>
    <v>255.34</v>
    <v>258.24</v>
    <v>247.31</v>
    <v>244.5</v>
    <v>229.71</v>
    <v>222.99</v>
    <v>227.8</v>
    <v>257.81</v>
    <v>270.81</v>
    <v>270.42</v>
    <v>340</v>
    <v>356.59</v>
    <v>328.38</v>
    <v>327.67</v>
    <v>340.65</v>
    <v>384.79</v>
    <v>430.54</v>
    <v>473.83</v>
    <v>397.28</v>
    <v>421.88</v>
    <v>403.45</v>
    <v>353.69</v>
    <v>388.84</v>
    <v>387.47</v>
    <v>380.3</v>
    <v>373.43</v>
    <v>406</v>
    <v>386.4</v>
    <v>395.01</v>
    <v>365.34</v>
    <v>377.32</v>
    <v>411.4</v>
    <v>392.19</v>
    <v>408.67</v>
    <v>408.5</v>
    <v>386.42</v>
    <v>349.64</v>
    <v>326.45999999999998</v>
    <v>364.2</v>
    <v>332.23</v>
    <v>358.18</v>
    <v>341.05</v>
    <v>330</v>
    <v>302.95999999999998</v>
    <v>289.62</v>
  </a>
  <a r="1" c="1027">
    <v>115.36</v>
    <v>114.57</v>
    <v>113.58</v>
    <v>115.15</v>
    <v>114.4</v>
    <v>117.01</v>
    <v>116.4</v>
    <v>118.81</v>
    <v>118.48</v>
    <v>116.74</v>
    <v>117.39</v>
    <v>117.24</v>
    <v>118.97</v>
    <v>119.3</v>
    <v>117.78</v>
    <v>117.37</v>
    <v>117.3</v>
    <v>117.31</v>
    <v>117.83</v>
    <v>117.23</v>
    <v>117.39</v>
    <v>118.49</v>
    <v>118.64</v>
    <v>119.61</v>
    <v>122.89</v>
    <v>126.16</v>
    <v>127.06</v>
    <v>128.15</v>
    <v>126.97</v>
    <v>126.98</v>
    <v>126.03</v>
    <v>126.21</v>
    <v>127.35</v>
    <v>128.11000000000001</v>
    <v>127</v>
    <v>126.33</v>
    <v>125.48</v>
    <v>123.92</v>
    <v>118.8</v>
    <v>121.56</v>
    <v>120.17</v>
    <v>120.83</v>
    <v>123.19</v>
    <v>122.15</v>
    <v>124.07</v>
    <v>123.18</v>
    <v>123.41</v>
    <v>123.24</v>
    <v>125.08</v>
    <v>126.96</v>
    <v>127.98</v>
    <v>127.95</v>
    <v>130.12</v>
    <v>127.68</v>
    <v>126.87</v>
    <v>123.5</v>
    <v>122.42</v>
    <v>125.02</v>
    <v>122.1</v>
    <v>122.07</v>
    <v>124.48</v>
    <v>123.64</v>
    <v>119.3</v>
    <v>114.99</v>
    <v>116.14</v>
    <v>116.08</v>
    <v>119.84</v>
    <v>119.99</v>
    <v>121.83</v>
    <v>121.44</v>
    <v>124.04</v>
    <v>123</v>
    <v>122.52</v>
    <v>122.59</v>
    <v>122.69</v>
    <v>123.61</v>
    <v>121.98</v>
    <v>120.84</v>
    <v>121.9</v>
    <v>125.64</v>
    <v>125.42</v>
    <v>124.84</v>
    <v>127.14</v>
    <v>127.69</v>
    <v>130</v>
    <v>131.04</v>
    <v>129.34</v>
    <v>130.69</v>
    <v>131.91</v>
    <v>131.27000000000001</v>
    <v>132.97</v>
    <v>131.97</v>
    <v>133.28</v>
    <v>134.58000000000001</v>
    <v>133.5</v>
    <v>132.46</v>
    <v>133.83000000000001</v>
    <v>134.53</v>
    <v>136.68</v>
    <v>137.34</v>
    <v>136.47999999999999</v>
    <v>134.80000000000001</v>
    <v>134.15</v>
    <v>133.63999999999999</v>
    <v>133.19</v>
    <v>130.9</v>
    <v>133.37</v>
    <v>132.4</v>
    <v>133.9</v>
    <v>131.87</v>
    <v>131.41999999999999</v>
    <v>128.63999999999999</v>
    <v>130.02000000000001</v>
    <v>131.15</v>
    <v>130.11000000000001</v>
    <v>128.75</v>
    <v>130.21</v>
    <v>132.15</v>
    <v>132.30000000000001</v>
    <v>133.34</v>
    <v>133.22999999999999</v>
    <v>133.29</v>
    <v>137.54</v>
    <v>138.13</v>
    <v>137.19999999999999</v>
    <v>136.57</v>
    <v>136.37</v>
    <v>137.9</v>
    <v>137.65</v>
    <v>138.75</v>
    <v>140.13</v>
    <v>143.06</v>
    <v>143.53</v>
    <v>144.38999999999999</v>
    <v>144.62</v>
    <v>143.59</v>
    <v>146.91999999999999</v>
    <v>145.01</v>
    <v>146.41</v>
    <v>146.63</v>
    <v>147.24</v>
    <v>146.66999999999999</v>
    <v>147.28</v>
    <v>147.93</v>
    <v>148.81</v>
    <v>147.81</v>
    <v>147.79</v>
    <v>148.82</v>
    <v>148.97999999999999</v>
    <v>149.49</v>
    <v>148.83000000000001</v>
    <v>150.03</v>
    <v>149.51</v>
    <v>149.27000000000001</v>
    <v>148.63</v>
    <v>148.96</v>
    <v>148.93</v>
    <v>147.58000000000001</v>
    <v>149.30000000000001</v>
    <v>148.94999999999999</v>
    <v>150.30000000000001</v>
    <v>152.31</v>
    <v>150.25</v>
    <v>149.94999999999999</v>
    <v>151.46</v>
    <v>152.66999999999999</v>
    <v>153.22999999999999</v>
    <v>153.07</v>
    <v>153.86000000000001</v>
    <v>154.27000000000001</v>
    <v>155.04</v>
    <v>155.69999999999999</v>
    <v>156.54</v>
    <v>156.52000000000001</v>
    <v>156.52000000000001</v>
    <v>158.15</v>
    <v>159.22999999999999</v>
    <v>162.07</v>
    <v>160.91</v>
    <v>163.02000000000001</v>
    <v>167.67</v>
    <v>168.13</v>
    <v>170</v>
    <v>170.57</v>
    <v>173.3</v>
    <v>173.59</v>
    <v>173.81</v>
    <v>176.73</v>
    <v>175.47</v>
    <v>175.45</v>
    <v>178.02</v>
    <v>179.28</v>
    <v>177.72</v>
    <v>178.73</v>
    <v>177.23</v>
    <v>177.23</v>
    <v>172.08</v>
    <v>172.42</v>
    <v>173.79</v>
    <v>173.28</v>
    <v>173.94</v>
    <v>171.34</v>
    <v>171.44</v>
    <v>172.44</v>
    <v>172.77</v>
    <v>172.4</v>
    <v>166.38</v>
    <v>159.9</v>
    <v>160</v>
    <v>157.53</v>
    <v>155.99</v>
    <v>152.36000000000001</v>
    <v>153.03</v>
    <v>153.65</v>
    <v>155.32</v>
    <v>152.47</v>
    <v>150.02000000000001</v>
    <v>147.94999999999999</v>
    <v>150.22</v>
    <v>152.59</v>
    <v>153.27000000000001</v>
    <v>154.78</v>
    <v>155.62</v>
    <v>157.59</v>
    <v>156.94</v>
    <v>157.97</v>
    <v>158.34</v>
    <v>158.19</v>
    <v>155.26</v>
    <v>155.76</v>
    <v>157.49</v>
    <v>157.06</v>
    <v>157.85</v>
    <v>158.19999999999999</v>
    <v>157.65</v>
    <v>156.41</v>
    <v>160.94</v>
    <v>159.81</v>
    <v>159.28</v>
    <v>158.79</v>
    <v>160.88</v>
    <v>157.78</v>
    <v>161.38999999999999</v>
    <v>161.54</v>
    <v>162.16</v>
    <v>164.3</v>
    <v>162.78</v>
    <v>154.78</v>
    <v>152.97</v>
    <v>152.07</v>
    <v>153.41999999999999</v>
    <v>150.9</v>
    <v>148.21</v>
    <v>150.99</v>
    <v>149.33000000000001</v>
    <v>151.47</v>
    <v>153.80000000000001</v>
    <v>156.31</v>
    <v>154.61000000000001</v>
    <v>156.26</v>
    <v>156.29</v>
    <v>151.88</v>
    <v>154.31</v>
    <v>150.80000000000001</v>
    <v>151.41999999999999</v>
    <v>150.41999999999999</v>
    <v>153.96</v>
    <v>156.78</v>
    <v>157.80000000000001</v>
    <v>158.74</v>
    <v>159.18</v>
    <v>160.65</v>
    <v>160.88</v>
    <v>159.65</v>
    <v>156.47999999999999</v>
    <v>151.19</v>
    <v>148.6</v>
    <v>149.12</v>
    <v>145.15</v>
    <v>145.16</v>
    <v>146.63999999999999</v>
    <v>149.51</v>
    <v>145.16999999999999</v>
    <v>144.68</v>
    <v>140.47</v>
    <v>140.43</v>
    <v>139.47999999999999</v>
    <v>137.51</v>
    <v>138.12</v>
    <v>134.57</v>
    <v>133.51</v>
    <v>132.09</v>
    <v>137.06</v>
    <v>139.32</v>
    <v>141.03</v>
    <v>144.24</v>
    <v>141.79</v>
    <v>141.12</v>
    <v>140.37</v>
    <v>140.81</v>
    <v>144.44</v>
    <v>141.66</v>
    <v>137.19999999999999</v>
    <v>135.21</v>
    <v>135.91</v>
    <v>135.15</v>
    <v>130.25</v>
    <v>132.05000000000001</v>
    <v>130.49</v>
    <v>126</v>
    <v>128.15</v>
    <v>133.72999999999999</v>
    <v>130.36000000000001</v>
    <v>131.93</v>
    <v>133.16</v>
    <v>137.16999999999999</v>
    <v>133.88999999999999</v>
    <v>130.34</v>
    <v>129.32</v>
    <v>133.26</v>
    <v>134.33000000000001</v>
    <v>130.31</v>
    <v>127.58</v>
    <v>130.28</v>
    <v>135</v>
    <v>136.82</v>
    <v>139.12</v>
    <v>138.13999999999999</v>
    <v>139.29</v>
    <v>134.18</v>
    <v>136.41</v>
    <v>135.71</v>
    <v>135.41999999999999</v>
    <v>138.41999999999999</v>
    <v>135.46</v>
    <v>132.33000000000001</v>
    <v>133.97</v>
    <v>134.81</v>
    <v>133.26</v>
    <v>132.71</v>
    <v>135.93</v>
    <v>134.87</v>
    <v>131.26</v>
    <v>125.39</v>
    <v>128.29</v>
    <v>126.44</v>
    <v>123.84</v>
    <v>126.53</v>
    <v>129.37</v>
    <v>125.29</v>
    <v>121.32</v>
    <v>121.45</v>
    <v>117.94</v>
    <v>117.68</v>
    <v>121.06</v>
    <v>119.27</v>
    <v>119.57</v>
    <v>122.4</v>
    <v>126.3</v>
    <v>122.15</v>
    <v>121.08</v>
    <v>113.11</v>
    <v>116.64</v>
    <v>113.99</v>
    <v>116.13</v>
    <v>119.38</v>
    <v>120.3</v>
    <v>123.08</v>
    <v>120.79</v>
    <v>122.4</v>
    <v>125.13</v>
    <v>125.98</v>
    <v>124.41</v>
    <v>120.38</v>
    <v>123.85</v>
    <v>130.55000000000001</v>
    <v>127.56</v>
    <v>123.09</v>
    <v>129.1</v>
    <v>128.49</v>
    <v>127.63</v>
    <v>128.9</v>
    <v>126.84</v>
    <v>124.14</v>
    <v>120.57</v>
    <v>116.28</v>
    <v>116.01</v>
    <v>116.47</v>
    <v>114.96</v>
    <v>112.71</v>
    <v>113.88</v>
    <v>113.8</v>
    <v>118.6</v>
    <v>121.29</v>
    <v>120.57</v>
    <v>117.06</v>
    <v>117.9</v>
    <v>118.77</v>
    <v>119.21</v>
    <v>120.56</v>
    <v>121.18</v>
    <v>123.15</v>
    <v>122.51</v>
    <v>123.12</v>
    <v>119.24</v>
    <v>118.65</v>
    <v>115.88</v>
    <v>118.83</v>
    <v>115.11</v>
    <v>119.06</v>
    <v>119.86</v>
    <v>127.19</v>
    <v>125.04</v>
    <v>124.26</v>
    <v>125.17</v>
    <v>127.71</v>
    <v>131.11000000000001</v>
    <v>134.1</v>
    <v>133.43</v>
    <v>131.28</v>
    <v>134.56</v>
    <v>133.77000000000001</v>
    <v>133.61000000000001</v>
    <v>132.52000000000001</v>
    <v>128.88</v>
    <v>132.58000000000001</v>
    <v>131.94999999999999</v>
    <v>133.55000000000001</v>
    <v>133.9</v>
    <v>132.77000000000001</v>
    <v>142.29</v>
    <v>139.97</v>
    <v>137.62</v>
    <v>133.94</v>
    <v>132.63999999999999</v>
    <v>133.66999999999999</v>
    <v>136.01</v>
    <v>129.87</v>
    <v>128.11000000000001</v>
    <v>128.28</v>
    <v>128.25</v>
    <v>128.93</v>
    <v>128.01</v>
    <v>129.30000000000001</v>
    <v>131.43</v>
    <v>135.19</v>
    <v>137.63</v>
    <v>139.87</v>
    <v>133.54</v>
    <v>133.25</v>
    <v>133.16</v>
    <v>129.88999999999999</v>
    <v>130.72</v>
    <v>128.13999999999999</v>
    <v>126.48</v>
    <v>124.39</v>
    <v>123.48</v>
    <v>122.31</v>
    <v>121.61</v>
    <v>123.72</v>
    <v>122.74</v>
    <v>121.55</v>
    <v>126.38</v>
    <v>131.41</v>
    <v>132.63999999999999</v>
    <v>132.18</v>
    <v>127.44</v>
    <v>125.95</v>
    <v>125.64</v>
    <v>125.69</v>
    <v>127.9</v>
    <v>125.7</v>
    <v>130.56</v>
    <v>132.30000000000001</v>
    <v>128.96</v>
    <v>125.94</v>
    <v>129.88</v>
    <v>132.30000000000001</v>
    <v>134.5</v>
    <v>137.69</v>
    <v>136.49</v>
    <v>138.77000000000001</v>
    <v>138.35</v>
    <v>140.88999999999999</v>
    <v>135.27000000000001</v>
    <v>134.46</v>
    <v>136.08000000000001</v>
    <v>138.03</v>
    <v>138.75</v>
    <v>137</v>
    <v>146.30000000000001</v>
    <v>148.31</v>
    <v>146.38</v>
    <v>148</v>
    <v>147.12</v>
    <v>144.44</v>
    <v>146.19</v>
    <v>145.13999999999999</v>
    <v>156.86000000000001</v>
    <v>155.35</v>
    <v>156.96</v>
    <v>152.30000000000001</v>
    <v>150.94</v>
    <v>154.97999999999999</v>
    <v>156.12</v>
    <v>155.66999999999999</v>
    <v>152.69999999999999</v>
    <v>151.35</v>
    <v>153.72999999999999</v>
    <v>156.28</v>
    <v>152.94999999999999</v>
    <v>155.33000000000001</v>
    <v>157.66</v>
    <v>154.81</v>
    <v>150.86000000000001</v>
    <v>149.30000000000001</v>
    <v>146.94999999999999</v>
    <v>147.93</v>
    <v>150.09</v>
    <v>149.01</v>
    <v>149.22999999999999</v>
    <v>149.55000000000001</v>
    <v>148.09</v>
    <v>151.09</v>
    <v>149.65</v>
    <v>150.04</v>
    <v>151.66999999999999</v>
    <v>152.11000000000001</v>
    <v>147.66999999999999</v>
    <v>147.47</v>
    <v>155.22999999999999</v>
    <v>158.16999999999999</v>
    <v>156.49</v>
    <v>156.91999999999999</v>
    <v>155.4</v>
    <v>154.07</v>
    <v>152.87</v>
    <v>155.91999999999999</v>
    <v>159.06</v>
    <v>155.69</v>
    <v>155.76</v>
    <v>156.22999999999999</v>
    <v>155.69</v>
    <v>151.74</v>
    <v>152.08000000000001</v>
    <v>155.44999999999999</v>
    <v>155.5</v>
    <v>154.55000000000001</v>
    <v>152.24</v>
    <v>154.51</v>
    <v>154.41999999999999</v>
    <v>152.38</v>
    <v>152.55000000000001</v>
    <v>154.6</v>
    <v>153.04</v>
    <v>151.75</v>
    <v>148.28</v>
    <v>148.26</v>
    <v>143.41999999999999</v>
    <v>142.08000000000001</v>
    <v>143.19999999999999</v>
    <v>141.19999999999999</v>
    <v>142.18</v>
    <v>141.97</v>
    <v>137.51</v>
    <v>141.66999999999999</v>
    <v>143.93</v>
    <v>143.22999999999999</v>
    <v>140.33000000000001</v>
    <v>140.9</v>
    <v>138.93</v>
    <v>135.72</v>
    <v>136.69</v>
    <v>138.4</v>
    <v>134.03</v>
    <v>136.82</v>
    <v>133.18</v>
    <v>134.54</v>
    <v>137.01</v>
    <v>133.72999999999999</v>
    <v>131.13</v>
    <v>131.96</v>
    <v>133.07</v>
    <v>132.63</v>
    <v>133.85</v>
    <v>134.49</v>
    <v>138.34</v>
    <v>137.86000000000001</v>
    <v>138.21</v>
    <v>138.09</v>
    <v>138.03</v>
    <v>138.02000000000001</v>
    <v>138.52000000000001</v>
    <v>138.36000000000001</v>
    <v>141.28</v>
    <v>139.19999999999999</v>
    <v>140.19</v>
    <v>139</v>
    <v>138.93</v>
    <v>135.53</v>
    <v>138.5</v>
    <v>138.47999999999999</v>
    <v>130.37</v>
    <v>133.12</v>
    <v>133.25</v>
    <v>135.43</v>
    <v>136.08000000000001</v>
    <v>134.52000000000001</v>
    <v>134.77000000000001</v>
    <v>133.88</v>
    <v>133.30000000000001</v>
    <v>132.44999999999999</v>
    <v>127.35</v>
    <v>128.06</v>
    <v>127.66</v>
    <v>127.49</v>
    <v>127.99</v>
    <v>126.29</v>
    <v>127.77</v>
    <v>129.13999999999999</v>
    <v>128.87</v>
    <v>129.09</v>
    <v>128.63999999999999</v>
    <v>120.99</v>
    <v>119.49</v>
    <v>120.42</v>
    <v>117.73</v>
    <v>115.67</v>
    <v>116.26</v>
    <v>118.22</v>
    <v>118.35</v>
    <v>117.44</v>
    <v>116.59</v>
    <v>114.69</v>
    <v>115.79</v>
    <v>118.54</v>
    <v>119.5</v>
    <v>119.4</v>
    <v>121.23</v>
    <v>121.13</v>
    <v>118.16</v>
    <v>118.33</v>
    <v>118.68</v>
    <v>119.42</v>
    <v>118.37</v>
    <v>117.04</v>
    <v>116.37</v>
    <v>118.05</v>
    <v>120.25</v>
    <v>119.32</v>
    <v>119.5</v>
    <v>118.43</v>
    <v>117</v>
    <v>118.36</v>
    <v>118.48</v>
    <v>120</v>
    <v>119.35</v>
    <v>119.75</v>
    <v>118.25</v>
    <v>119.56</v>
    <v>123.08</v>
    <v>124.55</v>
    <v>127.62</v>
    <v>127.72</v>
    <v>127.31</v>
    <v>128.47</v>
    <v>126.66</v>
    <v>126.05</v>
    <v>121.77</v>
    <v>122.48</v>
    <v>127.71</v>
    <v>125.05</v>
    <v>126.3</v>
    <v>126.51</v>
    <v>128.35</v>
    <v>127.63</v>
    <v>127.65</v>
    <v>126.86</v>
    <v>126.65</v>
    <v>125.65</v>
    <v>121.36</v>
    <v>120.85</v>
    <v>119.25</v>
    <v>118.86</v>
    <v>117.64</v>
    <v>119.13</v>
    <v>119.49</v>
    <v>119.68</v>
    <v>119.92</v>
    <v>122.02</v>
    <v>122.68</v>
    <v>121.07</v>
    <v>121.91</v>
    <v>118.73</v>
    <v>117.94</v>
    <v>116.26</v>
    <v>113.99</v>
    <v>113.1</v>
    <v>112.78</v>
    <v>113.43</v>
    <v>114.88</v>
    <v>115.91</v>
    <v>112.69</v>
    <v>112.31</v>
    <v>112.47</v>
    <v>109.73</v>
    <v>111.41</v>
    <v>111.94</v>
    <v>110.73</v>
    <v>110.5</v>
    <v>112</v>
    <v>111.82</v>
    <v>110.9</v>
    <v>110.26</v>
    <v>111.67</v>
    <v>110.35</v>
    <v>110.64</v>
    <v>111.28</v>
    <v>113.29</v>
    <v>113.38</v>
    <v>108.94</v>
    <v>110.51</v>
    <v>111.5</v>
    <v>112.4</v>
    <v>108.61</v>
    <v>109.51</v>
    <v>109.23</v>
    <v>109.34</v>
    <v>105.64</v>
    <v>103.4</v>
    <v>104.31</v>
    <v>102.77</v>
    <v>101.17</v>
    <v>103.37</v>
    <v>102.86</v>
    <v>104.47</v>
    <v>109.02</v>
    <v>107.53</v>
    <v>110.54</v>
    <v>109.39</v>
    <v>107.74</v>
    <v>108.47</v>
    <v>107.46</v>
    <v>111.61</v>
    <v>113.6</v>
    <v>114.19</v>
    <v>113.15</v>
    <v>113.98</v>
    <v>123.92</v>
    <v>123.99</v>
    <v>126.62</v>
    <v>125.01</v>
    <v>124.71</v>
    <v>127.59</v>
    <v>127.8</v>
    <v>128.79</v>
    <v>128.88</v>
    <v>127.88</v>
    <v>128.91</v>
    <v>128.68</v>
    <v>127.2</v>
    <v>128.97</v>
    <v>128.79</v>
    <v>133.74</v>
    <v>137.96</v>
    <v>136.78</v>
    <v>137.53</v>
    <v>139.79</v>
    <v>138.18</v>
    <v>138.94</v>
    <v>139.57</v>
    <v>139.81</v>
    <v>139.82</v>
    <v>139.77000000000001</v>
    <v>139.03</v>
    <v>138.75</v>
    <v>131.16</v>
    <v>131</v>
    <v>130.56</v>
    <v>133.38</v>
    <v>130.68</v>
    <v>131.09</v>
    <v>129.68</v>
    <v>130.54</v>
    <v>130.53</v>
    <v>128.12</v>
    <v>130.46</v>
    <v>131.22</v>
    <v>132.55000000000001</v>
    <v>131.63999999999999</v>
    <v>129.78</v>
    <v>129.88</v>
    <v>130.99</v>
    <v>132.83000000000001</v>
    <v>134.28</v>
    <v>130.1</v>
    <v>133.05000000000001</v>
    <v>132.97</v>
    <v>132.82</v>
    <v>135.86000000000001</v>
    <v>132.79</v>
    <v>134.07</v>
    <v>133.34</v>
    <v>132.31</v>
    <v>129.76</v>
    <v>132.24</v>
    <v>134.75</v>
    <v>134.84</v>
    <v>134.13999999999999</v>
    <v>135.33000000000001</v>
    <v>132.02000000000001</v>
    <v>132.03</v>
    <v>131.49</v>
    <v>132.55000000000001</v>
    <v>137.01</v>
    <v>137.36000000000001</v>
    <v>139.06</v>
    <v>142.86000000000001</v>
    <v>144.35</v>
    <v>146.22</v>
    <v>149.31</v>
    <v>147.87</v>
    <v>147.29</v>
    <v>147.84</v>
    <v>147.82</v>
    <v>145.21</v>
    <v>147.47999999999999</v>
    <v>146.09</v>
    <v>147.38999999999999</v>
    <v>147.28</v>
    <v>148.74</v>
    <v>147.44999999999999</v>
    <v>145.56</v>
    <v>144.41</v>
    <v>147.37</v>
    <v>145.51</v>
    <v>145.56</v>
    <v>144.16999999999999</v>
    <v>143.72999999999999</v>
    <v>141.34</v>
    <v>144.12</v>
    <v>144.46</v>
    <v>147.4</v>
    <v>144.16</v>
    <v>145</v>
    <v>140.72999999999999</v>
    <v>140.22</v>
    <v>136.80000000000001</v>
    <v>134.55000000000001</v>
    <v>132.44</v>
    <v>132.72999999999999</v>
    <v>133.91</v>
    <v>139.19999999999999</v>
    <v>137.49</v>
    <v>136.37</v>
    <v>137.74</v>
    <v>139.59</v>
    <v>137.04</v>
    <v>138.69</v>
    <v>137.52000000000001</v>
    <v>139.44999999999999</v>
    <v>140.61000000000001</v>
    <v>141.27000000000001</v>
    <v>142.80000000000001</v>
    <v>145.13999999999999</v>
    <v>149.76</v>
    <v>147.76</v>
    <v>151.28</v>
    <v>154.08000000000001</v>
    <v>154.31</v>
    <v>154.22999999999999</v>
    <v>154.63999999999999</v>
    <v>153.66999999999999</v>
    <v>152.87</v>
    <v>150.55000000000001</v>
    <v>150.66</v>
    <v>148.21</v>
    <v>145.47999999999999</v>
    <v>131.41999999999999</v>
    <v>130.41</v>
    <v>131.4</v>
    <v>130.85</v>
    <v>133.56</v>
    <v>132.82</v>
    <v>132.97999999999999</v>
    <v>133.03</v>
    <v>132.11000000000001</v>
    <v>133.16</v>
    <v>130.57</v>
    <v>129.85</v>
    <v>131.83000000000001</v>
    <v>134.9</v>
    <v>132.72999999999999</v>
    <v>133.25</v>
    <v>135.08000000000001</v>
    <v>134.69</v>
    <v>133.09</v>
    <v>130.80000000000001</v>
    <v>129.63</v>
    <v>127.4</v>
    <v>125.78</v>
    <v>126.13</v>
    <v>126.37</v>
    <v>126.07</v>
    <v>125.42</v>
    <v>127.07</v>
    <v>130.82</v>
    <v>132.22999999999999</v>
    <v>131.01</v>
    <v>136.06</v>
    <v>133.5</v>
    <v>131.97</v>
    <v>131.78</v>
    <v>133.41999999999999</v>
    <v>130.65</v>
    <v>134.16</v>
    <v>134.97999999999999</v>
    <v>137.32</v>
    <v>137.38</v>
    <v>139.49</v>
    <v>141.4</v>
    <v>142.86000000000001</v>
    <v>139.04</v>
    <v>134.69999999999999</v>
    <v>136.26</v>
    <v>133.96</v>
    <v>136.76</v>
    <v>136.9</v>
    <v>135.6</v>
    <v>137.41999999999999</v>
    <v>136.03</v>
    <v>139.88999999999999</v>
    <v>140.04</v>
    <v>140.51</v>
    <v>139.75</v>
    <v>139.99</v>
    <v>140.22</v>
    <v>140.87</v>
    <v>140.49</v>
    <v>141.1</v>
    <v>141.06</v>
    <v>142.53</v>
    <v>142.91999999999999</v>
    <v>138.96</v>
    <v>138.16</v>
    <v>138.36000000000001</v>
    <v>137.19999999999999</v>
    <v>138.09</v>
    <v>138.03</v>
    <v>138.69999999999999</v>
    <v>136.38999999999999</v>
    <v>137.31</v>
    <v>138.31</v>
    <v>138.35</v>
    <v>139.01</v>
    <v>141.94999999999999</v>
    <v>140.09</v>
    <v>139.79</v>
    <v>141.87</v>
    <v>139.44</v>
    <v>146.74</v>
    <v>148.06</v>
    <v>148.47999999999999</v>
    <v>146.56</v>
    <v>146.54</v>
    <v>144.55000000000001</v>
    <v>144.97</v>
    <v>143.88999999999999</v>
    <v>144.61000000000001</v>
    <v>144.80000000000001</v>
    <v>142.74</v>
    <v>143.82</v>
    <v>144.25</v>
    <v>144.58000000000001</v>
    <v>139.11000000000001</v>
    <v>137.41999999999999</v>
    <v>138.83000000000001</v>
    <v>136.76</v>
    <v>133.46</v>
    <v>133.03</v>
    <v>130.69</v>
    <v>130.19</v>
    <v>131.54</v>
    <v>131.22999999999999</v>
    <v>131.49</v>
    <v>130.31</v>
    <v>136.87</v>
    <v>139.65</v>
    <v>140.41</v>
    <v>137.78</v>
    <v>139.63</v>
    <v>136.68</v>
    <v>133.86000000000001</v>
    <v>133.66999999999999</v>
    <v>134.28</v>
    <v>130.22</v>
    <v>127.07</v>
    <v>126.92</v>
    <v>125.69</v>
    <v>128.57</v>
    <v>132.06</v>
    <v>133.84</v>
    <v>134.49</v>
    <v>134.37</v>
    <v>138.13999999999999</v>
    <v>137.97</v>
    <v>139.58000000000001</v>
    <v>139.28</v>
    <v>140.19999999999999</v>
    <v>137.87</v>
    <v>140.58000000000001</v>
    <v>144</v>
    <v>141.93</v>
    <v>141.19</v>
    <v>140.91</v>
    <v>139</v>
    <v>137.66999999999999</v>
    <v>136.46</v>
    <v>133.01</v>
    <v>133.19</v>
    <v>134.51</v>
    <v>134.6</v>
    <v>136.1</v>
    <v>135.83000000000001</v>
    <v>135.54</v>
    <v>134.41999999999999</v>
    <v>134.34</v>
  </a>
  <a r="1" c="1027">
    <v>1110.4000000000001</v>
    <v>1104.6400000000001</v>
    <v>1114.8800000000001</v>
    <v>1095.04</v>
    <v>1101.44</v>
    <v>1061.76</v>
    <v>1100.8</v>
    <v>1111.04</v>
    <v>1152</v>
    <v>1178.24</v>
    <v>1123.8399999999999</v>
    <v>1087.3599999999999</v>
    <v>1072</v>
    <v>1093.1199999999999</v>
    <v>1180.1600000000001</v>
    <v>1159.04</v>
    <v>1112.32</v>
    <v>1080.32</v>
    <v>1076.48</v>
    <v>1115.52</v>
    <v>1075.2</v>
    <v>1074.56</v>
    <v>1168</v>
    <v>1128.96</v>
    <v>1123.2</v>
    <v>1056</v>
    <v>1046.4000000000001</v>
    <v>1109.76</v>
    <v>1072</v>
    <v>1055.3599999999999</v>
    <v>1067.52</v>
    <v>1095.04</v>
    <v>1064.32</v>
    <v>1043.8399999999999</v>
    <v>1035.52</v>
    <v>1049.5999999999999</v>
    <v>1091.8399999999999</v>
    <v>1100.8</v>
    <v>1296</v>
    <v>1266.56</v>
    <v>1349.12</v>
    <v>1272.32</v>
    <v>1164.1600000000001</v>
    <v>1104</v>
    <v>1056</v>
    <v>1054.08</v>
    <v>1045.1199999999999</v>
    <v>1049.5999999999999</v>
    <v>1066.8800000000001</v>
    <v>1041.92</v>
    <v>1007.36</v>
    <v>1018.24</v>
    <v>997.12</v>
    <v>1002.24</v>
    <v>966.4</v>
    <v>1006.72</v>
    <v>965.12</v>
    <v>926.72</v>
    <v>1074.56</v>
    <v>1025.92</v>
    <v>949.76</v>
    <v>958.08</v>
    <v>999.04</v>
    <v>1041.28</v>
    <v>967.68</v>
    <v>984.96</v>
    <v>945.28</v>
    <v>933.12</v>
    <v>910.08</v>
    <v>892.8</v>
    <v>842.24</v>
    <v>842.24</v>
    <v>805.76</v>
    <v>850.56</v>
    <v>817.28</v>
    <v>764.16</v>
    <v>800</v>
    <v>807.04</v>
    <v>782.72</v>
    <v>751.36</v>
    <v>768.64</v>
    <v>735.36</v>
    <v>729.6</v>
    <v>707.2</v>
    <v>689.28</v>
    <v>689.28</v>
    <v>671.36</v>
    <v>661.12</v>
    <v>659.84</v>
    <v>650.24</v>
    <v>645.76</v>
    <v>659.84</v>
    <v>638.08000000000004</v>
    <v>627.84</v>
    <v>650.88</v>
    <v>665.6</v>
    <v>629.76</v>
    <v>668.8</v>
    <v>642.72</v>
    <v>637.12</v>
    <v>624.16</v>
    <v>621.91999999999996</v>
    <v>617.12</v>
    <v>642.55999999999995</v>
    <v>620</v>
    <v>643.36</v>
    <v>627.04</v>
    <v>623.20000000000005</v>
    <v>587.84</v>
    <v>613.6</v>
    <v>659.36</v>
    <v>774.32</v>
    <v>700</v>
    <v>617.67999999999995</v>
    <v>637.91999999999996</v>
    <v>647.20000000000005</v>
    <v>677.6</v>
    <v>639.84</v>
    <v>631.67999999999995</v>
    <v>603.67999999999995</v>
    <v>603.20000000000005</v>
    <v>574.4</v>
    <v>546.55999999999995</v>
    <v>555.20000000000005</v>
    <v>568.48</v>
    <v>553.76</v>
    <v>564</v>
    <v>534.24</v>
    <v>524.64</v>
    <v>530.24</v>
    <v>538.88</v>
    <v>507.68</v>
    <v>493.12</v>
    <v>497.76</v>
    <v>508.64</v>
    <v>513.12</v>
    <v>510.24</v>
    <v>555.04</v>
    <v>520.64</v>
    <v>493.92</v>
    <v>484.64</v>
    <v>475.2</v>
    <v>466.4</v>
    <v>466.4</v>
    <v>476.32</v>
    <v>471.36</v>
    <v>463.68</v>
    <v>462.56</v>
    <v>473.12</v>
    <v>474.08</v>
    <v>504.8</v>
    <v>470.88</v>
    <v>467.84</v>
    <v>473.44</v>
    <v>462.56</v>
    <v>469.28</v>
    <v>488.8</v>
    <v>558.55999999999995</v>
    <v>511.52</v>
    <v>479.04</v>
    <v>487.52</v>
    <v>485.28</v>
    <v>477.6</v>
    <v>493.76</v>
    <v>479.84</v>
    <v>471.84</v>
    <v>483.36</v>
    <v>502.08</v>
    <v>476.96</v>
    <v>476.32</v>
    <v>464.8</v>
    <v>452.8</v>
    <v>448.16</v>
    <v>440.48</v>
    <v>428.48</v>
    <v>419.84</v>
    <v>420.48</v>
    <v>421.12</v>
    <v>435.2</v>
    <v>465.12</v>
    <v>480.24</v>
    <v>444.16</v>
    <v>428.96</v>
    <v>427.36</v>
    <v>418.08</v>
    <v>436</v>
    <v>413.6</v>
    <v>409.44</v>
    <v>407.84</v>
    <v>397.12</v>
    <v>396.32</v>
    <v>399.04</v>
    <v>408.8</v>
    <v>408.16</v>
    <v>416.8</v>
    <v>432.96</v>
    <v>417.44</v>
    <v>423.36</v>
    <v>406.88</v>
    <v>402.88</v>
    <v>428.96</v>
    <v>475.84</v>
    <v>461.76</v>
    <v>433.12</v>
    <v>405.76</v>
    <v>393.28</v>
    <v>397.12</v>
    <v>438.56</v>
    <v>444.96</v>
    <v>445.28</v>
    <v>429.12</v>
    <v>441.12</v>
    <v>424.8</v>
    <v>419.36</v>
    <v>404.16</v>
    <v>396.64</v>
    <v>401.92</v>
    <v>393.76</v>
    <v>386.24</v>
    <v>364.96</v>
    <v>364.64</v>
    <v>357.92</v>
    <v>354.4</v>
    <v>351.2</v>
    <v>339.52</v>
    <v>347.2</v>
    <v>336.96</v>
    <v>343.52</v>
    <v>351.2</v>
    <v>340.32</v>
    <v>343.04</v>
    <v>337.6</v>
    <v>328.48</v>
    <v>317.12</v>
    <v>320.8</v>
    <v>333.28</v>
    <v>333.76</v>
    <v>339.36</v>
    <v>345.6</v>
    <v>338.24</v>
    <v>325.76</v>
    <v>321.92</v>
    <v>323.04000000000002</v>
    <v>328.32</v>
    <v>331.36</v>
    <v>335.36</v>
    <v>341.28</v>
    <v>333.6</v>
    <v>328.8</v>
    <v>418.56</v>
    <v>352.8</v>
    <v>407.36</v>
    <v>436.8</v>
    <v>411.52</v>
    <v>447.36</v>
    <v>412.48</v>
    <v>366.4</v>
    <v>344.32</v>
    <v>355.2</v>
    <v>332.48</v>
    <v>346.24</v>
    <v>350.88</v>
    <v>326.88</v>
    <v>340.64</v>
    <v>351.52</v>
    <v>364.48</v>
    <v>346.56</v>
    <v>326.56</v>
    <v>322.88</v>
    <v>315.2</v>
    <v>307.36</v>
    <v>299.36</v>
    <v>299.36</v>
    <v>296.48</v>
    <v>286.39999999999998</v>
    <v>286.08</v>
    <v>308.64</v>
    <v>310.08</v>
    <v>301.12</v>
    <v>295.52</v>
    <v>285.12</v>
    <v>282.08</v>
    <v>299.83999999999997</v>
    <v>295.2</v>
    <v>318.24</v>
    <v>325.76</v>
    <v>339.84</v>
    <v>371.2</v>
    <v>379.52</v>
    <v>381.76</v>
    <v>389.12</v>
    <v>391.84</v>
    <v>367.2</v>
    <v>342.56</v>
    <v>317.44</v>
    <v>310.72000000000003</v>
    <v>348.48</v>
    <v>336</v>
    <v>326.72000000000003</v>
    <v>312</v>
    <v>299.36</v>
    <v>327.36</v>
    <v>371.84</v>
    <v>372.96</v>
    <v>342.24</v>
    <v>328.48</v>
    <v>367.36</v>
    <v>375.2</v>
    <v>373.76</v>
    <v>395.2</v>
    <v>382.8</v>
    <v>367.2</v>
    <v>384</v>
    <v>426.72</v>
    <v>399.36</v>
    <v>401.76</v>
    <v>419.2</v>
    <v>455.84</v>
    <v>450.4</v>
    <v>432.48</v>
    <v>413.28</v>
    <v>421.44</v>
    <v>460.96</v>
    <v>459.2</v>
    <v>415.2</v>
    <v>418.4</v>
    <v>400</v>
    <v>416.16</v>
    <v>407.12</v>
    <v>407.84</v>
    <v>403.2</v>
    <v>403.2</v>
    <v>411.68</v>
    <v>397.6</v>
    <v>400</v>
    <v>411.2</v>
    <v>400.48</v>
    <v>390.88</v>
    <v>396.96</v>
    <v>390.08</v>
    <v>384.8</v>
    <v>394.72</v>
    <v>417.6</v>
    <v>411.84</v>
    <v>393.44</v>
    <v>399.84</v>
    <v>404.96</v>
    <v>395.68</v>
    <v>390.24</v>
    <v>397.76</v>
    <v>418.4</v>
    <v>396.8</v>
    <v>421.6</v>
    <v>435.2</v>
    <v>416.64</v>
    <v>443.36</v>
    <v>440</v>
    <v>432.8</v>
    <v>397.6</v>
    <v>432</v>
    <v>433.12</v>
    <v>448.16</v>
    <v>432.88</v>
    <v>436.48</v>
    <v>430.88</v>
    <v>415.52</v>
    <v>395.04</v>
    <v>396.64</v>
    <v>417.44</v>
    <v>405.68</v>
    <v>400.8</v>
    <v>384.96</v>
    <v>384.48</v>
    <v>378.4</v>
    <v>372.16</v>
    <v>359.36</v>
    <v>360.96</v>
    <v>356.16</v>
    <v>347.2</v>
    <v>350.24</v>
    <v>352.48</v>
    <v>346.72</v>
    <v>348.8</v>
    <v>370.08</v>
    <v>373.28</v>
    <v>413.44</v>
    <v>405.28</v>
    <v>383.52</v>
    <v>406.4</v>
    <v>394.56</v>
    <v>392</v>
    <v>381.44</v>
    <v>374.4</v>
    <v>369.92</v>
    <v>361.6</v>
    <v>364.48</v>
    <v>365.44</v>
    <v>369.28</v>
    <v>360.64</v>
    <v>360.8</v>
    <v>354.56</v>
    <v>357.28</v>
    <v>351.84</v>
    <v>355.36</v>
    <v>359.68</v>
    <v>358.56</v>
    <v>357.12</v>
    <v>344.64</v>
    <v>350.56</v>
    <v>349.6</v>
    <v>345.12</v>
    <v>339.2</v>
    <v>342.4</v>
    <v>338.4</v>
    <v>346.72</v>
    <v>340.96</v>
    <v>333.12</v>
    <v>335.04</v>
    <v>348.8</v>
    <v>346.4</v>
    <v>351.2</v>
    <v>341.12</v>
    <v>344</v>
    <v>353.12</v>
    <v>351.04</v>
    <v>343.04</v>
    <v>347.04</v>
    <v>352.8</v>
    <v>343.84</v>
    <v>340.64</v>
    <v>337.6</v>
    <v>338.24</v>
    <v>338.56</v>
    <v>339.52</v>
    <v>322.24</v>
    <v>316.8</v>
    <v>315.2</v>
    <v>322.39999999999998</v>
    <v>315.36</v>
    <v>311.68</v>
    <v>307.83999999999997</v>
    <v>311.04000000000002</v>
    <v>305.44</v>
    <v>308</v>
    <v>296.8</v>
    <v>291.52</v>
    <v>295.52</v>
    <v>290.39999999999998</v>
    <v>304.16000000000003</v>
    <v>305.44</v>
    <v>306.39999999999998</v>
    <v>316.95999999999998</v>
    <v>287.83999999999997</v>
    <v>294.56</v>
    <v>301.76</v>
    <v>302.56</v>
    <v>317.12</v>
    <v>328.96</v>
    <v>335.2</v>
    <v>321.12</v>
    <v>329.92</v>
    <v>339.36</v>
    <v>322.39999999999998</v>
    <v>310.24</v>
    <v>312.32</v>
    <v>321.44</v>
    <v>334.56</v>
    <v>342.88</v>
    <v>348.16</v>
    <v>344.64</v>
    <v>335.68</v>
    <v>343.2</v>
    <v>333.44</v>
    <v>327.04000000000002</v>
    <v>329.6</v>
    <v>325.27999999999997</v>
    <v>324</v>
    <v>319.04000000000002</v>
    <v>306.72000000000003</v>
    <v>299.68</v>
    <v>293.76</v>
    <v>286.88</v>
    <v>282.56</v>
    <v>279.83999999999997</v>
    <v>287.04000000000002</v>
    <v>281.12</v>
    <v>277.60000000000002</v>
    <v>274.56</v>
    <v>282.56</v>
    <v>291.36</v>
    <v>275.36</v>
    <v>271.68</v>
    <v>271.68</v>
    <v>275.2</v>
    <v>267.83999999999997</v>
    <v>265.27999999999997</v>
    <v>262.56</v>
    <v>255.52</v>
    <v>246.72</v>
    <v>241.28</v>
    <v>242.56</v>
    <v>251.52</v>
    <v>247.84</v>
    <v>238.72</v>
    <v>234.24</v>
    <v>230.08</v>
    <v>234.08</v>
    <v>241.12</v>
    <v>244.64</v>
    <v>239.68</v>
    <v>244.8</v>
    <v>243.36</v>
    <v>233.28</v>
    <v>225.28</v>
    <v>239.36</v>
    <v>240.16</v>
    <v>234.4</v>
    <v>232.64</v>
    <v>223.84</v>
    <v>236</v>
    <v>229.6</v>
    <v>229.44</v>
    <v>228.96</v>
    <v>226.08</v>
    <v>225.92</v>
    <v>223.84</v>
    <v>217.76</v>
    <v>219.52</v>
    <v>214.4</v>
    <v>215.52</v>
    <v>206.56</v>
    <v>207.52</v>
    <v>197.28</v>
    <v>192.32</v>
    <v>193.92</v>
    <v>200.8</v>
    <v>201.92</v>
    <v>194.72</v>
    <v>193.28</v>
    <v>185.76</v>
    <v>186.08</v>
    <v>183.2</v>
    <v>180.8</v>
    <v>185.28</v>
    <v>181.12</v>
    <v>175.68</v>
    <v>179.36</v>
    <v>181.12</v>
    <v>185.6</v>
    <v>179.84</v>
    <v>186.56</v>
    <v>192.48</v>
    <v>194.72</v>
    <v>187.04</v>
    <v>180.8</v>
    <v>177.12</v>
    <v>186.88</v>
    <v>186.72</v>
    <v>201.28</v>
    <v>195.52</v>
    <v>188.64</v>
    <v>196</v>
    <v>188.48</v>
    <v>184.64</v>
    <v>186.4</v>
    <v>179.52</v>
    <v>174.4</v>
    <v>171.36</v>
    <v>175.08</v>
    <v>172.2</v>
    <v>190.04</v>
    <v>211.72</v>
    <v>218.16</v>
    <v>206.64</v>
    <v>219.84</v>
    <v>201.84</v>
    <v>223.84</v>
    <v>212.4</v>
    <v>193.84</v>
    <v>202.16</v>
    <v>207.56</v>
    <v>198.96</v>
    <v>191.88</v>
    <v>186.56</v>
    <v>180.44</v>
    <v>180.44</v>
    <v>179.64</v>
    <v>175.64</v>
    <v>178.68</v>
    <v>177.04</v>
    <v>173.92</v>
    <v>172.24</v>
    <v>170.56</v>
    <v>171.6</v>
    <v>165.36</v>
    <v>162.44</v>
    <v>158</v>
    <v>156.96</v>
    <v>156.36000000000001</v>
    <v>159.80000000000001</v>
    <v>156.80000000000001</v>
    <v>155.96</v>
    <v>169.16</v>
    <v>164.88</v>
    <v>157.72</v>
    <v>151.44</v>
    <v>148.96</v>
    <v>155.56</v>
    <v>160.4</v>
    <v>168.24</v>
    <v>155</v>
    <v>152.44</v>
    <v>156.12</v>
    <v>151.36000000000001</v>
    <v>149.88</v>
    <v>150.04</v>
    <v>146</v>
    <v>150.44</v>
    <v>145.44</v>
    <v>139.6</v>
    <v>143.08000000000001</v>
    <v>143.24</v>
    <v>145.96</v>
    <v>151.84</v>
    <v>148.28</v>
    <v>142.6</v>
    <v>138.91999999999999</v>
    <v>137.84</v>
    <v>129.96</v>
    <v>124.72</v>
    <v>122.44</v>
    <v>115.12</v>
    <v>115.64</v>
    <v>112.84</v>
    <v>113.44</v>
    <v>113.96</v>
    <v>113.68</v>
    <v>110.28</v>
    <v>113.2</v>
    <v>109.2</v>
    <v>109.4</v>
    <v>107.16</v>
    <v>104.6</v>
    <v>105.92</v>
    <v>105.72</v>
    <v>103.08</v>
    <v>99.32</v>
    <v>101.48</v>
    <v>100</v>
    <v>98.96</v>
    <v>100.28</v>
    <v>106.04</v>
    <v>103.32</v>
    <v>102.64</v>
    <v>101.88</v>
    <v>96.28</v>
    <v>96.84</v>
    <v>95.68</v>
    <v>95.48</v>
    <v>93.92</v>
    <v>95.6</v>
    <v>95.96</v>
    <v>94.8</v>
    <v>93.2</v>
    <v>93.16</v>
    <v>90.68</v>
    <v>95.2</v>
    <v>91.6</v>
    <v>90.4</v>
    <v>91.8</v>
    <v>100.08</v>
    <v>99.76</v>
    <v>103.32</v>
    <v>97.92</v>
    <v>99.64</v>
    <v>98.76</v>
    <v>99.2</v>
    <v>95.32</v>
    <v>93.68</v>
    <v>99.08</v>
    <v>100.68</v>
    <v>105.52</v>
    <v>102.84</v>
    <v>100.12</v>
    <v>100.56</v>
    <v>97.22</v>
    <v>101.2</v>
    <v>96.8</v>
    <v>93</v>
    <v>90.68</v>
    <v>87.96</v>
    <v>86</v>
    <v>84.84</v>
    <v>85.4</v>
    <v>86.96</v>
    <v>86.84</v>
    <v>85.12</v>
    <v>83.12</v>
    <v>83.72</v>
    <v>82.04</v>
    <v>79.64</v>
    <v>82.72</v>
    <v>82.04</v>
    <v>81.64</v>
    <v>84.72</v>
    <v>91.24</v>
    <v>91.48</v>
    <v>91.6</v>
    <v>100.16</v>
    <v>95.88</v>
    <v>91.48</v>
    <v>93.28</v>
    <v>93.44</v>
    <v>102.24</v>
    <v>97.12</v>
    <v>95.76</v>
    <v>94.56</v>
    <v>93.24</v>
    <v>90.12</v>
    <v>88.48</v>
    <v>90.4</v>
    <v>101.28</v>
    <v>91.64</v>
    <v>94.2</v>
    <v>100.24</v>
    <v>105.2</v>
    <v>105.84</v>
    <v>102.2</v>
    <v>97.56</v>
    <v>103.92</v>
    <v>104.84</v>
    <v>108.32</v>
    <v>100.24</v>
    <v>93.8</v>
    <v>89.84</v>
    <v>86.76</v>
    <v>84.72</v>
    <v>81.92</v>
    <v>81.52</v>
    <v>80</v>
    <v>83.08</v>
    <v>79.72</v>
    <v>78.84</v>
    <v>78.239999999999995</v>
    <v>76.599999999999994</v>
    <v>75.400000000000006</v>
    <v>74.239999999999995</v>
    <v>73.680000000000007</v>
    <v>72.239999999999995</v>
    <v>72.8</v>
    <v>69.680000000000007</v>
    <v>70.16</v>
    <v>69.239999999999995</v>
    <v>70.239999999999995</v>
    <v>69.16</v>
    <v>68.92</v>
    <v>69.12</v>
    <v>68.64</v>
    <v>68.959999999999994</v>
    <v>69</v>
    <v>67</v>
    <v>65.48</v>
    <v>63.6</v>
    <v>62.84</v>
    <v>62.48</v>
    <v>64.56</v>
    <v>64.72</v>
    <v>65.680000000000007</v>
    <v>69.680000000000007</v>
    <v>68.239999999999995</v>
    <v>66.44</v>
    <v>64.88</v>
    <v>62.08</v>
    <v>61.92</v>
    <v>62.08</v>
    <v>62.08</v>
    <v>64.400000000000006</v>
    <v>64.319999999999993</v>
    <v>62.2</v>
    <v>60.76</v>
    <v>59.36</v>
    <v>58.72</v>
    <v>58.4</v>
    <v>59.36</v>
    <v>61.44</v>
    <v>63.76</v>
    <v>61.56</v>
    <v>60</v>
    <v>58</v>
    <v>56.32</v>
    <v>57.8</v>
    <v>58.44</v>
    <v>58.12</v>
    <v>58.36</v>
    <v>57.6</v>
    <v>60.52</v>
    <v>60.04</v>
    <v>59.96</v>
    <v>57.6</v>
    <v>56.2</v>
    <v>56</v>
    <v>55.68</v>
    <v>56.08</v>
    <v>57.28</v>
    <v>61.32</v>
    <v>58.28</v>
    <v>57.68</v>
    <v>57.6</v>
    <v>59.48</v>
    <v>58.96</v>
    <v>57.84</v>
    <v>55.72</v>
    <v>55.16</v>
    <v>54.12</v>
    <v>55</v>
    <v>54.24</v>
    <v>54.4</v>
    <v>54.28</v>
    <v>56.52</v>
    <v>56.72</v>
    <v>56.44</v>
    <v>57.92</v>
    <v>57.32</v>
    <v>54.52</v>
    <v>54.24</v>
    <v>55.64</v>
    <v>56.76</v>
    <v>55.44</v>
    <v>53.88</v>
    <v>52.76</v>
    <v>52.28</v>
    <v>52.52</v>
    <v>52.32</v>
    <v>52.04</v>
    <v>51.08</v>
    <v>51.88</v>
    <v>52.56</v>
    <v>53.8</v>
    <v>53.44</v>
    <v>55.98</v>
    <v>57.04</v>
    <v>54.8</v>
    <v>54.4</v>
    <v>55.44</v>
    <v>54.36</v>
    <v>59.16</v>
    <v>62.44</v>
    <v>60.32</v>
    <v>59.72</v>
    <v>59.88</v>
    <v>61.84</v>
    <v>57.08</v>
    <v>54.84</v>
    <v>54.28</v>
    <v>55.52</v>
    <v>53.72</v>
    <v>52.8</v>
    <v>54.44</v>
    <v>54.76</v>
    <v>52.96</v>
    <v>51.16</v>
    <v>49.64</v>
    <v>49.64</v>
    <v>49.12</v>
    <v>48.92</v>
    <v>48.24</v>
    <v>48.76</v>
    <v>47.96</v>
    <v>46.08</v>
    <v>46.04</v>
    <v>45.44</v>
    <v>45.52</v>
    <v>44.76</v>
    <v>45.72</v>
    <v>46.36</v>
    <v>45</v>
    <v>45.96</v>
    <v>47.72</v>
    <v>47.56</v>
    <v>46.12</v>
    <v>45.84</v>
    <v>46.08</v>
    <v>45.24</v>
    <v>45</v>
    <v>44.52</v>
    <v>44.4</v>
    <v>44.44</v>
    <v>43.56</v>
    <v>43.44</v>
    <v>44.84</v>
    <v>44.76</v>
    <v>44.52</v>
    <v>46.2</v>
    <v>45.16</v>
    <v>44.8</v>
    <v>44</v>
    <v>43.52</v>
    <v>43.24</v>
    <v>43.68</v>
    <v>41.96</v>
    <v>41.48</v>
    <v>41.68</v>
    <v>41.84</v>
    <v>41.08</v>
    <v>41.2</v>
    <v>41.12</v>
    <v>41.36</v>
    <v>40.64</v>
    <v>41.24</v>
    <v>41.64</v>
    <v>43</v>
    <v>44.24</v>
    <v>46.12</v>
    <v>43.68</v>
    <v>43.32</v>
    <v>49.19</v>
    <v>49.59</v>
    <v>46.78</v>
    <v>45.91</v>
    <v>47.37</v>
    <v>46.25</v>
    <v>50.51</v>
    <v>62.68</v>
    <v>87.26</v>
    <v>70.47</v>
    <v>68.954999999999998</v>
    <v>63.47</v>
    <v>55.78</v>
    <v>54.76</v>
    <v>50.42</v>
    <v>47.14</v>
    <v>45.335000000000001</v>
    <v>45.23</v>
    <v>44.43</v>
    <v>46.17</v>
    <v>46.89</v>
    <v>48.865000000000002</v>
    <v>45.94</v>
    <v>45.9</v>
    <v>44.99</v>
    <v>47.58</v>
    <v>45.884999999999998</v>
    <v>44.5</v>
    <v>53.54</v>
    <v>54.97</v>
    <v>52.24</v>
    <v>56.11</v>
    <v>52.45</v>
    <v>51.52</v>
    <v>49.33</v>
    <v>48.94</v>
    <v>48.79</v>
    <v>49.24</v>
    <v>50.3</v>
    <v>49.88</v>
    <v>47.72</v>
    <v>47.43</v>
    <v>47.73</v>
    <v>47.76</v>
    <v>48.41</v>
    <v>48.48</v>
    <v>50.73</v>
    <v>49.6</v>
    <v>53.43</v>
    <v>52.71</v>
    <v>55.09</v>
    <v>53</v>
    <v>57.72</v>
    <v>55.39</v>
    <v>54.03</v>
    <v>54.71</v>
    <v>54.07</v>
    <v>52.15</v>
    <v>53.85</v>
    <v>53.33</v>
    <v>52.45</v>
    <v>51.21</v>
    <v>51.35</v>
    <v>51.15</v>
    <v>53.72</v>
    <v>52.81</v>
    <v>55.29</v>
    <v>52.71</v>
    <v>52.48</v>
    <v>53.76</v>
    <v>57.87</v>
    <v>56.85</v>
    <v>54.47</v>
    <v>51.55</v>
    <v>46.74</v>
    <v>45.09</v>
    <v>44.77</v>
    <v>44.65</v>
    <v>44.52</v>
    <v>43.534999999999997</v>
    <v>43.48</v>
    <v>46.59</v>
    <v>44.89</v>
    <v>46.38</v>
    <v>48.03</v>
    <v>47.65</v>
    <v>45.76</v>
    <v>43.88</v>
    <v>43.61</v>
    <v>43.45</v>
    <v>42.585000000000001</v>
    <v>42.3</v>
    <v>42.07</v>
    <v>42.33</v>
    <v>42.42</v>
    <v>41.76</v>
    <v>42.89</v>
    <v>42.46</v>
    <v>42.13</v>
    <v>42.47</v>
    <v>42.5</v>
    <v>43.22</v>
    <v>44.29</v>
    <v>51.72</v>
    <v>56.14</v>
    <v>48.08</v>
    <v>44.38</v>
    <v>42.28</v>
    <v>42.55</v>
    <v>44.43</v>
    <v>45.53</v>
    <v>45.8</v>
  </a>
  <a r="1" c="1027">
    <v>284.99</v>
    <v>320.89</v>
    <v>316.43</v>
    <v>319.77</v>
    <v>342</v>
    <v>332.86</v>
    <v>332.45</v>
    <v>343.3</v>
    <v>341.22</v>
    <v>320.33999999999997</v>
    <v>326.97000000000003</v>
    <v>318.52999999999997</v>
    <v>328.06</v>
    <v>336.1</v>
    <v>325.57</v>
    <v>321.95999999999998</v>
    <v>330.79</v>
    <v>328.39</v>
    <v>317.29000000000002</v>
    <v>318.43</v>
    <v>319.35000000000002</v>
    <v>314.66000000000003</v>
    <v>311</v>
    <v>313.72000000000003</v>
    <v>314.24</v>
    <v>331.36</v>
    <v>353.11</v>
    <v>344.07</v>
    <v>347.01</v>
    <v>347.06</v>
    <v>342.27</v>
    <v>319.82</v>
    <v>319.75</v>
    <v>331.41</v>
    <v>348.3</v>
    <v>338.96</v>
    <v>333.61</v>
    <v>337.01</v>
    <v>330.19</v>
    <v>325.44</v>
    <v>315</v>
    <v>332.65</v>
    <v>345.05</v>
    <v>317.25</v>
    <v>314.7</v>
    <v>310.77</v>
    <v>323.79000000000002</v>
    <v>334</v>
    <v>335.71</v>
    <v>331.9</v>
    <v>339.7</v>
    <v>353.73</v>
    <v>355.19</v>
    <v>354.88</v>
    <v>364.59</v>
    <v>349.91</v>
    <v>336.31</v>
    <v>334.69</v>
    <v>303.06</v>
    <v>307.38</v>
    <v>321.27999999999997</v>
    <v>322.74</v>
    <v>300.24</v>
    <v>285.01</v>
    <v>274.98</v>
    <v>258.33</v>
    <v>273.58</v>
    <v>270.19</v>
    <v>286.95999999999998</v>
    <v>279.89</v>
    <v>285.45999999999998</v>
    <v>284.69</v>
    <v>283.35000000000002</v>
    <v>271.73</v>
    <v>272.11</v>
    <v>275.47000000000003</v>
    <v>267.3</v>
    <v>258.68</v>
    <v>254.63</v>
    <v>261.31</v>
    <v>252.59</v>
    <v>257.69</v>
    <v>267.95</v>
    <v>273.10000000000002</v>
    <v>273.3</v>
    <v>282.33999999999997</v>
    <v>280.14999999999998</v>
    <v>280.94</v>
    <v>279.2</v>
    <v>276.91000000000003</v>
    <v>293.12</v>
    <v>287.60000000000002</v>
    <v>299.74</v>
    <v>292.02</v>
    <v>280.37</v>
    <v>271.2</v>
    <v>261.70999999999998</v>
    <v>265.16000000000003</v>
    <v>284.11</v>
    <v>298.02</v>
    <v>292.92</v>
    <v>256.83999999999997</v>
    <v>262.14999999999998</v>
    <v>252.12</v>
    <v>247.69</v>
    <v>240.12</v>
    <v>239.5</v>
    <v>237.04</v>
    <v>239.41</v>
    <v>228.21</v>
    <v>228.01</v>
    <v>225.6</v>
    <v>217.07</v>
    <v>223.59</v>
    <v>223.33</v>
    <v>220.99</v>
    <v>220.31</v>
    <v>228.68</v>
    <v>229.14</v>
    <v>234.06</v>
    <v>236.76</v>
    <v>238.39</v>
    <v>240.26</v>
    <v>241.57</v>
    <v>241.73</v>
    <v>239.73</v>
    <v>232.19</v>
    <v>236.17</v>
    <v>242.66</v>
    <v>242.51</v>
    <v>237.7</v>
    <v>247.19</v>
    <v>243.66</v>
    <v>251.51</v>
    <v>242.76</v>
    <v>242.78</v>
    <v>247.11</v>
    <v>247.64</v>
    <v>245.6</v>
    <v>253.64</v>
    <v>256.7</v>
    <v>264.16000000000003</v>
    <v>266.38</v>
    <v>271.56</v>
    <v>272.86</v>
    <v>275.58999999999997</v>
    <v>268.63</v>
    <v>267.83</v>
    <v>263.52</v>
    <v>259.04000000000002</v>
    <v>256.14999999999998</v>
    <v>262.83</v>
    <v>261.01</v>
    <v>263.85000000000002</v>
    <v>253.41</v>
    <v>247.97</v>
    <v>243.24</v>
    <v>241.81</v>
    <v>246.5</v>
    <v>247.91</v>
    <v>244.18</v>
    <v>243.64</v>
    <v>240.59</v>
    <v>236.93</v>
    <v>223.32</v>
    <v>225.27</v>
    <v>228.67</v>
    <v>228.4</v>
    <v>217.95</v>
    <v>217.42</v>
    <v>221.13</v>
    <v>221.97</v>
    <v>224.78</v>
    <v>215.48</v>
    <v>214</v>
    <v>215.04</v>
    <v>211.48</v>
    <v>208.83</v>
    <v>206.16</v>
    <v>205.42</v>
    <v>205.08</v>
    <v>216.64</v>
    <v>221.5</v>
    <v>224.88</v>
    <v>226.9</v>
    <v>224.62</v>
    <v>226.02</v>
    <v>233.12</v>
    <v>234.34</v>
    <v>238.38</v>
    <v>254.03</v>
    <v>249.04</v>
    <v>254.72</v>
    <v>249.68</v>
    <v>246.01</v>
    <v>247.76</v>
    <v>244.22</v>
    <v>243.81</v>
    <v>242.87</v>
    <v>242.02</v>
    <v>248.1</v>
    <v>237.76</v>
    <v>234.51</v>
    <v>235.35</v>
    <v>234.86</v>
    <v>230.2</v>
    <v>232.94</v>
    <v>227.34</v>
    <v>220.32</v>
    <v>225.34</v>
    <v>229.33</v>
    <v>221.91</v>
    <v>225.82</v>
    <v>232.02</v>
    <v>234.9</v>
    <v>232.88</v>
    <v>231.89</v>
    <v>235.3</v>
    <v>243.83</v>
    <v>247.37</v>
    <v>247.4</v>
    <v>248.82</v>
    <v>255.61</v>
    <v>251.18</v>
    <v>255</v>
    <v>252.96</v>
    <v>257.89</v>
    <v>252.2</v>
    <v>273.13</v>
    <v>288.95</v>
    <v>289.39999999999998</v>
    <v>300.95</v>
    <v>298.2</v>
    <v>298.08</v>
    <v>293.48</v>
    <v>289.05</v>
    <v>286.89999999999998</v>
    <v>278.75</v>
    <v>269.72000000000003</v>
    <v>276.64999999999998</v>
    <v>280.56</v>
    <v>278.38</v>
    <v>271.3</v>
    <v>271.95</v>
    <v>263.37</v>
    <v>259.55</v>
    <v>250.34</v>
    <v>243.03</v>
    <v>249.49</v>
    <v>250.89</v>
    <v>246.6</v>
    <v>238.5</v>
    <v>225.09</v>
    <v>228.54</v>
    <v>228.8</v>
    <v>232.01</v>
    <v>238.51</v>
    <v>243.17</v>
    <v>233.42</v>
    <v>233.26</v>
    <v>225.62</v>
    <v>222.68</v>
    <v>225.4</v>
    <v>226.55</v>
    <v>235.28</v>
    <v>228.16</v>
    <v>238.11</v>
    <v>235.16</v>
    <v>236.63</v>
    <v>233.78</v>
    <v>233.78</v>
    <v>232.92</v>
    <v>237.92</v>
    <v>234.03</v>
    <v>244.16</v>
    <v>239.26</v>
    <v>227.7</v>
    <v>228.27</v>
    <v>223.58</v>
    <v>224.41</v>
    <v>234.97</v>
    <v>231.31</v>
    <v>226.45</v>
    <v>218.56</v>
    <v>210.87</v>
    <v>207.35</v>
    <v>208.66</v>
    <v>195.53</v>
    <v>193.56</v>
    <v>184.04</v>
    <v>174.79</v>
    <v>171.32</v>
    <v>172.98</v>
    <v>196.26</v>
    <v>203.62</v>
    <v>191.92</v>
    <v>159.76</v>
    <v>174.43</v>
    <v>171.51</v>
    <v>165.92</v>
    <v>175.49</v>
    <v>167.83</v>
    <v>161.93</v>
    <v>162.21</v>
    <v>168.06</v>
    <v>163.94</v>
    <v>159.22</v>
    <v>152.27000000000001</v>
    <v>149.38</v>
    <v>144.16999999999999</v>
    <v>149.21</v>
    <v>151.91</v>
    <v>156.19</v>
    <v>151.25</v>
    <v>149.47999999999999</v>
    <v>139.91999999999999</v>
    <v>135.16999999999999</v>
    <v>130.51</v>
    <v>131.68</v>
    <v>136.41999999999999</v>
    <v>132.66999999999999</v>
    <v>124.29</v>
    <v>119.47</v>
    <v>123.84</v>
    <v>133.58000000000001</v>
    <v>138.72999999999999</v>
    <v>144.78</v>
    <v>140.41999999999999</v>
    <v>147.47</v>
    <v>148.57</v>
    <v>149.26</v>
    <v>146.04</v>
    <v>150.13</v>
    <v>157.31</v>
    <v>156.16</v>
    <v>151.02000000000001</v>
    <v>153.69999999999999</v>
    <v>158.84</v>
    <v>148.91</v>
    <v>145.63999999999999</v>
    <v>141.38999999999999</v>
    <v>141.28</v>
    <v>139.61000000000001</v>
    <v>138.9</v>
    <v>141.34</v>
    <v>136.27000000000001</v>
    <v>134.43</v>
    <v>137.41</v>
    <v>122.49</v>
    <v>112.62</v>
    <v>110.21</v>
    <v>112.14</v>
    <v>110.41</v>
    <v>96.67</v>
    <v>102.68</v>
    <v>101.65</v>
    <v>108.86</v>
    <v>109.49</v>
    <v>112.55</v>
    <v>105.59</v>
    <v>104.68</v>
    <v>94.44</v>
    <v>99.17</v>
    <v>91.94</v>
    <v>97.08</v>
    <v>106.09</v>
    <v>101.05</v>
    <v>105.06</v>
    <v>104.4</v>
    <v>105.77</v>
    <v>107.27</v>
    <v>109.07</v>
    <v>103.5</v>
    <v>108.79</v>
    <v>108.62</v>
    <v>112.97</v>
    <v>112.77</v>
    <v>110</v>
    <v>116.5</v>
    <v>112.23</v>
    <v>111.04</v>
    <v>109.43</v>
    <v>116.03</v>
    <v>111.93</v>
    <v>102.23</v>
    <v>98.61</v>
    <v>98.05</v>
    <v>105.35</v>
    <v>97.85</v>
    <v>99.27</v>
    <v>101.4</v>
    <v>99.33</v>
    <v>102.19</v>
    <v>107</v>
    <v>106.27</v>
    <v>99</v>
    <v>97.96</v>
    <v>93.83</v>
    <v>97.52</v>
    <v>104.83</v>
    <v>102.87</v>
    <v>105.83</v>
    <v>104.24</v>
    <v>99.15</v>
    <v>99.58</v>
    <v>99.21</v>
    <v>96.32</v>
    <v>102.33</v>
    <v>103.57</v>
    <v>108.68</v>
    <v>113.25</v>
    <v>115.62</v>
    <v>111.65</v>
    <v>110.42</v>
    <v>103.97</v>
    <v>116.61</v>
    <v>114.59</v>
    <v>113.02</v>
    <v>115.35</v>
    <v>116</v>
    <v>120.46</v>
    <v>122.4</v>
    <v>118.73</v>
    <v>119.7</v>
    <v>115.56</v>
    <v>120.09</v>
    <v>122.73</v>
    <v>123.63</v>
    <v>122.6</v>
    <v>120.1</v>
    <v>114.15</v>
    <v>114.39</v>
    <v>111.43</v>
    <v>109.6</v>
    <v>108.03</v>
    <v>110.05</v>
    <v>113.53</v>
    <v>109.31</v>
    <v>108.56</v>
    <v>107.23</v>
    <v>108.15</v>
    <v>106.52</v>
    <v>104.42</v>
    <v>102.59</v>
    <v>105.86</v>
    <v>105.18</v>
    <v>110.28</v>
    <v>111.34</v>
    <v>101.96</v>
    <v>102.45</v>
    <v>103.96</v>
    <v>100.34</v>
    <v>99.7</v>
    <v>97.26</v>
    <v>95.39</v>
    <v>92.45</v>
    <v>89.34</v>
    <v>89.14</v>
    <v>89.5</v>
    <v>92.88</v>
    <v>86.84</v>
    <v>86.3</v>
    <v>89</v>
    <v>94.63</v>
    <v>91.4</v>
    <v>92.25</v>
    <v>88.01</v>
    <v>85.97</v>
    <v>82.13</v>
    <v>83.18</v>
    <v>82.65</v>
    <v>81.790000000000006</v>
    <v>86.72</v>
    <v>88.04</v>
    <v>88.75</v>
    <v>87.74</v>
    <v>88.7</v>
    <v>94.66</v>
    <v>97.05</v>
    <v>84.42</v>
    <v>81.739999999999995</v>
    <v>83.36</v>
    <v>80.58</v>
    <v>80.17</v>
    <v>75</v>
    <v>71.72</v>
    <v>71.05</v>
    <v>73.44</v>
    <v>73.27</v>
    <v>71.400000000000006</v>
    <v>78.44</v>
    <v>83.71</v>
    <v>82.5</v>
    <v>85.11</v>
    <v>82.5</v>
    <v>79.45</v>
    <v>76.989999999999995</v>
    <v>74.12</v>
    <v>75.25</v>
    <v>78.260000000000005</v>
    <v>78.73</v>
    <v>76.73</v>
    <v>75.099999999999994</v>
    <v>79.42</v>
    <v>79.45</v>
    <v>80.31</v>
    <v>78.31</v>
    <v>75.16</v>
    <v>75.72</v>
    <v>77.8</v>
    <v>78.17</v>
    <v>79.73</v>
    <v>80.959999999999994</v>
    <v>79.319999999999993</v>
    <v>72.36</v>
    <v>74.739999999999995</v>
    <v>73.260000000000005</v>
    <v>76.510000000000005</v>
    <v>77.489999999999995</v>
    <v>77.959999999999994</v>
    <v>77.7</v>
    <v>76.52</v>
    <v>76.61</v>
    <v>79.010000000000005</v>
    <v>78.95</v>
    <v>81.900000000000006</v>
    <v>81.33</v>
    <v>81.58</v>
    <v>83.54</v>
    <v>85.04</v>
    <v>90.79</v>
    <v>91.75</v>
    <v>91.2</v>
    <v>92.06</v>
    <v>91.75</v>
    <v>92.73</v>
    <v>93.58</v>
    <v>97.91</v>
    <v>99.94</v>
    <v>99.29</v>
    <v>100.03</v>
    <v>101.3</v>
    <v>102.24</v>
    <v>100</v>
    <v>112.72</v>
    <v>118.14</v>
    <v>122.57</v>
    <v>121.17</v>
    <v>122.92</v>
    <v>125.38</v>
    <v>123.68</v>
    <v>120.83</v>
    <v>125.16</v>
    <v>122.32</v>
    <v>126.1</v>
    <v>128.27000000000001</v>
    <v>125.57</v>
    <v>125.33</v>
    <v>120.35</v>
    <v>120.07</v>
    <v>118.86</v>
    <v>117.14</v>
    <v>116.84</v>
    <v>116.3</v>
    <v>117.2</v>
    <v>118.48</v>
    <v>123.74</v>
    <v>126.38</v>
    <v>126.33</v>
    <v>126.99</v>
    <v>123.93</v>
    <v>121.66</v>
    <v>123.39</v>
    <v>125.54</v>
    <v>125.65</v>
    <v>129.21</v>
    <v>127.09</v>
    <v>126.41</v>
    <v>128.81</v>
    <v>128.19999999999999</v>
    <v>131.05000000000001</v>
    <v>128.30000000000001</v>
    <v>129.47999999999999</v>
    <v>128.12</v>
    <v>129.87</v>
    <v>130.83000000000001</v>
    <v>133.62</v>
    <v>136.44</v>
    <v>134.88</v>
    <v>131.25</v>
    <v>132.47999999999999</v>
    <v>132.25</v>
    <v>131.28</v>
    <v>130.91999999999999</v>
    <v>134.96</v>
    <v>134.74</v>
    <v>133.78</v>
    <v>134.57</v>
    <v>133.56</v>
    <v>133.33000000000001</v>
    <v>133.76</v>
    <v>131.44999999999999</v>
    <v>138.19999999999999</v>
    <v>133.12</v>
    <v>132.16999999999999</v>
    <v>133.6</v>
    <v>138.43</v>
    <v>136.38999999999999</v>
    <v>138.06</v>
    <v>140.47999999999999</v>
    <v>141.75</v>
    <v>144.53</v>
    <v>143.69999999999999</v>
    <v>147.74</v>
    <v>147.06</v>
    <v>142.53</v>
    <v>144.22</v>
    <v>146.32</v>
    <v>146</v>
    <v>151.47999999999999</v>
    <v>149.43</v>
    <v>148.6</v>
    <v>147.66999999999999</v>
    <v>147.04</v>
    <v>147.65</v>
    <v>150.31</v>
    <v>148.01</v>
    <v>148.9</v>
    <v>153.91999999999999</v>
    <v>151.74</v>
    <v>156.34</v>
    <v>153.03</v>
    <v>148.31</v>
    <v>149.47</v>
    <v>150.47999999999999</v>
    <v>150.6</v>
    <v>151.54</v>
    <v>151.65</v>
    <v>152.18</v>
    <v>159.99</v>
    <v>156.82</v>
    <v>155.93</v>
    <v>159.09</v>
    <v>157.49</v>
    <v>153.78</v>
    <v>158.62</v>
    <v>160.57</v>
    <v>159.26</v>
    <v>160.55000000000001</v>
    <v>160.56</v>
    <v>160.72999999999999</v>
    <v>156.62</v>
    <v>156.97</v>
    <v>157.38999999999999</v>
    <v>160.58000000000001</v>
    <v>165.79</v>
    <v>171.1</v>
    <v>172.03</v>
    <v>179.17</v>
    <v>179.58</v>
    <v>179.84</v>
    <v>172.48</v>
    <v>171.71</v>
    <v>163.72</v>
    <v>140.38</v>
    <v>149.13</v>
    <v>144.52000000000001</v>
    <v>148.6</v>
    <v>149.41</v>
    <v>150.84</v>
    <v>146.51</v>
    <v>145.41999999999999</v>
    <v>144.12</v>
    <v>141.99</v>
    <v>138.37</v>
    <v>139.09</v>
    <v>136.43</v>
    <v>138.68</v>
    <v>139.38</v>
    <v>133.43</v>
    <v>134.35</v>
    <v>131.57</v>
    <v>131.87</v>
    <v>132.49</v>
    <v>133.44</v>
    <v>138.24</v>
    <v>135.76</v>
    <v>137.22</v>
    <v>141.26</v>
    <v>144.51</v>
    <v>149.44999999999999</v>
    <v>153.97</v>
    <v>157.56</v>
    <v>159.32</v>
    <v>160.47</v>
    <v>160.1</v>
    <v>155.47</v>
    <v>157.66</v>
    <v>154.65</v>
    <v>155.49</v>
    <v>157.15</v>
    <v>158.58000000000001</v>
    <v>159.24</v>
    <v>160.16999999999999</v>
    <v>160.77000000000001</v>
    <v>154.06</v>
    <v>156.35</v>
    <v>155.52000000000001</v>
    <v>152.36000000000001</v>
    <v>153.75</v>
    <v>153.53</v>
    <v>154.63999999999999</v>
    <v>158.11000000000001</v>
    <v>154.51</v>
    <v>159.58000000000001</v>
    <v>157.31</v>
    <v>160.53</v>
    <v>156.44999999999999</v>
    <v>157.6</v>
    <v>156.57</v>
    <v>158.12</v>
    <v>153.56</v>
    <v>158.12</v>
    <v>157.33000000000001</v>
    <v>148.91999999999999</v>
    <v>149.97</v>
    <v>149.91999999999999</v>
    <v>154.61000000000001</v>
    <v>170.63</v>
    <v>161.82</v>
    <v>158.38</v>
    <v>159.35</v>
    <v>162.66999999999999</v>
    <v>164.76</v>
    <v>167.63</v>
    <v>167.31</v>
    <v>169.98</v>
    <v>167.24</v>
    <v>165.5</v>
    <v>169.97</v>
    <v>170.28</v>
    <v>170.98</v>
    <v>171.17</v>
    <v>174.41</v>
    <v>173.76</v>
    <v>175.28</v>
    <v>176.05</v>
    <v>179.86</v>
    <v>178.68</v>
    <v>181.2</v>
    <v>181.7</v>
    <v>183.04</v>
    <v>182.61</v>
    <v>182.31</v>
    <v>185.11</v>
    <v>180.69</v>
    <v>194.17</v>
    <v>199.32</v>
    <v>193.79</v>
    <v>195.82</v>
    <v>198.05</v>
    <v>197.76</v>
    <v>199</v>
    <v>199.49</v>
    <v>196.15</v>
    <v>192.17</v>
    <v>193.04</v>
    <v>190.83</v>
    <v>188.71</v>
    <v>192.85</v>
    <v>189.59</v>
    <v>189.88</v>
    <v>190.27</v>
    <v>188.75</v>
    <v>187.91</v>
    <v>188.8</v>
    <v>187.94</v>
    <v>192.58</v>
    <v>193.52</v>
    <v>197.25</v>
    <v>193.02</v>
    <v>196.79</v>
    <v>200.82</v>
    <v>203.03</v>
    <v>203.35</v>
    <v>198.68</v>
    <v>204.82</v>
    <v>204.71</v>
    <v>205.67</v>
    <v>206.71</v>
    <v>211.14</v>
    <v>214.18</v>
    <v>214.29</v>
    <v>218.61</v>
    <v>217.62</v>
    <v>215.35</v>
    <v>218.96</v>
    <v>222.47</v>
    <v>223.25</v>
    <v>231.92</v>
    <v>240.83</v>
    <v>240.01</v>
    <v>240.77</v>
    <v>234.68</v>
    <v>238</v>
    <v>244.17</v>
    <v>245.51</v>
    <v>246.25</v>
    <v>243.4</v>
    <v>245.09</v>
    <v>248.12</v>
    <v>256.10000000000002</v>
    <v>254.99</v>
    <v>253.02</v>
    <v>252.25</v>
    <v>256.41000000000003</v>
    <v>263.75</v>
    <v>270</v>
    <v>267</v>
    <v>268.02999999999997</v>
    <v>270.35000000000002</v>
    <v>259.39999999999998</v>
    <v>254.45</v>
    <v>258.08999999999997</v>
    <v>257.26</v>
    <v>257.13</v>
    <v>254.89</v>
    <v>254.15</v>
    <v>252.76</v>
    <v>261.72000000000003</v>
    <v>259.64</v>
    <v>264.95</v>
    <v>261.92</v>
    <v>262.81</v>
    <v>260.2</v>
    <v>263.89999999999998</v>
    <v>266.43</v>
    <v>269.58</v>
    <v>291.77</v>
    <v>295.95999999999998</v>
    <v>310.31</v>
    <v>309.07</v>
    <v>300.73</v>
    <v>299.99</v>
    <v>303.57</v>
    <v>300.45</v>
    <v>290.52</v>
    <v>298.08</v>
    <v>293.58</v>
    <v>289.2</v>
    <v>275.83</v>
    <v>272.24</v>
    <v>303.31</v>
    <v>281.23</v>
    <v>289.02</v>
    <v>289.58999999999997</v>
    <v>286.24</v>
    <v>280.44</v>
    <v>284.54000000000002</v>
    <v>294.17</v>
    <v>296.07</v>
    <v>299.48</v>
    <v>298.05</v>
    <v>298.64999999999998</v>
    <v>298.66000000000003</v>
    <v>294.60000000000002</v>
    <v>289.70999999999998</v>
    <v>290.12</v>
    <v>303.04000000000002</v>
    <v>298.12</v>
    <v>302.82</v>
    <v>308.20999999999998</v>
    <v>304.93</v>
    <v>298.76</v>
    <v>300.51</v>
    <v>308.16000000000003</v>
    <v>310.29000000000002</v>
    <v>307.52</v>
    <v>304.69</v>
    <v>296.77999999999997</v>
    <v>313.62</v>
    <v>326.68</v>
    <v>324.75</v>
    <v>319.51</v>
    <v>308.20999999999998</v>
    <v>309</v>
    <v>310</v>
    <v>315.49</v>
    <v>306.01</v>
    <v>313.02</v>
    <v>311.22000000000003</v>
    <v>309.89999999999998</v>
    <v>313.89</v>
    <v>317.74</v>
    <v>314.99</v>
    <v>321.27999999999997</v>
    <v>318.95999999999998</v>
    <v>315.38</v>
    <v>313.79000000000002</v>
    <v>313.83999999999997</v>
    <v>315.55</v>
    <v>314.8</v>
    <v>316.85000000000002</v>
    <v>313.70999999999998</v>
    <v>311.55</v>
    <v>304.99</v>
    <v>300.98</v>
    <v>302.27</v>
    <v>302.14999999999998</v>
    <v>298.5</v>
    <v>294.74</v>
    <v>290.16000000000003</v>
    <v>295.08999999999997</v>
    <v>295.45</v>
    <v>330.79</v>
    <v>336.52</v>
    <v>328.95</v>
    <v>321.88</v>
    <v>323.74</v>
    <v>330.35</v>
    <v>343.94</v>
    <v>336.5</v>
    <v>330.85</v>
    <v>324.02999999999997</v>
    <v>327.3</v>
    <v>323.33999999999997</v>
    <v>338.32</v>
    <v>339.9</v>
    <v>340.36</v>
    <v>334.74</v>
    <v>334.35</v>
    <v>335.59</v>
    <v>337.38</v>
    <v>344.69</v>
    <v>346.28</v>
    <v>343.69</v>
    <v>342.2</v>
    <v>342.49</v>
    <v>336.07</v>
    <v>339.47</v>
    <v>337.56</v>
    <v>340.73</v>
    <v>342.88</v>
    <v>328.6</v>
    <v>329.25</v>
    <v>328.63</v>
    <v>322.77</v>
    <v>324.07</v>
    <v>327</v>
    <v>336.66</v>
    <v>337.51</v>
    <v>337.9</v>
    <v>338.83</v>
    <v>342.15</v>
    <v>343.97</v>
    <v>360.22</v>
    <v>365.17</v>
    <v>369.01</v>
    <v>380.36</v>
    <v>383.96</v>
    <v>379.16</v>
    <v>369.2</v>
    <v>368.53</v>
    <v>375.4</v>
    <v>374.75</v>
    <v>372.6</v>
    <v>371.45</v>
    <v>362.95</v>
    <v>370.38</v>
    <v>373.98</v>
    <v>378</v>
    <v>373.7</v>
    <v>372.5</v>
    <v>372.6</v>
    <v>371.69</v>
    <v>366.75</v>
    <v>378.88</v>
    <v>381.97</v>
    <v>387.63</v>
    <v>379.84</v>
    <v>376.87</v>
    <v>379.16</v>
    <v>384.36</v>
    <v>391.23</v>
    <v>394.02</v>
    <v>385.1</v>
    <v>384.5</v>
    <v>377.73</v>
    <v>382.63</v>
    <v>391.16</v>
    <v>399.84</v>
    <v>400.68</v>
    <v>410.19</v>
    <v>419.39</v>
    <v>467.37</v>
    <v>477.5</v>
    <v>458.32</v>
    <v>454.36</v>
    <v>463.83</v>
    <v>470.01</v>
    <v>470.7</v>
    <v>475.04</v>
    <v>481.38</v>
    <v>476.61</v>
    <v>475.24</v>
    <v>476.96</v>
    <v>480.27</v>
    <v>493.32</v>
    <v>502.38</v>
    <v>493.51</v>
    <v>498.63</v>
    <v>482.52</v>
    <v>471.58</v>
    <v>476.91</v>
    <v>480.11</v>
    <v>483.31</v>
    <v>484.9</v>
    <v>474.37</v>
    <v>448.65</v>
    <v>454.16</v>
    <v>460.88</v>
    <v>456.29</v>
    <v>461.64</v>
    <v>457.98</v>
    <v>456.48</v>
    <v>451.79</v>
    <v>447.38</v>
  </a>
  <a r="1" c="1027">
    <v>15.06</v>
    <v>15.57</v>
    <v>15.22</v>
    <v>16.690000000000001</v>
    <v>17.190000000000001</v>
    <v>19.47</v>
    <v>18.25</v>
    <v>18.850000000000001</v>
    <v>18.309999999999999</v>
    <v>17.260000000000002</v>
    <v>17.920000000000002</v>
    <v>18.37</v>
    <v>18.559999999999999</v>
    <v>16.87</v>
    <v>17.38</v>
    <v>16.88</v>
    <v>16.87</v>
    <v>16.79</v>
    <v>16.309999999999999</v>
    <v>16.440000000000001</v>
    <v>16.84</v>
    <v>16.77</v>
    <v>17.14</v>
    <v>18.2</v>
    <v>21.32</v>
    <v>20.45</v>
    <v>22.29</v>
    <v>22.77</v>
    <v>23.86</v>
    <v>22.6</v>
    <v>22.14</v>
    <v>20.88</v>
    <v>21.31</v>
    <v>20.56</v>
    <v>19.23</v>
    <v>18.91</v>
    <v>19.03</v>
    <v>18.14</v>
    <v>18.38</v>
    <v>18.73</v>
    <v>17.760000000000002</v>
    <v>18.149999999999999</v>
    <v>17.64</v>
    <v>16.260000000000002</v>
    <v>16.5</v>
    <v>16.55</v>
    <v>16.84</v>
    <v>16.440000000000001</v>
    <v>16.41</v>
    <v>16.52</v>
    <v>16.5</v>
    <v>18.48</v>
    <v>17.88</v>
    <v>17</v>
    <v>17.899999999999999</v>
    <v>18.87</v>
    <v>18.14</v>
    <v>19.309999999999999</v>
    <v>17.59</v>
    <v>16.61</v>
    <v>18.3</v>
    <v>18.57</v>
    <v>18.75</v>
    <v>17.52</v>
    <v>18.149999999999999</v>
    <v>20.62</v>
    <v>20.86</v>
    <v>20.86</v>
    <v>22.33</v>
    <v>24.17</v>
    <v>23.14</v>
    <v>21.31</v>
    <v>22.04</v>
    <v>22.65</v>
    <v>22.41</v>
    <v>21.79</v>
    <v>19.86</v>
    <v>19.57</v>
    <v>20.37</v>
    <v>22.75</v>
    <v>23.58</v>
    <v>25.63</v>
    <v>26.17</v>
    <v>25</v>
    <v>24.63</v>
    <v>24.03</v>
    <v>23.62</v>
    <v>22.72</v>
    <v>22.02</v>
    <v>21.23</v>
    <v>21.32</v>
    <v>22.87</v>
    <v>22.15</v>
    <v>22.67</v>
    <v>22.84</v>
    <v>21.47</v>
    <v>22.41</v>
    <v>22.27</v>
    <v>23.71</v>
    <v>24.75</v>
    <v>23.78</v>
    <v>23.27</v>
    <v>22.5</v>
    <v>23.01</v>
    <v>24.68</v>
    <v>26.63</v>
    <v>25.72</v>
    <v>25.96</v>
    <v>27.85</v>
    <v>27.45</v>
    <v>28.81</v>
    <v>26.35</v>
    <v>25.72</v>
    <v>25.5</v>
    <v>26.36</v>
    <v>25.62</v>
    <v>24.32</v>
    <v>24.04</v>
    <v>23.95</v>
    <v>24.32</v>
    <v>23.61</v>
    <v>24.67</v>
    <v>26.08</v>
    <v>25.93</v>
    <v>26.67</v>
    <v>26.12</v>
    <v>25.89</v>
    <v>26.26</v>
    <v>25.64</v>
    <v>26.41</v>
    <v>27.36</v>
    <v>27.75</v>
    <v>28.66</v>
    <v>26.75</v>
    <v>26.94</v>
    <v>25.8</v>
    <v>23.82</v>
    <v>22.71</v>
    <v>23.31</v>
    <v>23.11</v>
    <v>23.49</v>
    <v>24.28</v>
    <v>23.64</v>
    <v>23.21</v>
    <v>23.36</v>
    <v>24</v>
    <v>24.07</v>
    <v>24.09</v>
    <v>22.48</v>
    <v>22.93</v>
    <v>22.63</v>
    <v>24.54</v>
    <v>25</v>
    <v>24.22</v>
    <v>23.26</v>
    <v>23.2</v>
    <v>21.89</v>
    <v>21.5</v>
    <v>22.06</v>
    <v>23.06</v>
    <v>23.04</v>
    <v>23.13</v>
    <v>24.15</v>
    <v>23.84</v>
    <v>24.55</v>
    <v>25.47</v>
    <v>26.48</v>
    <v>25.07</v>
    <v>25.87</v>
    <v>25.24</v>
    <v>25.31</v>
    <v>25.91</v>
    <v>27.03</v>
    <v>28.31</v>
    <v>28.35</v>
    <v>28.08</v>
    <v>28.98</v>
    <v>28.98</v>
    <v>28.26</v>
    <v>29.45</v>
    <v>27.33</v>
    <v>27.01</v>
    <v>27.26</v>
    <v>27.87</v>
    <v>27.31</v>
    <v>26.64</v>
    <v>27.62</v>
    <v>27.06</v>
    <v>26.75</v>
    <v>26.96</v>
    <v>26.94</v>
    <v>26.22</v>
    <v>26.48</v>
    <v>25.44</v>
    <v>25.72</v>
    <v>25.92</v>
    <v>25.38</v>
    <v>24.45</v>
    <v>25.67</v>
    <v>25.39</v>
    <v>23.36</v>
    <v>21.84</v>
    <v>21.48</v>
    <v>21.49</v>
    <v>21.88</v>
    <v>21.85</v>
    <v>22.85</v>
    <v>22.42</v>
    <v>21.86</v>
    <v>21.97</v>
    <v>21.72</v>
    <v>21.9</v>
    <v>22.44</v>
    <v>20.5</v>
    <v>20.78</v>
    <v>20.7</v>
    <v>21.32</v>
    <v>21.8</v>
    <v>21.45</v>
    <v>22.44</v>
    <v>22.11</v>
    <v>21.85</v>
    <v>22.1</v>
    <v>22.46</v>
    <v>22.21</v>
    <v>22.88</v>
    <v>24.6</v>
    <v>24.34</v>
    <v>23.32</v>
    <v>23.38</v>
    <v>26.39</v>
    <v>25.67</v>
    <v>25.86</v>
    <v>26.37</v>
    <v>26.32</v>
    <v>26.17</v>
    <v>26.88</v>
    <v>26.11</v>
    <v>25.23</v>
    <v>26.62</v>
    <v>26.4</v>
    <v>25.73</v>
    <v>25.3</v>
    <v>24.5</v>
    <v>24.29</v>
    <v>24.52</v>
    <v>25.57</v>
    <v>25.61</v>
    <v>25.13</v>
    <v>24.27</v>
    <v>23.27</v>
    <v>22.61</v>
    <v>22.34</v>
    <v>22.38</v>
    <v>22.57</v>
    <v>22.65</v>
    <v>23.52</v>
    <v>23.59</v>
    <v>23.04</v>
    <v>22.73</v>
    <v>22.21</v>
    <v>22.98</v>
    <v>22.6</v>
    <v>23.45</v>
    <v>23.08</v>
    <v>22.15</v>
    <v>22.63</v>
    <v>22.92</v>
    <v>23.15</v>
    <v>23.71</v>
    <v>23.41</v>
    <v>23.29</v>
    <v>23.23</v>
    <v>23.81</v>
    <v>23.93</v>
    <v>24.68</v>
    <v>25.26</v>
    <v>24.77</v>
    <v>25.4</v>
    <v>24.69</v>
    <v>24.39</v>
    <v>25.7</v>
    <v>25.42</v>
    <v>25.39</v>
    <v>24.01</v>
    <v>22.59</v>
    <v>21.3</v>
    <v>19.25</v>
    <v>19.420000000000002</v>
    <v>18.98</v>
    <v>18.61</v>
    <v>18.59</v>
    <v>19.54</v>
    <v>20.72</v>
    <v>21.58</v>
    <v>22.02</v>
    <v>22.04</v>
    <v>22.2</v>
    <v>22.18</v>
    <v>23.19</v>
    <v>23.92</v>
    <v>24.23</v>
    <v>23.68</v>
    <v>23.31</v>
    <v>24.79</v>
    <v>24.54</v>
    <v>24.21</v>
    <v>24.09</v>
    <v>23.84</v>
    <v>23.37</v>
    <v>24.36</v>
    <v>26.91</v>
    <v>27.21</v>
    <v>27.73</v>
    <v>28.82</v>
    <v>30.81</v>
    <v>31.42</v>
    <v>31.2</v>
    <v>29.31</v>
    <v>31.03</v>
    <v>33.299999999999997</v>
    <v>33.340000000000003</v>
    <v>32.21</v>
    <v>32.049999999999997</v>
    <v>32.72</v>
    <v>34.549999999999997</v>
    <v>32.96</v>
    <v>35.46</v>
    <v>35.11</v>
    <v>35.869999999999997</v>
    <v>38.200000000000003</v>
    <v>38.450000000000003</v>
    <v>37.65</v>
    <v>36.229999999999997</v>
    <v>37.04</v>
    <v>37.74</v>
    <v>37.83</v>
    <v>37.25</v>
    <v>36.78</v>
    <v>35.83</v>
    <v>36.19</v>
    <v>35.950000000000003</v>
    <v>35.67</v>
    <v>36.229999999999997</v>
    <v>36.869999999999997</v>
    <v>37.04</v>
    <v>37.159999999999997</v>
    <v>37.78</v>
    <v>36.909999999999997</v>
    <v>34.67</v>
    <v>33.590000000000003</v>
    <v>32.630000000000003</v>
    <v>31.59</v>
    <v>31.82</v>
    <v>32.229999999999997</v>
    <v>30.49</v>
    <v>29.81</v>
    <v>29.47</v>
    <v>30.21</v>
    <v>27.85</v>
    <v>27.22</v>
    <v>25.9</v>
    <v>25.54</v>
    <v>24.72</v>
    <v>24.22</v>
    <v>24.4</v>
    <v>24.3</v>
    <v>25.23</v>
    <v>23.99</v>
    <v>24.25</v>
    <v>23.79</v>
    <v>25.06</v>
    <v>24.32</v>
    <v>24.63</v>
    <v>25.69</v>
    <v>26.58</v>
    <v>25.07</v>
    <v>25</v>
    <v>25.16</v>
    <v>24.94</v>
    <v>25.5</v>
    <v>25.8</v>
    <v>24.31</v>
    <v>22.68</v>
    <v>22.15</v>
    <v>20.239999999999998</v>
    <v>20.059999999999999</v>
    <v>20.58</v>
    <v>19.579999999999998</v>
    <v>19.89</v>
    <v>19.600000000000001</v>
    <v>19.07</v>
    <v>19.010000000000002</v>
    <v>19.84</v>
    <v>19.440000000000001</v>
    <v>19</v>
    <v>18.54</v>
    <v>17.91</v>
    <v>17.91</v>
    <v>17.02</v>
    <v>17.05</v>
    <v>17.850000000000001</v>
    <v>17.62</v>
    <v>17.5</v>
    <v>17.5</v>
    <v>18.07</v>
    <v>17.34</v>
    <v>17.73</v>
    <v>18.5</v>
    <v>19.28</v>
    <v>19.75</v>
    <v>20.36</v>
    <v>19.760000000000002</v>
    <v>20.3</v>
    <v>20.399999999999999</v>
    <v>21.24</v>
    <v>21.7</v>
    <v>23.65</v>
    <v>23.8</v>
    <v>22.99</v>
    <v>22.71</v>
    <v>23.03</v>
    <v>23.32</v>
    <v>23.69</v>
    <v>24.48</v>
    <v>25.06</v>
    <v>24.82</v>
    <v>25.25</v>
    <v>24.41</v>
    <v>24.89</v>
    <v>23.38</v>
    <v>23.67</v>
    <v>23.14</v>
    <v>22.61</v>
    <v>23.26</v>
    <v>24.05</v>
    <v>25.84</v>
    <v>25.36</v>
    <v>25.39</v>
    <v>23.67</v>
    <v>22.87</v>
    <v>21.48</v>
    <v>21.71</v>
    <v>21.98</v>
    <v>23.17</v>
    <v>24.29</v>
    <v>25.22</v>
    <v>23.93</v>
    <v>22.36</v>
    <v>20.43</v>
    <v>20.3</v>
    <v>20.14</v>
    <v>20.49</v>
    <v>20.329999999999998</v>
    <v>19.850000000000001</v>
    <v>19.68</v>
    <v>18.59</v>
    <v>18.2</v>
    <v>18.64</v>
    <v>18.73</v>
    <v>18.54</v>
    <v>18.12</v>
    <v>19.39</v>
    <v>20.43</v>
    <v>20.190000000000001</v>
    <v>19.62</v>
    <v>18.809999999999999</v>
    <v>19.32</v>
    <v>19.45</v>
    <v>19.329999999999998</v>
    <v>19.86</v>
    <v>18.850000000000001</v>
    <v>19.649999999999999</v>
    <v>20.07</v>
    <v>19.54</v>
    <v>20.04</v>
    <v>21.65</v>
    <v>21.44</v>
    <v>21.43</v>
    <v>21.95</v>
    <v>21.41</v>
    <v>20.51</v>
    <v>20.36</v>
    <v>20.61</v>
    <v>19.39</v>
    <v>18.96</v>
    <v>20.62</v>
    <v>21.25</v>
    <v>22.13</v>
    <v>20.78</v>
    <v>22.06</v>
    <v>23.87</v>
    <v>24.19</v>
    <v>24.21</v>
    <v>24.07</v>
    <v>23.73</v>
    <v>23.57</v>
    <v>24.46</v>
    <v>25.85</v>
    <v>26.01</v>
    <v>25.85</v>
    <v>25.48</v>
    <v>25.75</v>
    <v>26.29</v>
    <v>26.52</v>
    <v>27.04</v>
    <v>26.27</v>
    <v>27.2</v>
    <v>26.65</v>
    <v>26.11</v>
    <v>25.41</v>
    <v>25.81</v>
    <v>25.77</v>
    <v>24.56</v>
    <v>23.64</v>
    <v>25</v>
    <v>24.69</v>
    <v>25.39</v>
    <v>26.73</v>
    <v>26.06</v>
    <v>25.96</v>
    <v>26.06</v>
    <v>24.89</v>
    <v>25.57</v>
    <v>25.05</v>
    <v>25.04</v>
    <v>25.23</v>
    <v>25.45</v>
    <v>26.9</v>
    <v>26.47</v>
    <v>27.69</v>
    <v>27.56</v>
    <v>28.77</v>
    <v>28.35</v>
    <v>28.11</v>
    <v>27.84</v>
    <v>27.64</v>
    <v>28.21</v>
    <v>28.2</v>
    <v>27.93</v>
    <v>28.79</v>
    <v>29.26</v>
    <v>28.83</v>
    <v>28.35</v>
    <v>28.49</v>
    <v>29.34</v>
    <v>29.23</v>
    <v>30.05</v>
    <v>30.08</v>
    <v>28.1</v>
    <v>28.67</v>
    <v>28.1</v>
    <v>27.95</v>
    <v>28.24</v>
    <v>29.21</v>
    <v>29.92</v>
    <v>29.79</v>
    <v>28.02</v>
    <v>28.34</v>
    <v>28.39</v>
    <v>28.31</v>
    <v>28.27</v>
    <v>28.91</v>
    <v>30.63</v>
    <v>30.64</v>
    <v>31.02</v>
    <v>31.37</v>
    <v>29.99</v>
    <v>28.97</v>
    <v>29.6</v>
    <v>28.81</v>
    <v>27.21</v>
    <v>26.8</v>
    <v>27.05</v>
    <v>24.44</v>
    <v>24.52</v>
    <v>23.97</v>
    <v>24.91</v>
    <v>25.86</v>
    <v>25.2</v>
    <v>25</v>
    <v>25</v>
    <v>25.5</v>
    <v>25.76</v>
    <v>26.11</v>
    <v>26.12</v>
    <v>26.1</v>
    <v>26.33</v>
    <v>24.82</v>
    <v>24.53</v>
    <v>24.8</v>
    <v>25.42</v>
    <v>26.02</v>
    <v>25.8</v>
    <v>26.28</v>
    <v>25.78</v>
    <v>26.26</v>
    <v>26.66</v>
    <v>25.96</v>
    <v>25.77</v>
    <v>25.01</v>
    <v>25.23</v>
    <v>24.18</v>
    <v>23.48</v>
    <v>23.73</v>
    <v>22.88</v>
    <v>22.89</v>
    <v>22.57</v>
    <v>21.75</v>
    <v>20.96</v>
    <v>21.68</v>
    <v>21.59</v>
    <v>21.59</v>
    <v>21.36</v>
    <v>21.21</v>
    <v>21.13</v>
    <v>21.44</v>
    <v>20.98</v>
    <v>21.9</v>
    <v>22.17</v>
    <v>21.82</v>
    <v>21.7</v>
    <v>21.61</v>
    <v>21.22</v>
    <v>21.48</v>
    <v>21.71</v>
    <v>21.28</v>
    <v>20.92</v>
    <v>20.8</v>
    <v>21.95</v>
    <v>21.92</v>
    <v>22.63</v>
    <v>22.77</v>
    <v>22.73</v>
    <v>22.35</v>
    <v>22.52</v>
    <v>23.88</v>
    <v>23.56</v>
    <v>23.86</v>
    <v>23.41</v>
    <v>23.47</v>
    <v>23.39</v>
    <v>23.42</v>
    <v>23.33</v>
    <v>23.89</v>
    <v>24.7</v>
    <v>24.45</v>
    <v>24.99</v>
    <v>25.01</v>
    <v>25.2</v>
    <v>23.96</v>
    <v>23.17</v>
    <v>24.09</v>
    <v>24.24</v>
    <v>24.63</v>
    <v>25.07</v>
    <v>25.02</v>
    <v>24.51</v>
    <v>24.61</v>
    <v>25</v>
    <v>24.64</v>
    <v>24.67</v>
    <v>24.22</v>
    <v>24.71</v>
    <v>25.5</v>
    <v>25.68</v>
    <v>25.03</v>
    <v>24.67</v>
    <v>25.5</v>
    <v>25.73</v>
    <v>24.49</v>
    <v>24.26</v>
    <v>24.11</v>
    <v>24.33</v>
    <v>23.9</v>
    <v>23.61</v>
    <v>22.5</v>
    <v>22.72</v>
    <v>31.08</v>
    <v>30.23</v>
    <v>30.65</v>
    <v>30.71</v>
    <v>30.99</v>
    <v>31.93</v>
    <v>32.020000000000003</v>
    <v>31.32</v>
    <v>30.45</v>
    <v>30.29</v>
    <v>29.92</v>
    <v>30.87</v>
    <v>30.73</v>
    <v>31.09</v>
    <v>31.04</v>
    <v>31.18</v>
    <v>31.02</v>
    <v>30.82</v>
    <v>30.76</v>
    <v>30.57</v>
    <v>30.25</v>
    <v>30.28</v>
    <v>30.84</v>
    <v>30.68</v>
    <v>30.53</v>
    <v>31.66</v>
    <v>31.42</v>
    <v>31.23</v>
    <v>32</v>
    <v>32.049999999999997</v>
    <v>31.57</v>
    <v>32.1</v>
    <v>32.25</v>
    <v>32.479999999999997</v>
    <v>32.770000000000003</v>
    <v>32.89</v>
    <v>32.61</v>
    <v>33</v>
    <v>33.07</v>
    <v>33.01</v>
    <v>33.08</v>
    <v>33.53</v>
    <v>33.57</v>
    <v>33.25</v>
    <v>33</v>
    <v>33.200000000000003</v>
    <v>32.46</v>
    <v>32.020000000000003</v>
    <v>31.84</v>
    <v>31.66</v>
    <v>32.479999999999997</v>
    <v>32.4</v>
    <v>32.57</v>
    <v>33.590000000000003</v>
    <v>33.869999999999997</v>
    <v>33.89</v>
    <v>34.25</v>
    <v>34.24</v>
    <v>34.24</v>
    <v>34.51</v>
    <v>34.18</v>
    <v>34.14</v>
    <v>33.979999999999997</v>
    <v>34.35</v>
    <v>34.08</v>
    <v>34.4</v>
    <v>34.36</v>
    <v>34.43</v>
    <v>34.18</v>
    <v>34.11</v>
    <v>34.32</v>
    <v>34.700000000000003</v>
    <v>34.85</v>
    <v>34.82</v>
    <v>35.42</v>
    <v>35.58</v>
    <v>35.9</v>
    <v>36.24</v>
    <v>36.53</v>
    <v>36.21</v>
    <v>35.81</v>
    <v>35.93</v>
    <v>35.9</v>
    <v>36.14</v>
    <v>36.39</v>
    <v>38.590000000000003</v>
    <v>38.86</v>
    <v>39.33</v>
    <v>49.59</v>
    <v>48.38</v>
    <v>47.82</v>
    <v>48.16</v>
    <v>47.97</v>
    <v>48.35</v>
    <v>48.61</v>
    <v>48.66</v>
    <v>48.65</v>
    <v>47.96</v>
    <v>47.85</v>
    <v>47.9</v>
    <v>48.35</v>
    <v>48.49</v>
    <v>48.4</v>
    <v>48.28</v>
    <v>47.73</v>
    <v>47.4</v>
    <v>47.23</v>
    <v>47.22</v>
    <v>47.45</v>
    <v>47.83</v>
    <v>47.91</v>
    <v>48.21</v>
    <v>48.37</v>
    <v>48.38</v>
    <v>48.31</v>
    <v>48.25</v>
    <v>48.17</v>
    <v>47.02</v>
    <v>46.63</v>
    <v>45.85</v>
    <v>45.5</v>
    <v>45.59</v>
    <v>46.07</v>
    <v>46.36</v>
    <v>46.29</v>
    <v>45.71</v>
    <v>45.6</v>
    <v>45.64</v>
    <v>45.78</v>
    <v>46</v>
    <v>45.78</v>
    <v>46.17</v>
    <v>46.52</v>
    <v>47.26</v>
    <v>47.65</v>
    <v>47.38</v>
    <v>47.51</v>
    <v>47.34</v>
    <v>47.4</v>
    <v>47.69</v>
    <v>47.76</v>
    <v>47.2</v>
    <v>47.57</v>
    <v>47.44</v>
    <v>47.1</v>
    <v>46.84</v>
    <v>40.86</v>
    <v>38.26</v>
    <v>38.85</v>
    <v>38.869999999999997</v>
    <v>39.75</v>
    <v>39.69</v>
    <v>40.049999999999997</v>
    <v>39.659999999999997</v>
    <v>40.25</v>
    <v>40.69</v>
    <v>41.02</v>
    <v>40.78</v>
    <v>41.83</v>
    <v>41.4</v>
    <v>41.88</v>
    <v>41.1</v>
    <v>41.22</v>
    <v>40.549999999999997</v>
    <v>41.93</v>
    <v>42.61</v>
    <v>42.23</v>
    <v>41.33</v>
    <v>40.82</v>
    <v>40.299999999999997</v>
    <v>39.130000000000003</v>
    <v>38.94</v>
    <v>38.590000000000003</v>
    <v>38.840000000000003</v>
    <v>37.94</v>
    <v>36.6</v>
    <v>37.17</v>
    <v>37.42</v>
    <v>36.96</v>
    <v>36.5</v>
    <v>36.979999999999997</v>
    <v>37.049999999999997</v>
    <v>36.47</v>
    <v>38.04</v>
    <v>38.130000000000003</v>
    <v>38.35</v>
    <v>38.22</v>
    <v>38.020000000000003</v>
    <v>37.97</v>
    <v>38</v>
    <v>38.229999999999997</v>
    <v>37.35</v>
    <v>35.909999999999997</v>
    <v>36.75</v>
    <v>36.159999999999997</v>
    <v>36.22</v>
    <v>35.93</v>
    <v>35.909999999999997</v>
    <v>36.82</v>
    <v>37.119999999999997</v>
    <v>38.119999999999997</v>
    <v>38.35</v>
    <v>38.729999999999997</v>
    <v>38.090000000000003</v>
    <v>38.369999999999997</v>
    <v>38.32</v>
    <v>38.270000000000003</v>
    <v>38.049999999999997</v>
    <v>37.24</v>
    <v>37.24</v>
    <v>36.76</v>
    <v>36.46</v>
    <v>36.869999999999997</v>
    <v>37.07</v>
    <v>37.020000000000003</v>
    <v>36.65</v>
    <v>36.270000000000003</v>
    <v>35.21</v>
    <v>37.18</v>
    <v>36.799999999999997</v>
    <v>37.799999999999997</v>
    <v>38.19</v>
    <v>38.340000000000003</v>
    <v>39.19</v>
    <v>38.700000000000003</v>
    <v>39.200000000000003</v>
    <v>38.79</v>
    <v>38.18</v>
    <v>38.729999999999997</v>
    <v>39.299999999999997</v>
    <v>38.56</v>
    <v>38.200000000000003</v>
    <v>38.14</v>
    <v>37.840000000000003</v>
    <v>38.18</v>
    <v>38.1</v>
    <v>39.479999999999997</v>
    <v>39.590000000000003</v>
    <v>40.630000000000003</v>
    <v>40.75</v>
    <v>40.92</v>
    <v>40.229999999999997</v>
    <v>41.09</v>
    <v>40.659999999999997</v>
    <v>40.29</v>
    <v>38.81</v>
    <v>39.86</v>
    <v>41.03</v>
    <v>41.81</v>
    <v>41.37</v>
    <v>41.1</v>
    <v>41.89</v>
    <v>42.28</v>
    <v>41.73</v>
    <v>41.79</v>
    <v>39.299999999999997</v>
    <v>37.950000000000003</v>
    <v>38.950000000000003</v>
    <v>38.15</v>
    <v>37.14</v>
    <v>37.82</v>
    <v>37.979999999999997</v>
    <v>37.39</v>
    <v>38.56</v>
    <v>37.909999999999997</v>
    <v>35.6</v>
    <v>29.38</v>
    <v>29.97</v>
    <v>31.27</v>
    <v>32.82</v>
    <v>31.22</v>
    <v>33.39</v>
    <v>34.74</v>
    <v>36.07</v>
    <v>36.369999999999997</v>
    <v>36.229999999999997</v>
    <v>36.78</v>
    <v>38.08</v>
    <v>38.96</v>
    <v>38.61</v>
    <v>37.799999999999997</v>
    <v>38.22</v>
    <v>36.119999999999997</v>
    <v>35.619999999999997</v>
    <v>35.33</v>
    <v>35</v>
    <v>34.6</v>
    <v>34.93</v>
    <v>35.47</v>
    <v>35.39</v>
    <v>35.26</v>
    <v>35.65</v>
    <v>35.409999999999997</v>
    <v>36.61</v>
    <v>36.42</v>
    <v>36.97</v>
    <v>37.97</v>
    <v>37.799999999999997</v>
    <v>37.82</v>
    <v>38.92</v>
    <v>38.92</v>
    <v>39.51</v>
    <v>39.5</v>
    <v>38.79</v>
    <v>38.43</v>
    <v>39.46</v>
    <v>39.53</v>
    <v>38.85</v>
    <v>38.630000000000003</v>
    <v>38.26</v>
    <v>39.08</v>
    <v>42.31</v>
    <v>41.99</v>
    <v>41.25</v>
    <v>40.25</v>
    <v>40.03</v>
    <v>37.81</v>
    <v>36.380000000000003</v>
    <v>35.83</v>
    <v>38.01</v>
    <v>38.89</v>
    <v>38.380000000000003</v>
    <v>40.51</v>
    <v>39.03</v>
    <v>38.58</v>
    <v>39.630000000000003</v>
    <v>40.450000000000003</v>
    <v>40.770000000000003</v>
    <v>40.950000000000003</v>
    <v>37.67</v>
    <v>38.39</v>
    <v>38.85</v>
    <v>38.450000000000003</v>
    <v>39.04</v>
    <v>35.26</v>
    <v>34.93</v>
    <v>34.020000000000003</v>
    <v>33.26</v>
    <v>32.74</v>
    <v>31.94</v>
    <v>30.98</v>
    <v>31.72</v>
    <v>30.14</v>
    <v>31.37</v>
    <v>31.97</v>
    <v>31</v>
    <v>31.14</v>
    <v>31.03</v>
    <v>33.99</v>
  </a>
  <a r="1" c="1027">
    <v>216.21</v>
    <v>215.37</v>
    <v>214.24</v>
    <v>214.36</v>
    <v>214.29</v>
    <v>216.01</v>
    <v>211.8</v>
    <v>210.52</v>
    <v>213.26</v>
    <v>214.2</v>
    <v>214.13</v>
    <v>219.28</v>
    <v>219.42</v>
    <v>218.59</v>
    <v>222.59</v>
    <v>223.94</v>
    <v>221.02</v>
    <v>222.75</v>
    <v>224.96</v>
    <v>224.15</v>
    <v>221.68</v>
    <v>222.42</v>
    <v>217.69</v>
    <v>217.9</v>
    <v>212.25</v>
    <v>218.29</v>
    <v>219.62</v>
    <v>217.49</v>
    <v>214.93</v>
    <v>216.34</v>
    <v>213.02</v>
    <v>212.65</v>
    <v>216.44</v>
    <v>224.34</v>
    <v>224.97</v>
    <v>225.95</v>
    <v>229.53</v>
    <v>232.33</v>
    <v>232.9</v>
    <v>238.93</v>
    <v>231.96</v>
    <v>239.65</v>
    <v>239.51</v>
    <v>243</v>
    <v>242.01</v>
    <v>242.2</v>
    <v>242.47</v>
    <v>243.77</v>
    <v>242.82</v>
    <v>244.49</v>
    <v>244.99</v>
    <v>243.7</v>
    <v>244.2</v>
    <v>243.79</v>
    <v>240.97</v>
    <v>234.51</v>
    <v>233.27</v>
    <v>234.55</v>
    <v>228.99</v>
    <v>232.38</v>
    <v>236.94</v>
    <v>233.87</v>
    <v>227.56</v>
    <v>226.73</v>
    <v>231.6</v>
    <v>227.39</v>
    <v>233.78</v>
    <v>232.42</v>
    <v>237.13</v>
    <v>235.75</v>
    <v>234.81</v>
    <v>237.71</v>
    <v>237.04</v>
    <v>230.72</v>
    <v>230.35</v>
    <v>235.99</v>
    <v>237.58</v>
    <v>235.46</v>
    <v>232.34</v>
    <v>236.48</v>
    <v>235.24</v>
    <v>231.85</v>
    <v>235.77</v>
    <v>242.35</v>
    <v>249.07</v>
    <v>247.86</v>
    <v>249.9</v>
    <v>253.25</v>
    <v>255.85</v>
    <v>255.91</v>
    <v>258.49</v>
    <v>255.59</v>
    <v>259.5</v>
    <v>260.74</v>
    <v>258.74</v>
    <v>258.26</v>
    <v>260.58</v>
    <v>257.17</v>
    <v>261.14999999999998</v>
    <v>261.55</v>
    <v>261.97000000000003</v>
    <v>254.56</v>
    <v>252.51</v>
    <v>252.18</v>
    <v>251.86</v>
    <v>247.79</v>
    <v>246.47</v>
    <v>249.73</v>
    <v>252.46</v>
    <v>247.18</v>
    <v>246.23</v>
    <v>239</v>
    <v>243.03</v>
    <v>248.15</v>
    <v>245.18</v>
    <v>243.08</v>
    <v>243.12</v>
    <v>246.48</v>
    <v>245.17</v>
    <v>250.78</v>
    <v>251.72</v>
    <v>251.49</v>
    <v>249.31</v>
    <v>249.68</v>
    <v>247.4</v>
    <v>247.3</v>
    <v>245.71</v>
    <v>250.79</v>
    <v>253.81</v>
    <v>252.57</v>
    <v>253.59</v>
    <v>257.24</v>
    <v>257.89</v>
    <v>259.89</v>
    <v>258.36</v>
    <v>257.38</v>
    <v>260.89999999999998</v>
    <v>259.43</v>
    <v>262.63</v>
    <v>265.51</v>
    <v>265.27499999999998</v>
    <v>266.69</v>
    <v>265.02</v>
    <v>268.72000000000003</v>
    <v>271.39999999999998</v>
    <v>270.89999999999998</v>
    <v>271.60000000000002</v>
    <v>277.64999999999998</v>
    <v>277.66000000000003</v>
    <v>279.93</v>
    <v>277.42</v>
    <v>277.94</v>
    <v>277.32</v>
    <v>280.98</v>
    <v>282.51</v>
    <v>281.02999999999997</v>
    <v>280.75</v>
    <v>277.01</v>
    <v>279.32</v>
    <v>281.39999999999998</v>
    <v>286.14</v>
    <v>289.67</v>
    <v>289.05</v>
    <v>286.54000000000002</v>
    <v>286.22000000000003</v>
    <v>286.5</v>
    <v>284.91000000000003</v>
    <v>284.82</v>
    <v>287.12</v>
    <v>286.51</v>
    <v>289.52</v>
    <v>289.45999999999998</v>
    <v>288.33</v>
    <v>286.44</v>
    <v>286.95</v>
    <v>289.81</v>
    <v>292.85000000000002</v>
    <v>294.60000000000002</v>
    <v>293.08</v>
    <v>290.73</v>
    <v>296.77</v>
    <v>304.36</v>
    <v>304.64999999999998</v>
    <v>302.62</v>
    <v>302.01</v>
    <v>299.08999999999997</v>
    <v>299.72000000000003</v>
    <v>303.58999999999997</v>
    <v>301.88</v>
    <v>301.83</v>
    <v>301.14999999999998</v>
    <v>301.14</v>
    <v>300.18</v>
    <v>300.20999999999998</v>
    <v>297.25</v>
    <v>295.70999999999998</v>
    <v>296.99</v>
    <v>299.79000000000002</v>
    <v>304.82</v>
    <v>305.22000000000003</v>
    <v>299.87</v>
    <v>294.3</v>
    <v>294.8</v>
    <v>298.58</v>
    <v>299.56</v>
    <v>299.35000000000002</v>
    <v>294.17</v>
    <v>283.52</v>
    <v>284</v>
    <v>281.92</v>
    <v>289.10000000000002</v>
    <v>283.11</v>
    <v>288.76</v>
    <v>293.11</v>
    <v>294.85000000000002</v>
    <v>294.85000000000002</v>
    <v>294.23</v>
    <v>292.88</v>
    <v>296.31</v>
    <v>302.75</v>
    <v>304.20999999999998</v>
    <v>307.29000000000002</v>
    <v>308.23</v>
    <v>307.41000000000003</v>
    <v>310.76</v>
    <v>309.16000000000003</v>
    <v>308.13</v>
    <v>310.11</v>
    <v>323.17</v>
    <v>324.35000000000002</v>
    <v>331.62</v>
    <v>329.37</v>
    <v>333.13</v>
    <v>334</v>
    <v>336.44</v>
    <v>336.06</v>
    <v>336.99</v>
    <v>335.95</v>
    <v>330.8</v>
    <v>332.43</v>
    <v>336.72</v>
    <v>336.07</v>
    <v>339.51</v>
    <v>339.12</v>
    <v>341.27</v>
    <v>343.11</v>
    <v>339.83</v>
    <v>337.68</v>
    <v>337.91</v>
    <v>329.68</v>
    <v>336.63</v>
    <v>330.59</v>
    <v>330.08</v>
    <v>329.49</v>
    <v>323.01</v>
    <v>326.19</v>
    <v>334.92</v>
    <v>334.97</v>
    <v>333.1</v>
    <v>342.54</v>
    <v>339.4</v>
    <v>328.34</v>
    <v>334.65</v>
    <v>324.89999999999998</v>
    <v>323.8</v>
    <v>319.91000000000003</v>
    <v>327.29000000000002</v>
    <v>333.2</v>
    <v>334.69</v>
    <v>342.45</v>
    <v>341.25</v>
    <v>341.95</v>
    <v>339.32</v>
    <v>336.32</v>
    <v>334.75</v>
    <v>329.01</v>
    <v>316.38</v>
    <v>313.88</v>
    <v>314.04000000000002</v>
    <v>314.27</v>
    <v>314.98</v>
    <v>318.27</v>
    <v>304.8</v>
    <v>310.2</v>
    <v>302.64999999999998</v>
    <v>303.33</v>
    <v>301.60000000000002</v>
    <v>296.02999999999997</v>
    <v>296.37</v>
    <v>288.49</v>
    <v>296.70999999999998</v>
    <v>299.83999999999997</v>
    <v>308.26</v>
    <v>310.98</v>
    <v>308.76</v>
    <v>313.45999999999998</v>
    <v>301.25</v>
    <v>305.94</v>
    <v>300.95</v>
    <v>304.56</v>
    <v>311.20999999999998</v>
    <v>302.38</v>
    <v>295.04000000000002</v>
    <v>295</v>
    <v>300.47000000000003</v>
    <v>299.5</v>
    <v>290.73</v>
    <v>287.93</v>
    <v>287.72000000000003</v>
    <v>280.27</v>
    <v>294.58999999999997</v>
    <v>297.31</v>
    <v>298.79000000000002</v>
    <v>294.95</v>
    <v>300.19</v>
    <v>295.92</v>
    <v>289.86</v>
    <v>278.91000000000003</v>
    <v>275.85000000000002</v>
    <v>288.5</v>
    <v>285.58999999999997</v>
    <v>280.07</v>
    <v>276.44</v>
    <v>287.14999999999998</v>
    <v>294.39</v>
    <v>295.22000000000003</v>
    <v>300.43</v>
    <v>299.16000000000003</v>
    <v>304.06</v>
    <v>299.49</v>
    <v>304.10000000000002</v>
    <v>303.68</v>
    <v>310.7</v>
    <v>315.41000000000003</v>
    <v>313.86</v>
    <v>308.31</v>
    <v>309.42</v>
    <v>314.97000000000003</v>
    <v>310.88</v>
    <v>299.5</v>
    <v>301.37</v>
    <v>296.97000000000003</v>
    <v>285.26</v>
    <v>282.06</v>
    <v>287.62</v>
    <v>279.83</v>
    <v>280.52</v>
    <v>285.3</v>
    <v>286.36</v>
    <v>280.81</v>
    <v>274.02999999999997</v>
    <v>280.72000000000003</v>
    <v>270.22000000000003</v>
    <v>283.22000000000003</v>
    <v>289.63</v>
    <v>277.52</v>
    <v>284.47000000000003</v>
    <v>281.77999999999997</v>
    <v>289.98</v>
    <v>277.35000000000002</v>
    <v>274.73</v>
    <v>264.58</v>
    <v>269.5</v>
    <v>260.55</v>
    <v>255.35</v>
    <v>261.12</v>
    <v>261.5</v>
    <v>266.82</v>
    <v>254.08</v>
    <v>253.14</v>
    <v>252.56</v>
    <v>260.64999999999998</v>
    <v>259.62</v>
    <v>262.52</v>
    <v>265.89999999999998</v>
    <v>273.24</v>
    <v>271.87</v>
    <v>272.42</v>
    <v>274.58</v>
    <v>270.02</v>
    <v>268.75</v>
    <v>272.5</v>
    <v>270.41000000000003</v>
    <v>264.79000000000002</v>
    <v>252.99</v>
    <v>242.26</v>
    <v>244.49</v>
    <v>251.76</v>
    <v>244.97</v>
    <v>247.65</v>
    <v>253.74</v>
    <v>253.13</v>
    <v>258.86</v>
    <v>267.7</v>
    <v>264.89</v>
    <v>256.48</v>
    <v>260.26</v>
    <v>256.83</v>
    <v>259.58</v>
    <v>262.85000000000002</v>
    <v>266.20999999999998</v>
    <v>268.39999999999998</v>
    <v>267.66000000000003</v>
    <v>264.51</v>
    <v>253.67</v>
    <v>252.72</v>
    <v>254.08</v>
    <v>256.72000000000003</v>
    <v>254.25</v>
    <v>259.52999999999997</v>
    <v>262.27</v>
    <v>264.83999999999997</v>
    <v>260.36</v>
    <v>258.83</v>
    <v>251.9</v>
    <v>268.74</v>
    <v>276.41000000000003</v>
    <v>280.74</v>
    <v>278.01</v>
    <v>274.82</v>
    <v>282.47000000000003</v>
    <v>283.64999999999998</v>
    <v>282.91000000000003</v>
    <v>280.32</v>
    <v>282.3</v>
    <v>289.16000000000003</v>
    <v>287.02</v>
    <v>291.91000000000003</v>
    <v>293.47000000000003</v>
    <v>292.70999999999998</v>
    <v>291.32</v>
    <v>290.17</v>
    <v>286.14999999999998</v>
    <v>277.75</v>
    <v>276.44</v>
    <v>275.79000000000002</v>
    <v>278.85000000000002</v>
    <v>268.08999999999997</v>
    <v>265.23</v>
    <v>262.97000000000003</v>
    <v>261.47000000000003</v>
    <v>260.39999999999998</v>
    <v>256.06</v>
    <v>253.25</v>
    <v>258.08999999999997</v>
    <v>258.52</v>
    <v>264.45999999999998</v>
    <v>266.64999999999998</v>
    <v>251.99</v>
    <v>252.22</v>
    <v>245.38</v>
    <v>244.74</v>
    <v>244.52</v>
    <v>242.45</v>
    <v>238.95</v>
    <v>240.98</v>
    <v>237.92</v>
    <v>237.45</v>
    <v>236.41</v>
    <v>241.07</v>
    <v>237.5</v>
    <v>232.9</v>
    <v>240.74</v>
    <v>248.88</v>
    <v>249.2</v>
    <v>246.79</v>
    <v>234.24</v>
    <v>229.25</v>
    <v>225.41</v>
    <v>225.75</v>
    <v>234.24</v>
    <v>228.56</v>
    <v>237.53</v>
    <v>238.5</v>
    <v>236.48</v>
    <v>236.15</v>
    <v>242.12</v>
    <v>247.25</v>
    <v>250.66</v>
    <v>231.32</v>
    <v>226.75</v>
    <v>235.87</v>
    <v>232.13</v>
    <v>228.17</v>
    <v>220.1</v>
    <v>214.25</v>
    <v>221.39</v>
    <v>227.87</v>
    <v>228.87</v>
    <v>224.51</v>
    <v>242.98</v>
    <v>247.11</v>
    <v>241.55</v>
    <v>241.97</v>
    <v>241.73</v>
    <v>241.68</v>
    <v>241.22</v>
    <v>242.05</v>
    <v>245.03</v>
    <v>247.58</v>
    <v>247.49</v>
    <v>241.76</v>
    <v>240.33</v>
    <v>255.14</v>
    <v>254.69</v>
    <v>255.02</v>
    <v>250.2</v>
    <v>245.12</v>
    <v>244.37</v>
    <v>247.4</v>
    <v>245.42</v>
    <v>252.51</v>
    <v>256.92</v>
    <v>257.22000000000003</v>
    <v>249.01</v>
    <v>244.69</v>
    <v>240.45</v>
    <v>241.8</v>
    <v>244.43</v>
    <v>238.19</v>
    <v>238.73</v>
    <v>236.96</v>
    <v>234.53</v>
    <v>241.01</v>
    <v>239.82</v>
    <v>239.58</v>
    <v>229.1</v>
    <v>222.31</v>
    <v>224.93</v>
    <v>227.12</v>
    <v>228.85</v>
    <v>235.77</v>
    <v>238.51</v>
    <v>239.23</v>
    <v>240.35</v>
    <v>235.81</v>
    <v>231.93</v>
    <v>240.22</v>
    <v>242.58</v>
    <v>242.04</v>
    <v>240.61</v>
    <v>248</v>
    <v>248.16</v>
    <v>242.71</v>
    <v>247.81</v>
    <v>252.75</v>
    <v>264.60000000000002</v>
    <v>258.35000000000002</v>
    <v>256.77</v>
    <v>267.56</v>
    <v>266.73</v>
    <v>263.62</v>
    <v>263.10000000000002</v>
    <v>271.32</v>
    <v>272.17</v>
    <v>269.32</v>
    <v>262.14999999999998</v>
    <v>258.06</v>
    <v>252.67</v>
    <v>251.51</v>
    <v>254.77</v>
    <v>249.22</v>
    <v>250.16</v>
    <v>249.42</v>
    <v>246.27</v>
    <v>251.11</v>
    <v>255.29</v>
    <v>256.87</v>
    <v>254.15</v>
    <v>253.7</v>
    <v>252.32</v>
    <v>248.59</v>
    <v>253.92</v>
    <v>260.79000000000002</v>
    <v>265.44</v>
    <v>276.2</v>
    <v>279.43</v>
    <v>272.23</v>
    <v>273.77999999999997</v>
    <v>272.29000000000002</v>
    <v>277.66000000000003</v>
    <v>280.57</v>
    <v>276.38</v>
    <v>275.23</v>
    <v>280.51</v>
    <v>284.05</v>
    <v>288.3</v>
    <v>287.23</v>
    <v>287.18</v>
    <v>284.33999999999997</v>
    <v>291.60000000000002</v>
    <v>289.39</v>
    <v>282.83</v>
    <v>283.49</v>
    <v>289.83999999999997</v>
    <v>286.14</v>
    <v>288.8</v>
    <v>288.37</v>
    <v>288.45</v>
    <v>286.11</v>
    <v>285.76</v>
    <v>281.77</v>
    <v>275.42</v>
    <v>295.37</v>
    <v>304.83</v>
    <v>307.26</v>
    <v>305.56</v>
    <v>305.41000000000003</v>
    <v>304.39999999999998</v>
    <v>305.41000000000003</v>
    <v>310.64999999999998</v>
    <v>308.64999999999998</v>
    <v>307</v>
    <v>312.31</v>
    <v>310.11</v>
    <v>308.97000000000003</v>
    <v>309.45999999999998</v>
    <v>311.74</v>
    <v>314</v>
    <v>318.52</v>
    <v>318.33999999999997</v>
    <v>321.18</v>
    <v>315.26</v>
    <v>313.85000000000002</v>
    <v>325.92</v>
    <v>332.89</v>
    <v>331.21</v>
    <v>328.39</v>
    <v>332.58</v>
    <v>335.4</v>
    <v>335.94</v>
    <v>333.68</v>
    <v>323.38</v>
    <v>325.26</v>
    <v>326.79000000000002</v>
    <v>331.85</v>
    <v>334.29</v>
    <v>337.34</v>
    <v>348.1</v>
    <v>342.33</v>
    <v>338.05</v>
    <v>333.56</v>
    <v>339.71</v>
    <v>335.02</v>
    <v>328.6</v>
    <v>334.57</v>
    <v>335.85</v>
    <v>335.05</v>
    <v>340.54</v>
    <v>337.99</v>
    <v>338.15</v>
    <v>341.27</v>
    <v>337.22</v>
    <v>331.83</v>
    <v>332.47</v>
    <v>337.2</v>
    <v>342.66</v>
    <v>345.24</v>
    <v>345.73</v>
    <v>359.49</v>
    <v>355.08</v>
    <v>346.87</v>
    <v>343.77</v>
    <v>345.11</v>
    <v>350.98</v>
    <v>337.77</v>
    <v>330.72</v>
    <v>338.37</v>
    <v>335.92</v>
    <v>336.34</v>
    <v>327.5</v>
    <v>326.66000000000003</v>
    <v>327.78</v>
    <v>330.11</v>
    <v>326.05</v>
    <v>322.23</v>
    <v>322.93</v>
    <v>321.01</v>
    <v>324.04000000000002</v>
    <v>321.86</v>
    <v>320.39999999999998</v>
    <v>316.88</v>
    <v>316.48</v>
    <v>321.88</v>
    <v>322.45999999999998</v>
    <v>327</v>
    <v>319.97000000000003</v>
    <v>322.98</v>
    <v>323.7</v>
    <v>328.41</v>
    <v>328.79</v>
    <v>327.76</v>
    <v>328.66</v>
    <v>333.55</v>
    <v>332.88</v>
    <v>329.91</v>
    <v>334.27</v>
    <v>337.94</v>
    <v>331.77</v>
    <v>336.06</v>
    <v>338.7</v>
    <v>330.22</v>
    <v>329.06</v>
    <v>328.65</v>
    <v>320.77</v>
    <v>319.52999999999997</v>
    <v>317.01</v>
    <v>317.54000000000002</v>
    <v>312.14</v>
    <v>312.79000000000002</v>
    <v>313.64</v>
    <v>315.75</v>
    <v>321.8</v>
    <v>313.39</v>
    <v>318.95499999999998</v>
    <v>319.36</v>
    <v>327.26</v>
    <v>329.82</v>
    <v>328.39</v>
    <v>332.42</v>
    <v>331.16</v>
    <v>327.73</v>
    <v>332.64</v>
    <v>332.06</v>
    <v>330.11</v>
    <v>331.32</v>
    <v>326.67</v>
    <v>329.32</v>
    <v>330.53</v>
    <v>340.67</v>
    <v>327.89</v>
    <v>329.81</v>
    <v>337.31</v>
    <v>338.11</v>
    <v>346.07</v>
    <v>348.32</v>
    <v>352.8</v>
    <v>356.53</v>
    <v>360.53</v>
    <v>363.2</v>
    <v>360.69</v>
    <v>369.67</v>
    <v>366.68</v>
    <v>370.27</v>
    <v>369.67</v>
    <v>376.17</v>
    <v>369.85</v>
    <v>377.44</v>
    <v>373.07</v>
    <v>377.85</v>
    <v>377.43</v>
    <v>378.61</v>
    <v>382.7</v>
    <v>378.85</v>
    <v>378.91</v>
    <v>374.51</v>
    <v>369.14</v>
    <v>372.52</v>
    <v>368.8</v>
    <v>370.95</v>
    <v>374.23</v>
    <v>371.3</v>
    <v>374.38</v>
    <v>374.37</v>
    <v>365.93</v>
    <v>370.73</v>
    <v>372.65</v>
    <v>373.26</v>
    <v>370.62</v>
    <v>373.54</v>
    <v>374.58</v>
    <v>374.66</v>
    <v>374.07</v>
    <v>375.28</v>
    <v>376.04</v>
    <v>370.87</v>
    <v>370.6</v>
    <v>367.94</v>
    <v>367.75</v>
    <v>374.69</v>
    <v>375.79</v>
    <v>382.77</v>
    <v>384.63</v>
    <v>388.47</v>
    <v>390.27</v>
    <v>389.47</v>
    <v>393.87</v>
    <v>398.67</v>
    <v>396.51</v>
    <v>398.9</v>
    <v>402.56</v>
    <v>404.87</v>
    <v>403.93</v>
    <v>409.72</v>
    <v>408.59</v>
    <v>397.58</v>
    <v>403.78</v>
    <v>411.22</v>
    <v>405.65</v>
    <v>405.49</v>
    <v>414.05</v>
    <v>414.11</v>
    <v>420.55</v>
    <v>415.26</v>
    <v>406.32</v>
    <v>409.49</v>
    <v>406.56</v>
    <v>404.06</v>
    <v>402.79</v>
    <v>402.18</v>
    <v>411.65</v>
    <v>410.34</v>
    <v>407.54</v>
    <v>407.48</v>
    <v>407.72</v>
    <v>413.64</v>
    <v>415.5</v>
    <v>414.92</v>
    <v>402.65</v>
    <v>402.09</v>
    <v>409.14</v>
    <v>406.22</v>
    <v>404.52</v>
    <v>415.28</v>
    <v>415.1</v>
    <v>425.22</v>
    <v>416.42</v>
    <v>417.32</v>
    <v>421.41</v>
    <v>425.23</v>
    <v>429.37</v>
    <v>428.74</v>
    <v>422.86</v>
    <v>421.65</v>
    <v>421.43</v>
    <v>420.72</v>
    <v>424.57</v>
    <v>421.44</v>
    <v>420.45</v>
    <v>417.88</v>
    <v>425.52</v>
    <v>424.59</v>
    <v>426.28</v>
    <v>423.26</v>
    <v>427.93</v>
    <v>421.9</v>
    <v>413.64</v>
    <v>414.58</v>
    <v>411.84</v>
    <v>404.27</v>
    <v>399.12</v>
    <v>400.96</v>
    <v>407.57</v>
    <v>409.06</v>
    <v>399.04</v>
    <v>406.32</v>
    <v>402.25</v>
    <v>389.33</v>
    <v>394.94</v>
    <v>397.84</v>
    <v>406.66</v>
    <v>413.54</v>
    <v>409.34</v>
    <v>410.54</v>
    <v>412.32</v>
    <v>414.74</v>
    <v>413.72</v>
    <v>416.56</v>
    <v>423.08</v>
    <v>420.99</v>
    <v>420.21</v>
    <v>425.34</v>
    <v>429.04</v>
    <v>430.52</v>
    <v>427</v>
    <v>430.16</v>
    <v>430.32</v>
    <v>429.17</v>
    <v>414.67</v>
    <v>415.13</v>
    <v>413.52</v>
    <v>416.07</v>
    <v>424.01</v>
    <v>424.52</v>
    <v>423.85</v>
    <v>427.87</v>
    <v>432.68</v>
    <v>441.06</v>
    <v>441.58</v>
    <v>442.57</v>
    <v>448.37</v>
    <v>446.34</v>
    <v>445.7</v>
    <v>449.78</v>
    <v>447.67</v>
    <v>450.95</v>
    <v>452.16</v>
    <v>452.85</v>
    <v>446.95</v>
    <v>456.73</v>
    <v>459.28</v>
    <v>460.77</v>
    <v>467.56</v>
    <v>466.24</v>
    <v>459.54</v>
    <v>466.25</v>
    <v>454.7</v>
    <v>453.55</v>
    <v>453.96</v>
    <v>449.52</v>
    <v>443.52</v>
    <v>440.37</v>
    <v>437.11</v>
    <v>442.94</v>
    <v>444.85</v>
    <v>428.9</v>
    <v>418.4</v>
    <v>425.27</v>
    <v>426.73</v>
    <v>422.92</v>
    <v>418.35</v>
    <v>417.11</v>
    <v>408.49</v>
    <v>395.15</v>
    <v>399.61</v>
    <v>398.43</v>
    <v>402.69</v>
    <v>406.02</v>
    <v>406.81</v>
    <v>414.01</v>
    <v>416.86</v>
    <v>421.03</v>
    <v>418.47</v>
    <v>421.53</v>
    <v>424.8</v>
    <v>424.14</v>
    <v>415.55</v>
    <v>416.79</v>
    <v>413.49</v>
    <v>413.84</v>
    <v>410.6</v>
    <v>413.12</v>
    <v>417.14</v>
    <v>409.44</v>
    <v>408.9</v>
    <v>408.39</v>
    <v>401.7</v>
    <v>405.72</v>
    <v>414.2</v>
    <v>423.04</v>
    <v>427</v>
    <v>430.59</v>
    <v>431.34</v>
    <v>435.15</v>
    <v>430.81</v>
    <v>438.69</v>
    <v>435.27</v>
    <v>433.51</v>
    <v>429.17</v>
    <v>432.11</v>
    <v>431.31</v>
    <v>428.02</v>
    <v>430.3</v>
    <v>420.69</v>
    <v>417.13</v>
    <v>416.54</v>
    <v>416.06</v>
    <v>409.54</v>
    <v>414.71</v>
    <v>417.46</v>
    <v>415.84</v>
    <v>416.32</v>
    <v>419.14</v>
    <v>418.74</v>
    <v>416.12</v>
    <v>416.72</v>
    <v>418.16</v>
    <v>418.78</v>
    <v>427.51</v>
    <v>424.6</v>
    <v>424.73</v>
    <v>428.15</v>
    <v>426.59</v>
    <v>431.95</v>
    <v>432.53</v>
    <v>406.35</v>
    <v>410.37</v>
    <v>408.46</v>
    <v>411.46</v>
    <v>420.18</v>
    <v>425.43</v>
    <v>422.54</v>
    <v>418.01</v>
    <v>423.03</v>
    <v>425.2</v>
    <v>426.89</v>
    <v>415</v>
    <v>415.76</v>
    <v>417.79</v>
    <v>415.49</v>
    <v>412.87</v>
    <v>417</v>
    <v>418.79</v>
    <v>427.99</v>
    <v>422.99</v>
    <v>423.46</v>
    <v>430.98</v>
    <v>431.2</v>
    <v>437.42</v>
    <v>442.62</v>
    <v>443.57</v>
    <v>446.02</v>
    <v>443.33</v>
    <v>448.99</v>
    <v>449.56</v>
    <v>447.27</v>
    <v>451.59</v>
    <v>454.46</v>
    <v>437.39</v>
    <v>437.03</v>
    <v>436.6</v>
    <v>435.25</v>
    <v>439.33</v>
    <v>438.11</v>
    <v>430.53</v>
    <v>424.83</v>
    <v>421.5</v>
  </a>
  <a r="1" c="1027">
    <v>21.802</v>
    <v>21.9682</v>
    <v>22.073899999999998</v>
    <v>22.308</v>
    <v>22.383500000000002</v>
    <v>23.267099999999999</v>
    <v>23.757999999999999</v>
    <v>23.176500000000001</v>
    <v>23.418099999999999</v>
    <v>23.070699999999999</v>
    <v>23.093399999999999</v>
    <v>22.874400000000001</v>
    <v>22.368400000000001</v>
    <v>22.202300000000001</v>
    <v>21.907800000000002</v>
    <v>21.447099999999999</v>
    <v>21.711400000000001</v>
    <v>21.6661</v>
    <v>21.560400000000001</v>
    <v>21.552800000000001</v>
    <v>21.5151</v>
    <v>21.719000000000001</v>
    <v>22.232500000000002</v>
    <v>22.096599999999999</v>
    <v>22.527000000000001</v>
    <v>22.587399999999999</v>
    <v>21.915299999999998</v>
    <v>21.802</v>
    <v>21.711400000000001</v>
    <v>21.605699999999999</v>
    <v>22.119199999999999</v>
    <v>22.028600000000001</v>
    <v>21.862500000000001</v>
    <v>21.87</v>
    <v>21.771799999999999</v>
    <v>21.8474</v>
    <v>21.9833</v>
    <v>22.4666</v>
    <v>22.0059</v>
    <v>21.749199999999998</v>
    <v>21.620799999999999</v>
    <v>21.635899999999999</v>
    <v>21.552800000000001</v>
    <v>21.530200000000001</v>
    <v>21.8172</v>
    <v>21.8474</v>
    <v>21.726500000000001</v>
    <v>21.613299999999999</v>
    <v>21.560400000000001</v>
    <v>21.6661</v>
    <v>21.749199999999998</v>
    <v>21.877600000000001</v>
    <v>22.3307</v>
    <v>22.073899999999998</v>
    <v>21.900200000000002</v>
    <v>22.1419</v>
    <v>22.036200000000001</v>
    <v>22.187200000000001</v>
    <v>21.620799999999999</v>
    <v>21.062000000000001</v>
    <v>21.213000000000001</v>
    <v>21.311199999999999</v>
    <v>21.688800000000001</v>
    <v>21.8398</v>
    <v>22.368400000000001</v>
    <v>22.6478</v>
    <v>22.383500000000002</v>
    <v>22.6478</v>
    <v>22.308</v>
    <v>22.511900000000001</v>
    <v>22.602499999999999</v>
    <v>22.6478</v>
    <v>22.768699999999999</v>
    <v>22.663</v>
    <v>22.4742</v>
    <v>22.6478</v>
    <v>22.6554</v>
    <v>22.6478</v>
    <v>22.715800000000002</v>
    <v>22.889500000000002</v>
    <v>23.078299999999999</v>
    <v>23.206700000000001</v>
    <v>22.859300000000001</v>
    <v>23.010300000000001</v>
    <v>23.191600000000001</v>
    <v>23.395499999999998</v>
    <v>23.357700000000001</v>
    <v>22.6554</v>
    <v>22.685600000000001</v>
    <v>22.6252</v>
    <v>22.376000000000001</v>
    <v>22.451499999999999</v>
    <v>22.4666</v>
    <v>22.617599999999999</v>
    <v>22.6478</v>
    <v>22.572299999999998</v>
    <v>22.738499999999998</v>
    <v>23.682400000000001</v>
    <v>23.712700000000002</v>
    <v>23.342600000000001</v>
    <v>23.236899999999999</v>
    <v>23.380400000000002</v>
    <v>23.667300000000001</v>
    <v>23.720199999999998</v>
    <v>23.7882</v>
    <v>24.180900000000001</v>
    <v>24.188400000000001</v>
    <v>24.4754</v>
    <v>24.2866</v>
    <v>24.641500000000001</v>
    <v>24.362100000000002</v>
    <v>24.1431</v>
    <v>24.324300000000001</v>
    <v>24.347000000000001</v>
    <v>23.69</v>
    <v>22.3156</v>
    <v>21.87</v>
    <v>22.383500000000002</v>
    <v>22.663</v>
    <v>22.4666</v>
    <v>22.292899999999999</v>
    <v>22.3156</v>
    <v>22.436399999999999</v>
    <v>22.224900000000002</v>
    <v>22.1419</v>
    <v>22.360900000000001</v>
    <v>22.073899999999998</v>
    <v>22.104099999999999</v>
    <v>21.960599999999999</v>
    <v>21.885100000000001</v>
    <v>21.907800000000002</v>
    <v>22.036200000000001</v>
    <v>22.1419</v>
    <v>21.9682</v>
    <v>22.111699999999999</v>
    <v>21.945499999999999</v>
    <v>21.703900000000001</v>
    <v>21.635899999999999</v>
    <v>21.8474</v>
    <v>21.734100000000002</v>
    <v>21.635899999999999</v>
    <v>21.741599999999998</v>
    <v>21.8172</v>
    <v>21.734100000000002</v>
    <v>21.6435</v>
    <v>21.734100000000002</v>
    <v>21.9833</v>
    <v>22.073899999999998</v>
    <v>21.915299999999998</v>
    <v>21.8474</v>
    <v>21.280999999999999</v>
    <v>21.4849</v>
    <v>21.5075</v>
    <v>21.3489</v>
    <v>21.3414</v>
    <v>21.469799999999999</v>
    <v>21.401800000000001</v>
    <v>20.986499999999999</v>
    <v>21.077100000000002</v>
    <v>21.069500000000001</v>
    <v>21.1526</v>
    <v>21.258299999999998</v>
    <v>21.280999999999999</v>
    <v>21.296099999999999</v>
    <v>21.1526</v>
    <v>21.364000000000001</v>
    <v>21.1828</v>
    <v>21.228100000000001</v>
    <v>21.288499999999999</v>
    <v>21.0318</v>
    <v>21.099699999999999</v>
    <v>21.114799999999999</v>
    <v>21.0318</v>
    <v>21.213000000000001</v>
    <v>21.265899999999998</v>
    <v>21.1601</v>
    <v>21.288499999999999</v>
    <v>21.296099999999999</v>
    <v>21.288499999999999</v>
    <v>21.0167</v>
    <v>20.790099999999999</v>
    <v>20.8203</v>
    <v>20.782599999999999</v>
    <v>20.729700000000001</v>
    <v>20.714600000000001</v>
    <v>20.405000000000001</v>
    <v>20.488</v>
    <v>20.563600000000001</v>
    <v>20.707000000000001</v>
    <v>20.533300000000001</v>
    <v>20.873200000000001</v>
    <v>20.812799999999999</v>
    <v>20.707000000000001</v>
    <v>20.843</v>
    <v>20.707000000000001</v>
    <v>20.5258</v>
    <v>20.782599999999999</v>
    <v>20.639099999999999</v>
    <v>20.8203</v>
    <v>20.843</v>
    <v>20.790099999999999</v>
    <v>20.548400000000001</v>
    <v>20.3597</v>
    <v>20.397400000000001</v>
    <v>20.533300000000001</v>
    <v>20.488</v>
    <v>20.6919</v>
    <v>20.571100000000001</v>
    <v>20.6919</v>
    <v>20.397400000000001</v>
    <v>20.5107</v>
    <v>20.578700000000001</v>
    <v>20.654199999999999</v>
    <v>20.623999999999999</v>
    <v>20.457799999999999</v>
    <v>20.216200000000001</v>
    <v>19.657299999999999</v>
    <v>19.2042</v>
    <v>19.106100000000001</v>
    <v>19.3477</v>
    <v>19.408100000000001</v>
    <v>19.128699999999998</v>
    <v>19.325099999999999</v>
    <v>19.566700000000001</v>
    <v>19.453399999999998</v>
    <v>19.249500000000001</v>
    <v>19.3628</v>
    <v>19.158899999999999</v>
    <v>18.924800000000001</v>
    <v>19.294799999999999</v>
    <v>19.075800000000001</v>
    <v>19.158899999999999</v>
    <v>19.0532</v>
    <v>19.0154</v>
    <v>18.7285</v>
    <v>18.954999999999998</v>
    <v>18.788900000000002</v>
    <v>18.660499999999999</v>
    <v>18.841699999999999</v>
    <v>18.819099999999999</v>
    <v>18.834199999999999</v>
    <v>18.7285</v>
    <v>18.622699999999998</v>
    <v>18.622699999999998</v>
    <v>18.418800000000001</v>
    <v>18.2225</v>
    <v>18.652899999999999</v>
    <v>18.6983</v>
    <v>18.479299999999999</v>
    <v>18.290500000000002</v>
    <v>18.0413</v>
    <v>17.2408</v>
    <v>16.787700000000001</v>
    <v>17.4069</v>
    <v>17.7165</v>
    <v>17.5806</v>
    <v>17.429600000000001</v>
    <v>17.497499999999999</v>
    <v>17.323799999999999</v>
    <v>17.2483</v>
    <v>16.946200000000001</v>
    <v>16.832999999999998</v>
    <v>16.7423</v>
    <v>17.9053</v>
    <v>17.958200000000001</v>
    <v>18.267800000000001</v>
    <v>18.479299999999999</v>
    <v>18.7134</v>
    <v>18.781300000000002</v>
    <v>18.7134</v>
    <v>18.743600000000001</v>
    <v>18.607600000000001</v>
    <v>18.7134</v>
    <v>18.577400000000001</v>
    <v>19.2042</v>
    <v>19.3628</v>
    <v>19.793299999999999</v>
    <v>19.717700000000001</v>
    <v>19.8537</v>
    <v>19.982099999999999</v>
    <v>19.891400000000001</v>
    <v>19.974499999999999</v>
    <v>20.238800000000001</v>
    <v>20.5258</v>
    <v>20.623999999999999</v>
    <v>20.601299999999998</v>
    <v>20.405000000000001</v>
    <v>20.095300000000002</v>
    <v>19.891400000000001</v>
    <v>19.997199999999999</v>
    <v>18.313099999999999</v>
    <v>18.2149</v>
    <v>19.0381</v>
    <v>19.257100000000001</v>
    <v>18.441500000000001</v>
    <v>18.5321</v>
    <v>18.5472</v>
    <v>18.184699999999999</v>
    <v>18.0715</v>
    <v>18.079000000000001</v>
    <v>18.501899999999999</v>
    <v>18.313099999999999</v>
    <v>18.2225</v>
    <v>18.162099999999999</v>
    <v>18.3811</v>
    <v>18.079000000000001</v>
    <v>17.943100000000001</v>
    <v>18.0261</v>
    <v>17.935500000000001</v>
    <v>17.754300000000001</v>
    <v>17.5428</v>
    <v>18.0564</v>
    <v>17.8902</v>
    <v>17.769400000000001</v>
    <v>17.988399999999999</v>
    <v>18.0564</v>
    <v>18.0261</v>
    <v>17.799600000000002</v>
    <v>17.3691</v>
    <v>17.5655</v>
    <v>17.512599999999999</v>
    <v>17.512599999999999</v>
    <v>17.286100000000001</v>
    <v>17.437100000000001</v>
    <v>17.512599999999999</v>
    <v>17.512599999999999</v>
    <v>17.535299999999999</v>
    <v>17.489999999999998</v>
    <v>17.527699999999999</v>
    <v>17.527699999999999</v>
    <v>17.618300000000001</v>
    <v>18.003499999999999</v>
    <v>18.0261</v>
    <v>18.116800000000001</v>
    <v>18.23</v>
    <v>17.844899999999999</v>
    <v>18.109200000000001</v>
    <v>18.260300000000001</v>
    <v>18.0413</v>
    <v>18.146999999999998</v>
    <v>17.920400000000001</v>
    <v>18.23</v>
    <v>19.63</v>
    <v>19.559999999999999</v>
    <v>19.420000000000002</v>
    <v>19.54</v>
    <v>19.46</v>
    <v>19.489999999999998</v>
    <v>19.43</v>
    <v>20.21</v>
    <v>19.52</v>
    <v>19.510000000000002</v>
    <v>19.3</v>
    <v>19.07</v>
    <v>19.420000000000002</v>
    <v>18.86</v>
    <v>19.12</v>
    <v>19.329999999999998</v>
    <v>19.95</v>
    <v>19.95</v>
    <v>20.03</v>
    <v>19.55</v>
    <v>19.36</v>
    <v>19.43</v>
    <v>19.72</v>
    <v>19.84</v>
    <v>20.28</v>
    <v>20.57</v>
    <v>20.23</v>
    <v>20.21</v>
    <v>20.399999999999999</v>
    <v>20.74</v>
    <v>21.16</v>
    <v>21.3</v>
    <v>21.32</v>
    <v>21.29</v>
    <v>21.29</v>
    <v>21.22</v>
    <v>21.19</v>
    <v>20.9</v>
    <v>20.94</v>
    <v>21.14</v>
    <v>21.05</v>
    <v>20.88</v>
    <v>20.69</v>
    <v>19.760000000000002</v>
    <v>19.45</v>
    <v>19.440000000000001</v>
    <v>18.96</v>
    <v>19.38</v>
    <v>19.96</v>
    <v>20.32</v>
    <v>20.61</v>
    <v>20.99</v>
    <v>20.78</v>
    <v>20.61</v>
    <v>20.95</v>
    <v>20.96</v>
    <v>21.31</v>
    <v>21.17</v>
    <v>21.09</v>
    <v>21.15</v>
    <v>20.8</v>
    <v>20.66</v>
    <v>20.6</v>
    <v>20.45</v>
    <v>20.329999999999998</v>
    <v>20.57</v>
    <v>20.53</v>
    <v>20.8</v>
    <v>20.48</v>
    <v>18.920000000000002</v>
    <v>18.399999999999999</v>
    <v>18.53</v>
    <v>18.3</v>
    <v>18.39</v>
    <v>18.579999999999998</v>
    <v>18.78</v>
    <v>18.73</v>
    <v>18.36</v>
    <v>18.37</v>
    <v>18.27</v>
    <v>18.350000000000001</v>
    <v>18</v>
    <v>18.100000000000001</v>
    <v>18.010000000000002</v>
    <v>18.04</v>
    <v>18.27</v>
    <v>18.39</v>
    <v>18.57</v>
    <v>18.420000000000002</v>
    <v>18.43</v>
    <v>18.43</v>
    <v>18.13</v>
    <v>18.059999999999999</v>
    <v>18.010000000000002</v>
    <v>18.09</v>
    <v>17.89</v>
    <v>17.78</v>
    <v>17.82</v>
    <v>17.54</v>
    <v>17.5</v>
    <v>17.190000000000001</v>
    <v>16.79</v>
    <v>16.87</v>
    <v>16.77</v>
    <v>17.03</v>
    <v>17.38</v>
    <v>16.829999999999998</v>
    <v>16.77</v>
    <v>16.760000000000002</v>
    <v>16.739999999999998</v>
    <v>16.760000000000002</v>
    <v>16.559999999999999</v>
    <v>16.25</v>
    <v>16.239999999999998</v>
    <v>16.010000000000002</v>
    <v>15.67</v>
    <v>15.73</v>
    <v>15.83</v>
    <v>15.53</v>
    <v>15.34</v>
    <v>15.9</v>
    <v>16.09</v>
    <v>15.93</v>
    <v>15.32</v>
    <v>14.94</v>
    <v>14.9</v>
    <v>14.81</v>
    <v>14.63</v>
    <v>15.12</v>
    <v>14.99</v>
    <v>15.31</v>
    <v>15.6</v>
    <v>15.54</v>
    <v>16.739999999999998</v>
    <v>17.100000000000001</v>
    <v>17.510000000000002</v>
    <v>17.690000000000001</v>
    <v>18.14</v>
    <v>18.03</v>
    <v>18.48</v>
    <v>18.23</v>
    <v>18.350000000000001</v>
    <v>18.43</v>
    <v>18.170000000000002</v>
    <v>18.32</v>
    <v>18.36</v>
    <v>18.57</v>
    <v>18.38</v>
    <v>18.84</v>
    <v>19.05</v>
    <v>19.059999999999999</v>
    <v>19.02</v>
    <v>18.93</v>
    <v>18.95</v>
    <v>18.97</v>
    <v>18.84</v>
    <v>19</v>
    <v>19.09</v>
    <v>19.12</v>
    <v>18.82</v>
    <v>19.010000000000002</v>
    <v>19.28</v>
    <v>19.190000000000001</v>
    <v>19.02</v>
    <v>18.75</v>
    <v>19.170000000000002</v>
    <v>19.3</v>
    <v>19.12</v>
    <v>19.09</v>
    <v>19.3</v>
    <v>19.12</v>
    <v>18.899999999999999</v>
    <v>18.47</v>
    <v>18.489999999999998</v>
    <v>17.86</v>
    <v>18.07</v>
    <v>18.149999999999999</v>
    <v>18.27</v>
    <v>18.309999999999999</v>
    <v>18.46</v>
    <v>18.22</v>
    <v>18.45</v>
    <v>18.41</v>
    <v>18.739999999999998</v>
    <v>19.14</v>
    <v>19.21</v>
    <v>19.53</v>
    <v>19.04</v>
    <v>19.47</v>
    <v>19.41</v>
    <v>19.41</v>
    <v>19.55</v>
    <v>19.329999999999998</v>
    <v>19.02</v>
    <v>18.940000000000001</v>
    <v>19.23</v>
    <v>19.100000000000001</v>
    <v>19.16</v>
    <v>20.420000000000002</v>
    <v>20</v>
    <v>19.95</v>
    <v>20.16</v>
    <v>20.37</v>
    <v>20.18</v>
    <v>20.28</v>
    <v>19.829999999999998</v>
    <v>19.579999999999998</v>
    <v>19.25</v>
    <v>19.16</v>
    <v>18.97</v>
    <v>19.07</v>
    <v>19.260000000000002</v>
    <v>19.149999999999999</v>
    <v>19.25</v>
    <v>19.260000000000002</v>
    <v>19.440000000000001</v>
    <v>19.21</v>
    <v>19.38</v>
    <v>19.350000000000001</v>
    <v>19.239999999999998</v>
    <v>19.03</v>
    <v>18.91</v>
    <v>18.66</v>
    <v>18.66</v>
    <v>18.809999999999999</v>
    <v>18.77</v>
    <v>18.71</v>
    <v>18.61</v>
    <v>18.32</v>
    <v>18.43</v>
    <v>18.3</v>
    <v>18.440000000000001</v>
    <v>18.309999999999999</v>
    <v>18.39</v>
    <v>18.13</v>
    <v>18.489999999999998</v>
    <v>18.54</v>
    <v>18.39</v>
    <v>18.46</v>
    <v>18.61</v>
    <v>18.87</v>
    <v>18.72</v>
    <v>19</v>
    <v>19.079999999999998</v>
    <v>19.25</v>
    <v>19.39</v>
    <v>19.64</v>
    <v>19.88</v>
    <v>19.649999999999999</v>
    <v>19.57</v>
    <v>19.690000000000001</v>
    <v>19.77</v>
    <v>19.96</v>
    <v>19.93</v>
    <v>19.79</v>
    <v>19.82</v>
    <v>19.7</v>
    <v>17.649999999999999</v>
    <v>18.22</v>
    <v>17.53</v>
    <v>17.510000000000002</v>
    <v>17.2</v>
    <v>17.61</v>
    <v>17.670000000000002</v>
    <v>17.5</v>
    <v>17.07</v>
    <v>17.09</v>
    <v>16.91</v>
    <v>17.13</v>
    <v>17.12</v>
    <v>17.02</v>
    <v>17.04</v>
    <v>16.96</v>
    <v>17.03</v>
    <v>16.95</v>
    <v>16.53</v>
    <v>16.66</v>
    <v>16.55</v>
    <v>16.309999999999999</v>
    <v>16.38</v>
    <v>16.100000000000001</v>
    <v>15.95</v>
    <v>15.15</v>
    <v>15.5</v>
    <v>15.64</v>
    <v>15.73</v>
    <v>15.81</v>
    <v>15.21</v>
    <v>15.39</v>
    <v>15.67</v>
    <v>16.100000000000001</v>
    <v>16.07</v>
    <v>15.95</v>
    <v>15.93</v>
    <v>15.82</v>
    <v>15.84</v>
    <v>16.03</v>
    <v>16.059999999999999</v>
    <v>15.78</v>
    <v>15.61</v>
    <v>15.58</v>
    <v>15.45</v>
    <v>15.63</v>
    <v>15.84</v>
    <v>15.78</v>
    <v>15.98</v>
    <v>15.95</v>
    <v>16.12</v>
    <v>16.07</v>
    <v>15.87</v>
    <v>15.61</v>
    <v>15.27</v>
    <v>15.23</v>
    <v>15.12</v>
    <v>15.12</v>
    <v>14.5</v>
    <v>13.53</v>
    <v>13.45</v>
    <v>14.59</v>
    <v>14.66</v>
    <v>14.76</v>
    <v>14.95</v>
    <v>14.8</v>
    <v>14.89</v>
    <v>14.51</v>
    <v>14.45</v>
    <v>14.52</v>
    <v>14.3</v>
    <v>14.35</v>
    <v>14.09</v>
    <v>14</v>
    <v>14.01</v>
    <v>14.18</v>
    <v>14.27</v>
    <v>14.17</v>
    <v>14.37</v>
    <v>14.26</v>
    <v>14.14</v>
    <v>14.1</v>
    <v>14.01</v>
    <v>14.05</v>
    <v>14.1</v>
    <v>14.26</v>
    <v>14.16</v>
    <v>14.15</v>
    <v>14.11</v>
    <v>14.21</v>
    <v>14.77</v>
    <v>14.73</v>
    <v>14.79</v>
    <v>14.65</v>
    <v>14.48</v>
    <v>14.61</v>
    <v>14.61</v>
    <v>14.4</v>
    <v>14.52</v>
    <v>14.46</v>
    <v>14.62</v>
    <v>15.06</v>
    <v>15.23</v>
    <v>15.09</v>
    <v>15.21</v>
    <v>15.55</v>
    <v>15.31</v>
    <v>15.12</v>
    <v>15.06</v>
    <v>15.02</v>
    <v>14.87</v>
    <v>15.01</v>
    <v>15.02</v>
    <v>14.67</v>
    <v>14.78</v>
    <v>14.65</v>
    <v>14.83</v>
    <v>14.45</v>
    <v>14.73</v>
    <v>14.96</v>
    <v>14.77</v>
    <v>14.45</v>
    <v>14.36</v>
    <v>14.41</v>
    <v>14.58</v>
    <v>14.32</v>
    <v>15.26</v>
    <v>15.38</v>
    <v>14.95</v>
    <v>15.53</v>
    <v>15.19</v>
    <v>15.12</v>
    <v>14.82</v>
    <v>15.26</v>
    <v>15.4</v>
    <v>15.58</v>
    <v>15.73</v>
    <v>15.88</v>
    <v>15.75</v>
    <v>15.84</v>
    <v>15.65</v>
    <v>15.63</v>
    <v>15.64</v>
    <v>15.58</v>
    <v>15.63</v>
    <v>15.76</v>
    <v>15.88</v>
    <v>15.9</v>
    <v>16.100000000000001</v>
    <v>16.190000000000001</v>
    <v>16.170000000000002</v>
    <v>16.21</v>
    <v>16.21</v>
    <v>16.18</v>
    <v>16.3</v>
    <v>16.57</v>
    <v>16.760000000000002</v>
    <v>16.66</v>
    <v>17.22</v>
    <v>16.940000000000001</v>
    <v>17.09</v>
    <v>16.920000000000002</v>
    <v>16.62</v>
    <v>16.41</v>
    <v>16.45</v>
    <v>16.649999999999999</v>
    <v>16.52</v>
    <v>16.46</v>
    <v>16.61</v>
    <v>16.399999999999999</v>
    <v>16.489999999999998</v>
    <v>16.55</v>
    <v>16.57</v>
    <v>16.579999999999998</v>
    <v>16.739999999999998</v>
    <v>16.78</v>
    <v>17.25</v>
    <v>17.23</v>
    <v>17.149999999999999</v>
    <v>17.47</v>
    <v>17.32</v>
    <v>16.95</v>
    <v>16.87</v>
    <v>16.23</v>
    <v>16.48</v>
    <v>16.440000000000001</v>
    <v>16.41</v>
    <v>16.399999999999999</v>
    <v>16.670000000000002</v>
    <v>16.8</v>
    <v>17.190000000000001</v>
    <v>16.68</v>
    <v>17.18</v>
    <v>17.29</v>
    <v>17.25</v>
    <v>17.53</v>
    <v>17.690000000000001</v>
    <v>18.04</v>
    <v>17.829999999999998</v>
    <v>17.73</v>
    <v>17.61</v>
    <v>17.329999999999998</v>
    <v>16.82</v>
    <v>16.84</v>
    <v>17.02</v>
    <v>16.899999999999999</v>
    <v>16.91</v>
    <v>17.09</v>
    <v>16.97</v>
    <v>16.91</v>
    <v>17</v>
    <v>16.59</v>
    <v>16.8</v>
    <v>16.600000000000001</v>
    <v>16.829999999999998</v>
    <v>16.96</v>
    <v>16.93</v>
    <v>16.98</v>
    <v>16.8</v>
    <v>17.170000000000002</v>
    <v>17.18</v>
    <v>17.05</v>
    <v>17.2</v>
    <v>17.329999999999998</v>
    <v>17.2</v>
    <v>17.190000000000001</v>
    <v>17.010000000000002</v>
    <v>17.05</v>
    <v>17.3</v>
    <v>17.170000000000002</v>
    <v>17.21</v>
    <v>17.16</v>
    <v>16.98</v>
    <v>17.12</v>
    <v>17.18</v>
    <v>17.55</v>
    <v>17.600000000000001</v>
    <v>17.5</v>
    <v>17.52</v>
    <v>17.61</v>
    <v>17.57</v>
    <v>17.420000000000002</v>
    <v>17.25</v>
    <v>16.899999999999999</v>
    <v>16.73</v>
    <v>16.420000000000002</v>
    <v>16.309999999999999</v>
    <v>16.239999999999998</v>
    <v>16.09</v>
    <v>16.12</v>
    <v>16.329999999999998</v>
    <v>16.510000000000002</v>
    <v>16.309999999999999</v>
    <v>16.5</v>
    <v>16.809999999999999</v>
    <v>16.579999999999998</v>
    <v>16.75</v>
    <v>17.02</v>
    <v>16.89</v>
    <v>16.920000000000002</v>
    <v>16.82</v>
    <v>16.850000000000001</v>
    <v>16.989999999999998</v>
    <v>17.079999999999998</v>
    <v>17.11</v>
    <v>17.18</v>
    <v>17.170000000000002</v>
    <v>17.260000000000002</v>
    <v>17.3</v>
    <v>17.329999999999998</v>
    <v>17.3</v>
    <v>17.399999999999999</v>
    <v>17.52</v>
    <v>17.27</v>
    <v>17.5</v>
    <v>17.47</v>
    <v>17.5</v>
    <v>17.27</v>
    <v>17.12</v>
    <v>17.62</v>
    <v>18.22</v>
    <v>18.010000000000002</v>
    <v>18.350000000000001</v>
    <v>18.3</v>
    <v>18.28</v>
    <v>18.100000000000001</v>
    <v>17.86</v>
    <v>17.86</v>
    <v>17.61</v>
    <v>17.670000000000002</v>
    <v>17.64</v>
    <v>17.670000000000002</v>
    <v>18.05</v>
    <v>18.11</v>
    <v>18.399999999999999</v>
    <v>18.649999999999999</v>
    <v>18.690000000000001</v>
    <v>18.760000000000002</v>
    <v>18.75</v>
    <v>19.11</v>
    <v>18.98</v>
    <v>18.82</v>
    <v>18.68</v>
    <v>18.77</v>
    <v>18.809999999999999</v>
    <v>18.8</v>
    <v>18.739999999999998</v>
    <v>18.86</v>
    <v>18.809999999999999</v>
    <v>18.579999999999998</v>
    <v>18.850000000000001</v>
    <v>19.16</v>
    <v>19.149999999999999</v>
    <v>19.12</v>
    <v>18.55</v>
    <v>18.21</v>
    <v>19.16</v>
    <v>19.190000000000001</v>
    <v>19.010000000000002</v>
    <v>18.899999999999999</v>
    <v>18.98</v>
    <v>19.25</v>
    <v>19.47</v>
    <v>19.37</v>
    <v>18.91</v>
    <v>19.190000000000001</v>
    <v>19.25</v>
    <v>19.399999999999999</v>
    <v>19.489999999999998</v>
    <v>19.43</v>
    <v>19.52</v>
    <v>19.63</v>
    <v>19.09</v>
    <v>19.34</v>
    <v>19.489999999999998</v>
    <v>19.489999999999998</v>
    <v>19.54</v>
    <v>19.510000000000002</v>
    <v>19.73</v>
    <v>19.760000000000002</v>
    <v>19.649999999999999</v>
    <v>19.82</v>
    <v>19.760000000000002</v>
    <v>19.899999999999999</v>
    <v>20.43</v>
    <v>20.57</v>
    <v>20.65</v>
    <v>20.97</v>
    <v>21.5</v>
    <v>21.71</v>
    <v>21.45</v>
    <v>21.59</v>
    <v>21.64</v>
    <v>22.27</v>
    <v>21.78</v>
    <v>21.73</v>
    <v>21.36</v>
    <v>21.54</v>
    <v>21.49</v>
    <v>21.59</v>
    <v>21.56</v>
    <v>21.65</v>
    <v>21.9</v>
    <v>22</v>
    <v>22.13</v>
    <v>22.19</v>
    <v>22.05</v>
    <v>21.91</v>
    <v>21.78</v>
    <v>21.86</v>
    <v>21.93</v>
    <v>21.22</v>
    <v>21.37</v>
    <v>21.26</v>
    <v>21.51</v>
    <v>21.71</v>
    <v>21.73</v>
    <v>21.85</v>
    <v>21.66</v>
    <v>21.5</v>
    <v>22.49</v>
    <v>22.2</v>
    <v>21.83</v>
    <v>22.11</v>
    <v>22.18</v>
    <v>22.02</v>
    <v>22.54</v>
    <v>22.12</v>
    <v>21.92</v>
    <v>22.05</v>
    <v>22.32</v>
    <v>22.04</v>
    <v>22.34</v>
    <v>22.31</v>
    <v>22.15</v>
    <v>22.3</v>
    <v>22.25</v>
    <v>22.68</v>
    <v>22.99</v>
    <v>22.73</v>
    <v>22.83</v>
    <v>22.98</v>
    <v>23.18</v>
    <v>23.1</v>
    <v>23.09</v>
    <v>23.27</v>
    <v>23.16</v>
    <v>22.7</v>
    <v>23.74</v>
    <v>23.53</v>
    <v>23.83</v>
    <v>23.88</v>
    <v>23.37</v>
    <v>23.51</v>
    <v>23.48</v>
    <v>23.36</v>
    <v>23.63</v>
    <v>22.84</v>
    <v>22.83</v>
    <v>22.48</v>
    <v>22.57</v>
    <v>22.75</v>
    <v>22.84</v>
    <v>22.95</v>
    <v>22.96</v>
    <v>22.86</v>
    <v>22.61</v>
    <v>22.77</v>
  </a>
</arrayData>
</file>

<file path=xl/richData/rdrichvalue.xml><?xml version="1.0" encoding="utf-8"?>
<rvData xmlns="http://schemas.microsoft.com/office/spreadsheetml/2017/richdata" count="8170">
  <rv s="0">
    <fb>44166</fb>
    <v>0</v>
  </rv>
  <rv s="0">
    <fb>216.21</fb>
    <v>1</v>
  </rv>
  <rv s="0">
    <fb>21.802</fb>
    <v>1</v>
  </rv>
  <rv s="0">
    <fb>211.2</fb>
    <v>1</v>
  </rv>
  <rv s="0">
    <fb>115.36</fb>
    <v>1</v>
  </rv>
  <rv s="0">
    <fb>15.06</fb>
    <v>1</v>
  </rv>
  <rv s="0">
    <fb>284.99</fb>
    <v>1</v>
  </rv>
  <rv s="0">
    <fb>1110.4000000000001</fb>
    <v>1</v>
  </rv>
  <rv s="0">
    <fb>32.4</fb>
    <v>1</v>
  </rv>
  <rv s="0">
    <fb>44167</fb>
    <v>0</v>
  </rv>
  <rv s="0">
    <fb>215.37</fb>
    <v>1</v>
  </rv>
  <rv s="0">
    <fb>21.9682</fb>
    <v>1</v>
  </rv>
  <rv s="0">
    <fb>210.18</fb>
    <v>1</v>
  </rv>
  <rv s="0">
    <fb>114.57</fb>
    <v>1</v>
  </rv>
  <rv s="0">
    <fb>15.57</fb>
    <v>1</v>
  </rv>
  <rv s="0">
    <fb>320.89</fb>
    <v>1</v>
  </rv>
  <rv s="0">
    <fb>1104.6400000000001</fb>
    <v>1</v>
  </rv>
  <rv s="0">
    <fb>32.131999999999998</fb>
    <v>1</v>
  </rv>
  <rv s="0">
    <fb>44168</fb>
    <v>0</v>
  </rv>
  <rv s="0">
    <fb>214.24</fb>
    <v>1</v>
  </rv>
  <rv s="0">
    <fb>22.073899999999998</fb>
    <v>1</v>
  </rv>
  <rv s="0">
    <fb>208.05</fb>
    <v>1</v>
  </rv>
  <rv s="0">
    <fb>113.58</fb>
    <v>1</v>
  </rv>
  <rv s="0">
    <fb>15.22</fb>
    <v>1</v>
  </rv>
  <rv s="0">
    <fb>316.43</fb>
    <v>1</v>
  </rv>
  <rv s="0">
    <fb>1114.8800000000001</fb>
    <v>1</v>
  </rv>
  <rv s="0">
    <fb>33.159999999999997</fb>
    <v>1</v>
  </rv>
  <rv s="0">
    <fb>44169</fb>
    <v>0</v>
  </rv>
  <rv s="0">
    <fb>214.36</fb>
    <v>1</v>
  </rv>
  <rv s="0">
    <fb>22.308</fb>
    <v>1</v>
  </rv>
  <rv s="0">
    <fb>212.68</fb>
    <v>1</v>
  </rv>
  <rv s="0">
    <fb>115.15</fb>
    <v>1</v>
  </rv>
  <rv s="0">
    <fb>16.690000000000001</fb>
    <v>1</v>
  </rv>
  <rv s="0">
    <fb>319.77</fb>
    <v>1</v>
  </rv>
  <rv s="0">
    <fb>1095.04</fb>
    <v>1</v>
  </rv>
  <rv s="0">
    <fb>32.799999999999997</fb>
    <v>1</v>
  </rv>
  <rv s="0">
    <fb>44172</fb>
    <v>0</v>
  </rv>
  <rv s="0">
    <fb>214.29</fb>
    <v>1</v>
  </rv>
  <rv s="0">
    <fb>22.383500000000002</fb>
    <v>1</v>
  </rv>
  <rv s="0">
    <fb>212.65</fb>
    <v>1</v>
  </rv>
  <rv s="0">
    <fb>114.4</fb>
    <v>1</v>
  </rv>
  <rv s="0">
    <fb>17.190000000000001</fb>
    <v>1</v>
  </rv>
  <rv s="0">
    <fb>342</fb>
    <v>1</v>
  </rv>
  <rv s="0">
    <fb>1101.44</fb>
    <v>1</v>
  </rv>
  <rv s="0">
    <fb>33.622</fb>
    <v>1</v>
  </rv>
  <rv s="0">
    <fb>44173</fb>
    <v>0</v>
  </rv>
  <rv s="0">
    <fb>216.01</fb>
    <v>1</v>
  </rv>
  <rv s="0">
    <fb>23.267099999999999</fb>
    <v>1</v>
  </rv>
  <rv s="0">
    <fb>212.77</fb>
    <v>1</v>
  </rv>
  <rv s="0">
    <fb>117.01</fb>
    <v>1</v>
  </rv>
  <rv s="0">
    <fb>19.47</fb>
    <v>1</v>
  </rv>
  <rv s="0">
    <fb>332.86</fb>
    <v>1</v>
  </rv>
  <rv s="0">
    <fb>1061.76</fb>
    <v>1</v>
  </rv>
  <rv s="0">
    <fb>28.945</fb>
    <v>1</v>
  </rv>
  <rv s="0">
    <fb>44174</fb>
    <v>0</v>
  </rv>
  <rv s="0">
    <fb>211.8</fb>
    <v>1</v>
  </rv>
  <rv s="0">
    <fb>23.757999999999999</fb>
    <v>1</v>
  </rv>
  <rv s="0">
    <fb>209.58</fb>
    <v>1</v>
  </rv>
  <rv s="0">
    <fb>116.4</fb>
    <v>1</v>
  </rv>
  <rv s="0">
    <fb>18.25</fb>
    <v>1</v>
  </rv>
  <rv s="0">
    <fb>332.45</fb>
    <v>1</v>
  </rv>
  <rv s="0">
    <fb>1100.8</fb>
    <v>1</v>
  </rv>
  <rv s="0">
    <fb>28.620999999999999</fb>
    <v>1</v>
  </rv>
  <rv s="0">
    <fb>44175</fb>
    <v>0</v>
  </rv>
  <rv s="0">
    <fb>210.52</fb>
    <v>1</v>
  </rv>
  <rv s="0">
    <fb>23.176500000000001</fb>
    <v>1</v>
  </rv>
  <rv s="0">
    <fb>207.61</fb>
    <v>1</v>
  </rv>
  <rv s="0">
    <fb>118.81</fb>
    <v>1</v>
  </rv>
  <rv s="0">
    <fb>18.850000000000001</fb>
    <v>1</v>
  </rv>
  <rv s="0">
    <fb>343.3</fb>
    <v>1</v>
  </rv>
  <rv s="0">
    <fb>1111.04</fb>
    <v>1</v>
  </rv>
  <rv s="0">
    <fb>29.033000000000001</fb>
    <v>1</v>
  </rv>
  <rv s="0">
    <fb>44176</fb>
    <v>0</v>
  </rv>
  <rv s="0">
    <fb>213.26</fb>
    <v>1</v>
  </rv>
  <rv s="0">
    <fb>23.418099999999999</fb>
    <v>1</v>
  </rv>
  <rv s="0">
    <fb>206.24</fb>
    <v>1</v>
  </rv>
  <rv s="0">
    <fb>118.48</fb>
    <v>1</v>
  </rv>
  <rv s="0">
    <fb>18.309999999999999</fb>
    <v>1</v>
  </rv>
  <rv s="0">
    <fb>341.22</fb>
    <v>1</v>
  </rv>
  <rv s="0">
    <fb>1152</fb>
    <v>1</v>
  </rv>
  <rv s="0">
    <fb>28.591999999999999</fb>
    <v>1</v>
  </rv>
  <rv s="0">
    <fb>44179</fb>
    <v>0</v>
  </rv>
  <rv s="0">
    <fb>214.2</fb>
    <v>1</v>
  </rv>
  <rv s="0">
    <fb>23.070699999999999</fb>
    <v>1</v>
  </rv>
  <rv s="0">
    <fb>207.25</fb>
    <v>1</v>
  </rv>
  <rv s="0">
    <fb>116.74</fb>
    <v>1</v>
  </rv>
  <rv s="0">
    <fb>17.260000000000002</fb>
    <v>1</v>
  </rv>
  <rv s="0">
    <fb>320.33999999999997</fb>
    <v>1</v>
  </rv>
  <rv s="0">
    <fb>1178.24</fb>
    <v>1</v>
  </rv>
  <rv s="0">
    <fb>27.952999999999999</fb>
    <v>1</v>
  </rv>
  <rv s="0">
    <fb>44180</fb>
    <v>0</v>
  </rv>
  <rv s="0">
    <fb>214.13</fb>
    <v>1</v>
  </rv>
  <rv s="0">
    <fb>23.093399999999999</fb>
    <v>1</v>
  </rv>
  <rv s="0">
    <fb>208.36</fb>
    <v>1</v>
  </rv>
  <rv s="0">
    <fb>117.39</fb>
    <v>1</v>
  </rv>
  <rv s="0">
    <fb>17.920000000000002</fb>
    <v>1</v>
  </rv>
  <rv s="0">
    <fb>326.97000000000003</fb>
    <v>1</v>
  </rv>
  <rv s="0">
    <fb>1123.8399999999999</fb>
    <v>1</v>
  </rv>
  <rv s="0">
    <fb>28.579000000000001</fb>
    <v>1</v>
  </rv>
  <rv s="0">
    <fb>44181</fb>
    <v>0</v>
  </rv>
  <rv s="0">
    <fb>219.28</fb>
    <v>1</v>
  </rv>
  <rv s="0">
    <fb>22.874400000000001</fb>
    <v>1</v>
  </rv>
  <rv s="0">
    <fb>208.27</fb>
    <v>1</v>
  </rv>
  <rv s="0">
    <fb>117.24</fb>
    <v>1</v>
  </rv>
  <rv s="0">
    <fb>18.37</fb>
    <v>1</v>
  </rv>
  <rv s="0">
    <fb>318.52999999999997</fb>
    <v>1</v>
  </rv>
  <rv s="0">
    <fb>1087.3599999999999</fb>
    <v>1</v>
  </rv>
  <rv s="0">
    <fb>29.911999999999999</fb>
    <v>1</v>
  </rv>
  <rv s="0">
    <fb>44182</fb>
    <v>0</v>
  </rv>
  <rv s="0">
    <fb>219.42</fb>
    <v>1</v>
  </rv>
  <rv s="0">
    <fb>22.368400000000001</fb>
    <v>1</v>
  </rv>
  <rv s="0">
    <fb>211.18</fb>
    <v>1</v>
  </rv>
  <rv s="0">
    <fb>118.97</fb>
    <v>1</v>
  </rv>
  <rv s="0">
    <fb>18.559999999999999</fb>
    <v>1</v>
  </rv>
  <rv s="0">
    <fb>328.06</fb>
    <v>1</v>
  </rv>
  <rv s="0">
    <fb>1072</fb>
    <v>1</v>
  </rv>
  <rv s="0">
    <fb>29.78</fb>
    <v>1</v>
  </rv>
  <rv s="1">
    <v>2</v>
    <v>1</v>
  </rv>
  <rv s="0">
    <fb>44183</fb>
    <v>0</v>
  </rv>
  <rv s="0">
    <fb>218.59</fb>
    <v>1</v>
  </rv>
  <rv s="0">
    <fb>22.202300000000001</fb>
    <v>1</v>
  </rv>
  <rv s="0">
    <fb>211.31</fb>
    <v>1</v>
  </rv>
  <rv s="0">
    <fb>119.3</fb>
    <v>1</v>
  </rv>
  <rv s="0">
    <fb>16.87</fb>
    <v>1</v>
  </rv>
  <rv s="0">
    <fb>336.1</fb>
    <v>1</v>
  </rv>
  <rv s="0">
    <fb>1093.1199999999999</fb>
    <v>1</v>
  </rv>
  <rv s="0">
    <fb>30.12</fb>
    <v>1</v>
  </rv>
  <rv s="0">
    <fb>44186</fb>
    <v>0</v>
  </rv>
  <rv s="0">
    <fb>222.59</fb>
    <v>1</v>
  </rv>
  <rv s="0">
    <fb>21.907800000000002</fb>
    <v>1</v>
  </rv>
  <rv s="0">
    <fb>209.01</fb>
    <v>1</v>
  </rv>
  <rv s="0">
    <fb>117.78</fb>
    <v>1</v>
  </rv>
  <rv s="0">
    <fb>17.38</fb>
    <v>1</v>
  </rv>
  <rv s="0">
    <fb>325.57</fb>
    <v>1</v>
  </rv>
  <rv s="0">
    <fb>1180.1600000000001</fb>
    <v>1</v>
  </rv>
  <rv s="0">
    <fb>31.76</fb>
    <v>1</v>
  </rv>
  <rv s="0">
    <fb>44187</fb>
    <v>0</v>
  </rv>
  <rv s="0">
    <fb>223.94</fb>
    <v>1</v>
  </rv>
  <rv s="0">
    <fb>21.447099999999999</fb>
    <v>1</v>
  </rv>
  <rv s="0">
    <fb>205.84</fb>
    <v>1</v>
  </rv>
  <rv s="0">
    <fb>117.37</fb>
    <v>1</v>
  </rv>
  <rv s="0">
    <fb>16.88</fb>
    <v>1</v>
  </rv>
  <rv s="0">
    <fb>321.95999999999998</fb>
    <v>1</v>
  </rv>
  <rv s="0">
    <fb>1159.04</fb>
    <v>1</v>
  </rv>
  <rv s="0">
    <fb>33.15</fb>
    <v>1</v>
  </rv>
  <rv s="0">
    <fb>44188</fb>
    <v>0</v>
  </rv>
  <rv s="0">
    <fb>221.02</fb>
    <v>1</v>
  </rv>
  <rv s="0">
    <fb>21.711400000000001</fb>
    <v>1</v>
  </rv>
  <rv s="0">
    <fb>205.3</fb>
    <v>1</v>
  </rv>
  <rv s="0">
    <fb>117.3</fb>
    <v>1</v>
  </rv>
  <rv s="0">
    <fb>330.79</fb>
    <v>1</v>
  </rv>
  <rv s="0">
    <fb>1112.32</fb>
    <v>1</v>
  </rv>
  <rv s="0">
    <fb>33.718000000000004</fb>
    <v>1</v>
  </rv>
  <rv s="0">
    <fb>44189</fb>
    <v>0</v>
  </rv>
  <rv s="0">
    <fb>222.75</fb>
    <v>1</v>
  </rv>
  <rv s="0">
    <fb>21.6661</fb>
    <v>1</v>
  </rv>
  <rv s="0">
    <fb>208.7</fb>
    <v>1</v>
  </rv>
  <rv s="0">
    <fb>117.31</fb>
    <v>1</v>
  </rv>
  <rv s="0">
    <fb>16.79</fb>
    <v>1</v>
  </rv>
  <rv s="0">
    <fb>328.39</fb>
    <v>1</v>
  </rv>
  <rv s="0">
    <fb>1080.32</fb>
    <v>1</v>
  </rv>
  <rv s="0">
    <fb>32.261000000000003</fb>
    <v>1</v>
  </rv>
  <rv s="0">
    <fb>44193</fb>
    <v>0</v>
  </rv>
  <rv s="0">
    <fb>224.96</fb>
    <v>1</v>
  </rv>
  <rv s="0">
    <fb>21.560400000000001</fb>
    <v>1</v>
  </rv>
  <rv s="0">
    <fb>212.63</fb>
    <v>1</v>
  </rv>
  <rv s="0">
    <fb>117.83</fb>
    <v>1</v>
  </rv>
  <rv s="0">
    <fb>16.309999999999999</fb>
    <v>1</v>
  </rv>
  <rv s="0">
    <fb>317.29000000000002</fb>
    <v>1</v>
  </rv>
  <rv s="0">
    <fb>1076.48</fb>
    <v>1</v>
  </rv>
  <rv s="0">
    <fb>37</fb>
    <v>1</v>
  </rv>
  <rv s="0">
    <fb>44194</fb>
    <v>0</v>
  </rv>
  <rv s="0">
    <fb>224.15</fb>
    <v>1</v>
  </rv>
  <rv s="0">
    <fb>21.552800000000001</fb>
    <v>1</v>
  </rv>
  <rv s="0">
    <fb>214.37</fb>
    <v>1</v>
  </rv>
  <rv s="0">
    <fb>117.23</fb>
    <v>1</v>
  </rv>
  <rv s="0">
    <fb>16.440000000000001</fb>
    <v>1</v>
  </rv>
  <rv s="0">
    <fb>318.43</fb>
    <v>1</v>
  </rv>
  <rv s="0">
    <fb>1115.52</fb>
    <v>1</v>
  </rv>
  <rv s="0">
    <fb>36.606999999999999</fb>
    <v>1</v>
  </rv>
  <rv s="0">
    <fb>44195</fb>
    <v>0</v>
  </rv>
  <rv s="0">
    <fb>221.68</fb>
    <v>1</v>
  </rv>
  <rv s="0">
    <fb>21.5151</fb>
    <v>1</v>
  </rv>
  <rv s="0">
    <fb>218.36</fb>
    <v>1</v>
  </rv>
  <rv s="0">
    <fb>16.84</fb>
    <v>1</v>
  </rv>
  <rv s="0">
    <fb>319.35000000000002</fb>
    <v>1</v>
  </rv>
  <rv s="0">
    <fb>1075.2</fb>
    <v>1</v>
  </rv>
  <rv s="0">
    <fb>38.997</fb>
    <v>1</v>
  </rv>
  <rv s="0">
    <fb>44196</fb>
    <v>0</v>
  </rv>
  <rv s="0">
    <fb>222.42</fb>
    <v>1</v>
  </rv>
  <rv s="0">
    <fb>21.719000000000001</fb>
    <v>1</v>
  </rv>
  <rv s="0">
    <fb>218.73</fb>
    <v>1</v>
  </rv>
  <rv s="0">
    <fb>118.49</fb>
    <v>1</v>
  </rv>
  <rv s="0">
    <fb>16.77</fb>
    <v>1</v>
  </rv>
  <rv s="0">
    <fb>314.66000000000003</fb>
    <v>1</v>
  </rv>
  <rv s="0">
    <fb>1074.56</fb>
    <v>1</v>
  </rv>
  <rv s="0">
    <fb>38.854999999999997</fb>
    <v>1</v>
  </rv>
  <rv s="0">
    <fb>44200</fb>
    <v>0</v>
  </rv>
  <rv s="0">
    <fb>217.69</fb>
    <v>1</v>
  </rv>
  <rv s="0">
    <fb>22.232500000000002</fb>
    <v>1</v>
  </rv>
  <rv s="0">
    <fb>217.76</fb>
    <v>1</v>
  </rv>
  <rv s="0">
    <fb>118.64</fb>
    <v>1</v>
  </rv>
  <rv s="0">
    <fb>17.14</fb>
    <v>1</v>
  </rv>
  <rv s="0">
    <fb>311</fb>
    <v>1</v>
  </rv>
  <rv s="0">
    <fb>1168</fb>
    <v>1</v>
  </rv>
  <rv s="0">
    <fb>42.521999999999998</fb>
    <v>1</v>
  </rv>
  <rv s="0">
    <fb>44201</fb>
    <v>0</v>
  </rv>
  <rv s="0">
    <fb>217.9</fb>
    <v>1</v>
  </rv>
  <rv s="0">
    <fb>22.096599999999999</fb>
    <v>1</v>
  </rv>
  <rv s="0">
    <fb>214.51</fb>
    <v>1</v>
  </rv>
  <rv s="0">
    <fb>119.61</fb>
    <v>1</v>
  </rv>
  <rv s="0">
    <fb>18.2</fb>
    <v>1</v>
  </rv>
  <rv s="0">
    <fb>313.72000000000003</fb>
    <v>1</v>
  </rv>
  <rv s="0">
    <fb>1128.96</fb>
    <v>1</v>
  </rv>
  <rv s="0">
    <fb>42.863</fb>
    <v>1</v>
  </rv>
  <rv s="0">
    <fb>44202</fb>
    <v>0</v>
  </rv>
  <rv s="0">
    <fb>212.25</fb>
    <v>1</v>
  </rv>
  <rv s="0">
    <fb>22.527000000000001</fb>
    <v>1</v>
  </rv>
  <rv s="0">
    <fb>212.62</fb>
    <v>1</v>
  </rv>
  <rv s="0">
    <fb>122.89</fb>
    <v>1</v>
  </rv>
  <rv s="0">
    <fb>21.32</fb>
    <v>1</v>
  </rv>
  <rv s="0">
    <fb>314.24</fb>
    <v>1</v>
  </rv>
  <rv s="0">
    <fb>1123.2</fb>
    <v>1</v>
  </rv>
  <rv s="0">
    <fb>48.055</fb>
    <v>1</v>
  </rv>
  <rv s="0">
    <fb>44203</fb>
    <v>0</v>
  </rv>
  <rv s="0">
    <fb>218.29</fb>
    <v>1</v>
  </rv>
  <rv s="0">
    <fb>22.587399999999999</fb>
    <v>1</v>
  </rv>
  <rv s="0">
    <fb>213.81</fb>
    <v>1</v>
  </rv>
  <rv s="0">
    <fb>126.16</fb>
    <v>1</v>
  </rv>
  <rv s="0">
    <fb>20.45</fb>
    <v>1</v>
  </rv>
  <rv s="0">
    <fb>331.36</fb>
    <v>1</v>
  </rv>
  <rv s="0">
    <fb>1056</fb>
    <v>1</v>
  </rv>
  <rv s="0">
    <fb>53.575000000000003</fb>
    <v>1</v>
  </rv>
  <rv s="0">
    <fb>44204</fb>
    <v>0</v>
  </rv>
  <rv s="0">
    <fb>219.62</fb>
    <v>1</v>
  </rv>
  <rv s="0">
    <fb>21.915299999999998</fb>
    <v>1</v>
  </rv>
  <rv s="0">
    <fb>215.45</fb>
    <v>1</v>
  </rv>
  <rv s="0">
    <fb>127.06</fb>
    <v>1</v>
  </rv>
  <rv s="0">
    <fb>22.29</fb>
    <v>1</v>
  </rv>
  <rv s="0">
    <fb>353.11</fb>
    <v>1</v>
  </rv>
  <rv s="0">
    <fb>1046.4000000000001</fb>
    <v>1</v>
  </rv>
  <rv s="0">
    <fb>53.164000000000001</fb>
    <v>1</v>
  </rv>
  <rv s="2">
    <v>[ID Dist with Expected Value of 10,000]</v>
    <v>2</v>
    <v>5</v>
    <v>5</v>
  </rv>
  <rv s="0">
    <fb>44207</fb>
    <v>0</v>
  </rv>
  <rv s="0">
    <fb>217.49</fb>
    <v>1</v>
  </rv>
  <rv s="0">
    <fb>212.89</fb>
    <v>1</v>
  </rv>
  <rv s="0">
    <fb>128.15</fb>
    <v>1</v>
  </rv>
  <rv s="0">
    <fb>22.77</fb>
    <v>1</v>
  </rv>
  <rv s="0">
    <fb>344.07</fb>
    <v>1</v>
  </rv>
  <rv s="0">
    <fb>1109.76</fb>
    <v>1</v>
  </rv>
  <rv s="0">
    <fb>49.548999999999999</fb>
    <v>1</v>
  </rv>
  <rv s="3">
    <v>2</v>
    <v>1</v>
    <v>5</v>
  </rv>
  <rv s="0">
    <fb>44208</fb>
    <v>0</v>
  </rv>
  <rv s="0">
    <fb>214.93</fb>
    <v>1</v>
  </rv>
  <rv s="0">
    <fb>208.86</fb>
    <v>1</v>
  </rv>
  <rv s="0">
    <fb>126.97</fb>
    <v>1</v>
  </rv>
  <rv s="0">
    <fb>23.86</fb>
    <v>1</v>
  </rv>
  <rv s="0">
    <fb>347.01</fb>
    <v>1</v>
  </rv>
  <rv s="0">
    <fb>51.423999999999999</fb>
    <v>1</v>
  </rv>
  <rv s="0">
    <fb>44209</fb>
    <v>0</v>
  </rv>
  <rv s="0">
    <fb>216.34</fb>
    <v>1</v>
  </rv>
  <rv s="0">
    <fb>21.605699999999999</fb>
    <v>1</v>
  </rv>
  <rv s="0">
    <fb>209.35</fb>
    <v>1</v>
  </rv>
  <rv s="0">
    <fb>126.98</fb>
    <v>1</v>
  </rv>
  <rv s="0">
    <fb>22.6</fb>
    <v>1</v>
  </rv>
  <rv s="0">
    <fb>347.06</fb>
    <v>1</v>
  </rv>
  <rv s="0">
    <fb>1055.3599999999999</fb>
    <v>1</v>
  </rv>
  <rv s="0">
    <fb>51.926000000000002</fb>
    <v>1</v>
  </rv>
  <rv s="0">
    <fb>44210</fb>
    <v>0</v>
  </rv>
  <rv s="0">
    <fb>213.02</fb>
    <v>1</v>
  </rv>
  <rv s="0">
    <fb>22.119199999999999</fb>
    <v>1</v>
  </rv>
  <rv s="0">
    <fb>201.86</fb>
    <v>1</v>
  </rv>
  <rv s="0">
    <fb>126.03</fb>
    <v>1</v>
  </rv>
  <rv s="0">
    <fb>22.14</fb>
    <v>1</v>
  </rv>
  <rv s="0">
    <fb>342.27</fb>
    <v>1</v>
  </rv>
  <rv s="0">
    <fb>1067.52</fb>
    <v>1</v>
  </rv>
  <rv s="0">
    <fb>63.1</fb>
    <v>1</v>
  </rv>
  <rv s="0">
    <fb>44211</fb>
    <v>0</v>
  </rv>
  <rv s="0">
    <fb>22.028600000000001</fb>
    <v>1</v>
  </rv>
  <rv s="0">
    <fb>201.59</fb>
    <v>1</v>
  </rv>
  <rv s="0">
    <fb>126.21</fb>
    <v>1</v>
  </rv>
  <rv s="0">
    <fb>20.88</fb>
    <v>1</v>
  </rv>
  <rv s="0">
    <fb>319.82</fb>
    <v>1</v>
  </rv>
  <rv s="0">
    <fb>57.807000000000002</fb>
    <v>1</v>
  </rv>
  <rv s="0">
    <fb>44215</fb>
    <v>0</v>
  </rv>
  <rv s="0">
    <fb>216.44</fb>
    <v>1</v>
  </rv>
  <rv s="0">
    <fb>21.862500000000001</fb>
    <v>1</v>
  </rv>
  <rv s="0">
    <fb>201.66</fb>
    <v>1</v>
  </rv>
  <rv s="0">
    <fb>127.35</fb>
    <v>1</v>
  </rv>
  <rv s="0">
    <fb>21.31</fb>
    <v>1</v>
  </rv>
  <rv s="0">
    <fb>319.75</fb>
    <v>1</v>
  </rv>
  <rv s="0">
    <fb>1064.32</fb>
    <v>1</v>
  </rv>
  <rv s="0">
    <fb>59.220999999999997</fb>
    <v>1</v>
  </rv>
  <rv s="0">
    <fb>44216</fb>
    <v>0</v>
  </rv>
  <rv s="0">
    <fb>224.34</fb>
    <v>1</v>
  </rv>
  <rv s="0">
    <fb>21.87</fb>
    <v>1</v>
  </rv>
  <rv s="0">
    <fb>206.01</fb>
    <v>1</v>
  </rv>
  <rv s="0">
    <fb>128.11000000000001</fb>
    <v>1</v>
  </rv>
  <rv s="0">
    <fb>20.56</fb>
    <v>1</v>
  </rv>
  <rv s="0">
    <fb>331.41</fb>
    <v>1</v>
  </rv>
  <rv s="0">
    <fb>1043.8399999999999</fb>
    <v>1</v>
  </rv>
  <rv s="0">
    <fb>55.082000000000001</fb>
    <v>1</v>
  </rv>
  <rv s="0">
    <fb>44217</fb>
    <v>0</v>
  </rv>
  <rv s="0">
    <fb>224.97</fb>
    <v>1</v>
  </rv>
  <rv s="0">
    <fb>21.771799999999999</fb>
    <v>1</v>
  </rv>
  <rv s="0">
    <fb>205.14</fb>
    <v>1</v>
  </rv>
  <rv s="0">
    <fb>127</fb>
    <v>1</v>
  </rv>
  <rv s="0">
    <fb>19.23</fb>
    <v>1</v>
  </rv>
  <rv s="0">
    <fb>348.3</fb>
    <v>1</v>
  </rv>
  <rv s="0">
    <fb>1035.52</fb>
    <v>1</v>
  </rv>
  <rv s="0">
    <fb>52.045999999999999</fb>
    <v>1</v>
  </rv>
  <rv s="0">
    <fb>44218</fb>
    <v>0</v>
  </rv>
  <rv s="0">
    <fb>225.95</fb>
    <v>1</v>
  </rv>
  <rv s="0">
    <fb>21.8474</fb>
    <v>1</v>
  </rv>
  <rv s="0">
    <fb>202.02</fb>
    <v>1</v>
  </rv>
  <rv s="0">
    <fb>126.33</fb>
    <v>1</v>
  </rv>
  <rv s="0">
    <fb>18.91</fb>
    <v>1</v>
  </rv>
  <rv s="0">
    <fb>338.96</fb>
    <v>1</v>
  </rv>
  <rv s="0">
    <fb>1049.5999999999999</fb>
    <v>1</v>
  </rv>
  <rv s="0">
    <fb>57.703000000000003</fb>
    <v>1</v>
  </rv>
  <rv s="0">
    <fb>44221</fb>
    <v>0</v>
  </rv>
  <rv s="0">
    <fb>229.53</fb>
    <v>1</v>
  </rv>
  <rv s="0">
    <fb>21.9833</fb>
    <v>1</v>
  </rv>
  <rv s="0">
    <fb>200.98</fb>
    <v>1</v>
  </rv>
  <rv s="0">
    <fb>125.48</fb>
    <v>1</v>
  </rv>
  <rv s="0">
    <fb>19.03</fb>
    <v>1</v>
  </rv>
  <rv s="0">
    <fb>333.61</fb>
    <v>1</v>
  </rv>
  <rv s="0">
    <fb>1091.8399999999999</fb>
    <v>1</v>
  </rv>
  <rv s="0">
    <fb>57.142000000000003</fb>
    <v>1</v>
  </rv>
  <rv s="0">
    <fb>44222</fb>
    <v>0</v>
  </rv>
  <rv s="0">
    <fb>232.33</fb>
    <v>1</v>
  </rv>
  <rv s="0">
    <fb>22.4666</fb>
    <v>1</v>
  </rv>
  <rv s="0">
    <fb>202.01</fb>
    <v>1</v>
  </rv>
  <rv s="0">
    <fb>123.92</fb>
    <v>1</v>
  </rv>
  <rv s="0">
    <fb>18.14</fb>
    <v>1</v>
  </rv>
  <rv s="0">
    <fb>337.01</fb>
    <v>1</v>
  </rv>
  <rv s="0">
    <fb>55.981000000000002</fb>
    <v>1</v>
  </rv>
  <rv s="0">
    <fb>44223</fb>
    <v>0</v>
  </rv>
  <rv s="0">
    <fb>232.9</fb>
    <v>1</v>
  </rv>
  <rv s="0">
    <fb>22.0059</fb>
    <v>1</v>
  </rv>
  <rv s="0">
    <fb>194.97</fb>
    <v>1</v>
  </rv>
  <rv s="0">
    <fb>118.8</fb>
    <v>1</v>
  </rv>
  <rv s="0">
    <fb>18.38</fb>
    <v>1</v>
  </rv>
  <rv s="0">
    <fb>330.19</fb>
    <v>1</v>
  </rv>
  <rv s="0">
    <fb>1296</fb>
    <v>1</v>
  </rv>
  <rv s="0">
    <fb>54.01</fb>
    <v>1</v>
  </rv>
  <rv s="0">
    <fb>44224</fb>
    <v>0</v>
  </rv>
  <rv s="0">
    <fb>238.93</fb>
    <v>1</v>
  </rv>
  <rv s="0">
    <fb>21.749199999999998</fb>
    <v>1</v>
  </rv>
  <rv s="0">
    <fb>198.22</fb>
    <v>1</v>
  </rv>
  <rv s="0">
    <fb>121.56</fb>
    <v>1</v>
  </rv>
  <rv s="0">
    <fb>18.73</fb>
    <v>1</v>
  </rv>
  <rv s="0">
    <fb>325.44</fb>
    <v>1</v>
  </rv>
  <rv s="0">
    <fb>1266.56</fb>
    <v>1</v>
  </rv>
  <rv s="0">
    <fb>57.837499999999999</fb>
    <v>1</v>
  </rv>
  <rv s="0">
    <fb>44225</fb>
    <v>0</v>
  </rv>
  <rv s="0">
    <fb>231.96</fb>
    <v>1</v>
  </rv>
  <rv s="0">
    <fb>21.620799999999999</fb>
    <v>1</v>
  </rv>
  <rv s="0">
    <fb>193.25</fb>
    <v>1</v>
  </rv>
  <rv s="0">
    <fb>120.17</fb>
    <v>1</v>
  </rv>
  <rv s="0">
    <fb>17.760000000000002</fb>
    <v>1</v>
  </rv>
  <rv s="0">
    <fb>315</fb>
    <v>1</v>
  </rv>
  <rv s="0">
    <fb>1349.12</fb>
    <v>1</v>
  </rv>
  <rv s="0">
    <fb>61.731000000000002</fb>
    <v>1</v>
  </rv>
  <rv s="0">
    <fb>44228</fb>
    <v>0</v>
  </rv>
  <rv s="0">
    <fb>239.65</fb>
    <v>1</v>
  </rv>
  <rv s="0">
    <fb>21.635899999999999</fb>
    <v>1</v>
  </rv>
  <rv s="0">
    <fb>198.36</fb>
    <v>1</v>
  </rv>
  <rv s="0">
    <fb>120.83</fb>
    <v>1</v>
  </rv>
  <rv s="0">
    <fb>18.149999999999999</fb>
    <v>1</v>
  </rv>
  <rv s="0">
    <fb>332.65</fb>
    <v>1</v>
  </rv>
  <rv s="0">
    <fb>1272.32</fb>
    <v>1</v>
  </rv>
  <rv s="0">
    <fb>63.456000000000003</fb>
    <v>1</v>
  </rv>
  <rv s="0">
    <fb>44229</fb>
    <v>0</v>
  </rv>
  <rv s="0">
    <fb>239.51</fb>
    <v>1</v>
  </rv>
  <rv s="0">
    <fb>202.61</fb>
    <v>1</v>
  </rv>
  <rv s="0">
    <fb>123.19</fb>
    <v>1</v>
  </rv>
  <rv s="0">
    <fb>17.64</fb>
    <v>1</v>
  </rv>
  <rv s="0">
    <fb>345.05</fb>
    <v>1</v>
  </rv>
  <rv s="0">
    <fb>1164.1600000000001</fb>
    <v>1</v>
  </rv>
  <rv s="0">
    <fb>68.792000000000002</fb>
    <v>1</v>
  </rv>
  <rv s="0">
    <fb>44230</fb>
    <v>0</v>
  </rv>
  <rv s="0">
    <fb>243</fb>
    <v>1</v>
  </rv>
  <rv s="0">
    <fb>21.530200000000001</fb>
    <v>1</v>
  </rv>
  <rv s="0">
    <fb>201.36</fb>
    <v>1</v>
  </rv>
  <rv s="0">
    <fb>122.15</fb>
    <v>1</v>
  </rv>
  <rv s="0">
    <fb>16.260000000000002</fb>
    <v>1</v>
  </rv>
  <rv s="0">
    <fb>317.25</fb>
    <v>1</v>
  </rv>
  <rv s="0">
    <fb>1104</fb>
    <v>1</v>
  </rv>
  <rv s="0">
    <fb>74.119</fb>
    <v>1</v>
  </rv>
  <rv s="0">
    <fb>44231</fb>
    <v>0</v>
  </rv>
  <rv s="0">
    <fb>242.01</fb>
    <v>1</v>
  </rv>
  <rv s="0">
    <fb>21.8172</fb>
    <v>1</v>
  </rv>
  <rv s="0">
    <fb>209.25</fb>
    <v>1</v>
  </rv>
  <rv s="0">
    <fb>124.07</fb>
    <v>1</v>
  </rv>
  <rv s="0">
    <fb>16.5</fb>
    <v>1</v>
  </rv>
  <rv s="0">
    <fb>314.7</fb>
    <v>1</v>
  </rv>
  <rv s="0">
    <fb>76.558999999999997</fb>
    <v>1</v>
  </rv>
  <rv s="0">
    <fb>44232</fb>
    <v>0</v>
  </rv>
  <rv s="0">
    <fb>242.2</fb>
    <v>1</v>
  </rv>
  <rv s="0">
    <fb>208.77</fb>
    <v>1</v>
  </rv>
  <rv s="0">
    <fb>123.18</fb>
    <v>1</v>
  </rv>
  <rv s="0">
    <fb>16.55</fb>
    <v>1</v>
  </rv>
  <rv s="0">
    <fb>310.77</fb>
    <v>1</v>
  </rv>
  <rv s="0">
    <fb>1054.08</fb>
    <v>1</v>
  </rv>
  <rv s="0">
    <fb>80.599999999999994</fb>
    <v>1</v>
  </rv>
  <rv s="0">
    <fb>44235</fb>
    <v>0</v>
  </rv>
  <rv s="0">
    <fb>242.47</fb>
    <v>1</v>
  </rv>
  <rv s="0">
    <fb>21.726500000000001</fb>
    <v>1</v>
  </rv>
  <rv s="0">
    <fb>206.89</fb>
    <v>1</v>
  </rv>
  <rv s="0">
    <fb>123.41</fb>
    <v>1</v>
  </rv>
  <rv s="0">
    <fb>323.79000000000002</fb>
    <v>1</v>
  </rv>
  <rv s="0">
    <fb>1045.1199999999999</fb>
    <v>1</v>
  </rv>
  <rv s="0">
    <fb>104.1</fb>
    <v>1</v>
  </rv>
  <rv s="0">
    <fb>44236</fb>
    <v>0</v>
  </rv>
  <rv s="0">
    <fb>243.77</fb>
    <v>1</v>
  </rv>
  <rv s="0">
    <fb>21.613299999999999</fb>
    <v>1</v>
  </rv>
  <rv s="0">
    <fb>206.52</fb>
    <v>1</v>
  </rv>
  <rv s="0">
    <fb>123.24</fb>
    <v>1</v>
  </rv>
  <rv s="0">
    <fb>334</fb>
    <v>1</v>
  </rv>
  <rv s="0">
    <fb>127.294</fb>
    <v>1</v>
  </rv>
  <rv s="0">
    <fb>44237</fb>
    <v>0</v>
  </rv>
  <rv s="0">
    <fb>242.82</fb>
    <v>1</v>
  </rv>
  <rv s="0">
    <fb>206.44</fb>
    <v>1</v>
  </rv>
  <rv s="0">
    <fb>125.08</fb>
    <v>1</v>
  </rv>
  <rv s="0">
    <fb>16.41</fb>
    <v>1</v>
  </rv>
  <rv s="0">
    <fb>335.71</fb>
    <v>1</v>
  </rv>
  <rv s="0">
    <fb>1066.8800000000001</fb>
    <v>1</v>
  </rv>
  <rv s="0">
    <fb>97.447999999999993</fb>
    <v>1</v>
  </rv>
  <rv s="0">
    <fb>44238</fb>
    <v>0</v>
  </rv>
  <rv s="0">
    <fb>244.49</fb>
    <v>1</v>
  </rv>
  <rv s="0">
    <fb>210.66</fb>
    <v>1</v>
  </rv>
  <rv s="0">
    <fb>126.96</fb>
    <v>1</v>
  </rv>
  <rv s="0">
    <fb>16.52</fb>
    <v>1</v>
  </rv>
  <rv s="0">
    <fb>331.9</fb>
    <v>1</v>
  </rv>
  <rv s="0">
    <fb>1041.92</fb>
    <v>1</v>
  </rv>
  <rv s="0">
    <fb>100.994</fb>
    <v>1</v>
  </rv>
  <rv s="0">
    <fb>44239</fb>
    <v>0</v>
  </rv>
  <rv s="0">
    <fb>244.99</fb>
    <v>1</v>
  </rv>
  <rv s="0">
    <fb>209.96</fb>
    <v>1</v>
  </rv>
  <rv s="0">
    <fb>127.98</fb>
    <v>1</v>
  </rv>
  <rv s="0">
    <fb>339.7</fb>
    <v>1</v>
  </rv>
  <rv s="0">
    <fb>1007.36</fb>
    <v>1</v>
  </rv>
  <rv s="0">
    <fb>103.431</fb>
    <v>1</v>
  </rv>
  <rv s="0">
    <fb>44243</fb>
    <v>0</v>
  </rv>
  <rv s="0">
    <fb>243.7</fb>
    <v>1</v>
  </rv>
  <rv s="0">
    <fb>21.877600000000001</fb>
    <v>1</v>
  </rv>
  <rv s="0">
    <fb>207.9</fb>
    <v>1</v>
  </rv>
  <rv s="0">
    <fb>127.95</fb>
    <v>1</v>
  </rv>
  <rv s="0">
    <fb>18.48</fb>
    <v>1</v>
  </rv>
  <rv s="0">
    <fb>353.73</fb>
    <v>1</v>
  </rv>
  <rv s="0">
    <fb>1018.24</fb>
    <v>1</v>
  </rv>
  <rv s="0">
    <fb>95.5</fb>
    <v>1</v>
  </rv>
  <rv s="0">
    <fb>44244</fb>
    <v>0</v>
  </rv>
  <rv s="0">
    <fb>244.2</fb>
    <v>1</v>
  </rv>
  <rv s="0">
    <fb>22.3307</fb>
    <v>1</v>
  </rv>
  <rv s="0">
    <fb>207.51</fb>
    <v>1</v>
  </rv>
  <rv s="0">
    <fb>130.12</fb>
    <v>1</v>
  </rv>
  <rv s="0">
    <fb>17.88</fb>
    <v>1</v>
  </rv>
  <rv s="0">
    <fb>355.19</fb>
    <v>1</v>
  </rv>
  <rv s="0">
    <fb>997.12</fb>
    <v>1</v>
  </rv>
  <rv s="0">
    <fb>94.18</fb>
    <v>1</v>
  </rv>
  <rv s="0">
    <fb>44245</fb>
    <v>0</v>
  </rv>
  <rv s="0">
    <fb>243.79</fb>
    <v>1</v>
  </rv>
  <rv s="0">
    <fb>127.68</fb>
    <v>1</v>
  </rv>
  <rv s="0">
    <fb>17</fb>
    <v>1</v>
  </rv>
  <rv s="0">
    <fb>354.88</fb>
    <v>1</v>
  </rv>
  <rv s="0">
    <fb>1002.24</fb>
    <v>1</v>
  </rv>
  <rv s="0">
    <fb>92.778000000000006</fb>
    <v>1</v>
  </rv>
  <rv s="0">
    <fb>44246</fb>
    <v>0</v>
  </rv>
  <rv s="0">
    <fb>240.97</fb>
    <v>1</v>
  </rv>
  <rv s="0">
    <fb>21.900200000000002</fb>
    <v>1</v>
  </rv>
  <rv s="0">
    <fb>204.73</fb>
    <v>1</v>
  </rv>
  <rv s="0">
    <fb>126.87</fb>
    <v>1</v>
  </rv>
  <rv s="0">
    <fb>17.899999999999999</fb>
    <v>1</v>
  </rv>
  <rv s="0">
    <fb>364.59</fb>
    <v>1</v>
  </rv>
  <rv s="0">
    <fb>966.4</fb>
    <v>1</v>
  </rv>
  <rv s="0">
    <fb>96.372</fb>
    <v>1</v>
  </rv>
  <rv s="0">
    <fb>44249</fb>
    <v>0</v>
  </rv>
  <rv s="0">
    <fb>234.51</fb>
    <v>1</v>
  </rv>
  <rv s="0">
    <fb>22.1419</fb>
    <v>1</v>
  </rv>
  <rv s="0">
    <fb>208.32</fb>
    <v>1</v>
  </rv>
  <rv s="0">
    <fb>123.5</fb>
    <v>1</v>
  </rv>
  <rv s="0">
    <fb>18.87</fb>
    <v>1</v>
  </rv>
  <rv s="0">
    <fb>349.91</fb>
    <v>1</v>
  </rv>
  <rv s="0">
    <fb>1006.72</fb>
    <v>1</v>
  </rv>
  <rv s="0">
    <fb>87.6</fb>
    <v>1</v>
  </rv>
  <rv s="0">
    <fb>44250</fb>
    <v>0</v>
  </rv>
  <rv s="0">
    <fb>233.27</fb>
    <v>1</v>
  </rv>
  <rv s="0">
    <fb>22.036200000000001</fb>
    <v>1</v>
  </rv>
  <rv s="0">
    <fb>212.11</fb>
    <v>1</v>
  </rv>
  <rv s="0">
    <fb>122.42</fb>
    <v>1</v>
  </rv>
  <rv s="0">
    <fb>336.31</fb>
    <v>1</v>
  </rv>
  <rv s="0">
    <fb>965.12</fb>
    <v>1</v>
  </rv>
  <rv s="0">
    <fb>69.123000000000005</fb>
    <v>1</v>
  </rv>
  <rv s="0">
    <fb>44251</fb>
    <v>0</v>
  </rv>
  <rv s="0">
    <fb>234.55</fb>
    <v>1</v>
  </rv>
  <rv s="0">
    <fb>22.187200000000001</fb>
    <v>1</v>
  </rv>
  <rv s="0">
    <fb>219.43</fb>
    <v>1</v>
  </rv>
  <rv s="0">
    <fb>125.02</fb>
    <v>1</v>
  </rv>
  <rv s="0">
    <fb>19.309999999999999</fb>
    <v>1</v>
  </rv>
  <rv s="0">
    <fb>334.69</fb>
    <v>1</v>
  </rv>
  <rv s="0">
    <fb>926.72</fb>
    <v>1</v>
  </rv>
  <rv s="0">
    <fb>81.769000000000005</fb>
    <v>1</v>
  </rv>
  <rv s="0">
    <fb>44252</fb>
    <v>0</v>
  </rv>
  <rv s="0">
    <fb>228.99</fb>
    <v>1</v>
  </rv>
  <rv s="0">
    <fb>213.75</fb>
    <v>1</v>
  </rv>
  <rv s="0">
    <fb>122.1</fb>
    <v>1</v>
  </rv>
  <rv s="0">
    <fb>17.59</fb>
    <v>1</v>
  </rv>
  <rv s="0">
    <fb>303.06</fb>
    <v>1</v>
  </rv>
  <rv s="0">
    <fb>73.161000000000001</fb>
    <v>1</v>
  </rv>
  <rv s="0">
    <fb>44253</fb>
    <v>0</v>
  </rv>
  <rv s="0">
    <fb>232.38</fb>
    <v>1</v>
  </rv>
  <rv s="0">
    <fb>21.062000000000001</fb>
    <v>1</v>
  </rv>
  <rv s="0">
    <fb>212.39</fb>
    <v>1</v>
  </rv>
  <rv s="0">
    <fb>122.07</fb>
    <v>1</v>
  </rv>
  <rv s="0">
    <fb>16.61</fb>
    <v>1</v>
  </rv>
  <rv s="0">
    <fb>307.38</fb>
    <v>1</v>
  </rv>
  <rv s="0">
    <fb>1025.92</fb>
    <v>1</v>
  </rv>
  <rv s="0">
    <fb>75.040999999999997</fb>
    <v>1</v>
  </rv>
  <rv s="0">
    <fb>44256</fb>
    <v>0</v>
  </rv>
  <rv s="0">
    <fb>236.94</fb>
    <v>1</v>
  </rv>
  <rv s="0">
    <fb>21.213000000000001</fb>
    <v>1</v>
  </rv>
  <rv s="0">
    <fb>216.63</fb>
    <v>1</v>
  </rv>
  <rv s="0">
    <fb>124.48</fb>
    <v>1</v>
  </rv>
  <rv s="0">
    <fb>18.3</fb>
    <v>1</v>
  </rv>
  <rv s="0">
    <fb>321.27999999999997</fb>
    <v>1</v>
  </rv>
  <rv s="0">
    <fb>949.76</fb>
    <v>1</v>
  </rv>
  <rv s="0">
    <fb>78.244</fb>
    <v>1</v>
  </rv>
  <rv s="0">
    <fb>44257</fb>
    <v>0</v>
  </rv>
  <rv s="0">
    <fb>233.87</fb>
    <v>1</v>
  </rv>
  <rv s="0">
    <fb>21.311199999999999</fb>
    <v>1</v>
  </rv>
  <rv s="0">
    <fb>215.77</fb>
    <v>1</v>
  </rv>
  <rv s="0">
    <fb>123.64</fb>
    <v>1</v>
  </rv>
  <rv s="0">
    <fb>18.57</fb>
    <v>1</v>
  </rv>
  <rv s="0">
    <fb>322.74</fb>
    <v>1</v>
  </rv>
  <rv s="0">
    <fb>958.08</fb>
    <v>1</v>
  </rv>
  <rv s="0">
    <fb>74.849999999999994</fb>
    <v>1</v>
  </rv>
  <rv s="0">
    <fb>44258</fb>
    <v>0</v>
  </rv>
  <rv s="0">
    <fb>227.56</fb>
    <v>1</v>
  </rv>
  <rv s="0">
    <fb>21.688800000000001</fb>
    <v>1</v>
  </rv>
  <rv s="0">
    <fb>214.85</fb>
    <v>1</v>
  </rv>
  <rv s="0">
    <fb>18.75</fb>
    <v>1</v>
  </rv>
  <rv s="0">
    <fb>300.24</fb>
    <v>1</v>
  </rv>
  <rv s="0">
    <fb>999.04</fb>
    <v>1</v>
  </rv>
  <rv s="0">
    <fb>73.156999999999996</fb>
    <v>1</v>
  </rv>
  <rv s="0">
    <fb>44259</fb>
    <v>0</v>
  </rv>
  <rv s="0">
    <fb>226.73</fb>
    <v>1</v>
  </rv>
  <rv s="0">
    <fb>21.8398</fb>
    <v>1</v>
  </rv>
  <rv s="0">
    <fb>211.5</fb>
    <v>1</v>
  </rv>
  <rv s="0">
    <fb>114.99</fb>
    <v>1</v>
  </rv>
  <rv s="0">
    <fb>17.52</fb>
    <v>1</v>
  </rv>
  <rv s="0">
    <fb>285.01</fb>
    <v>1</v>
  </rv>
  <rv s="0">
    <fb>1041.28</fb>
    <v>1</v>
  </rv>
  <rv s="0">
    <fb>64.566000000000003</fb>
    <v>1</v>
  </rv>
  <rv s="0">
    <fb>44260</fb>
    <v>0</v>
  </rv>
  <rv s="0">
    <fb>231.6</fb>
    <v>1</v>
  </rv>
  <rv s="0">
    <fb>215.41</fb>
    <v>1</v>
  </rv>
  <rv s="0">
    <fb>116.14</fb>
    <v>1</v>
  </rv>
  <rv s="0">
    <fb>274.98</fb>
    <v>1</v>
  </rv>
  <rv s="0">
    <fb>967.68</fb>
    <v>1</v>
  </rv>
  <rv s="0">
    <fb>62.024000000000001</fb>
    <v>1</v>
  </rv>
  <rv s="0">
    <fb>44263</fb>
    <v>0</v>
  </rv>
  <rv s="0">
    <fb>227.39</fb>
    <v>1</v>
  </rv>
  <rv s="0">
    <fb>22.6478</fb>
    <v>1</v>
  </rv>
  <rv s="0">
    <fb>220.27</fb>
    <v>1</v>
  </rv>
  <rv s="0">
    <fb>116.08</fb>
    <v>1</v>
  </rv>
  <rv s="0">
    <fb>20.62</fb>
    <v>1</v>
  </rv>
  <rv s="0">
    <fb>258.33</fb>
    <v>1</v>
  </rv>
  <rv s="0">
    <fb>984.96</fb>
    <v>1</v>
  </rv>
  <rv s="0">
    <fb>62.418999999999997</fb>
    <v>1</v>
  </rv>
  <rv s="0">
    <fb>44264</fb>
    <v>0</v>
  </rv>
  <rv s="0">
    <fb>233.78</fb>
    <v>1</v>
  </rv>
  <rv s="0">
    <fb>220.36</fb>
    <v>1</v>
  </rv>
  <rv s="0">
    <fb>119.84</fb>
    <v>1</v>
  </rv>
  <rv s="0">
    <fb>20.86</fb>
    <v>1</v>
  </rv>
  <rv s="0">
    <fb>273.58</fb>
    <v>1</v>
  </rv>
  <rv s="0">
    <fb>945.28</fb>
    <v>1</v>
  </rv>
  <rv s="0">
    <fb>71.599000000000004</fb>
    <v>1</v>
  </rv>
  <rv s="0">
    <fb>44265</fb>
    <v>0</v>
  </rv>
  <rv s="0">
    <fb>232.42</fb>
    <v>1</v>
  </rv>
  <rv s="0">
    <fb>223.17</fb>
    <v>1</v>
  </rv>
  <rv s="0">
    <fb>119.99</fb>
    <v>1</v>
  </rv>
  <rv s="0">
    <fb>270.19</fb>
    <v>1</v>
  </rv>
  <rv s="0">
    <fb>933.12</fb>
    <v>1</v>
  </rv>
  <rv s="0">
    <fb>75.655000000000001</fb>
    <v>1</v>
  </rv>
  <rv s="0">
    <fb>44266</fb>
    <v>0</v>
  </rv>
  <rv s="0">
    <fb>237.13</fb>
    <v>1</v>
  </rv>
  <rv s="0">
    <fb>226.15</fb>
    <v>1</v>
  </rv>
  <rv s="0">
    <fb>121.83</fb>
    <v>1</v>
  </rv>
  <rv s="0">
    <fb>22.33</fb>
    <v>1</v>
  </rv>
  <rv s="0">
    <fb>286.95999999999998</fb>
    <v>1</v>
  </rv>
  <rv s="0">
    <fb>910.08</fb>
    <v>1</v>
  </rv>
  <rv s="0">
    <fb>80.375</fb>
    <v>1</v>
  </rv>
  <rv s="0">
    <fb>44267</fb>
    <v>0</v>
  </rv>
  <rv s="0">
    <fb>235.75</fb>
    <v>1</v>
  </rv>
  <rv s="0">
    <fb>22.511900000000001</fb>
    <v>1</v>
  </rv>
  <rv s="0">
    <fb>224.36</fb>
    <v>1</v>
  </rv>
  <rv s="0">
    <fb>121.44</fb>
    <v>1</v>
  </rv>
  <rv s="0">
    <fb>24.17</fb>
    <v>1</v>
  </rv>
  <rv s="0">
    <fb>279.89</fb>
    <v>1</v>
  </rv>
  <rv s="0">
    <fb>892.8</fb>
    <v>1</v>
  </rv>
  <rv s="0">
    <fb>78.400000000000006</fb>
    <v>1</v>
  </rv>
  <rv s="0">
    <fb>44270</fb>
    <v>0</v>
  </rv>
  <rv s="0">
    <fb>234.81</fb>
    <v>1</v>
  </rv>
  <rv s="0">
    <fb>22.602499999999999</fb>
    <v>1</v>
  </rv>
  <rv s="0">
    <fb>223.27</fb>
    <v>1</v>
  </rv>
  <rv s="0">
    <fb>124.04</fb>
    <v>1</v>
  </rv>
  <rv s="0">
    <fb>23.14</fb>
    <v>1</v>
  </rv>
  <rv s="0">
    <fb>285.45999999999998</fb>
    <v>1</v>
  </rv>
  <rv s="0">
    <fb>842.24</fb>
    <v>1</v>
  </rv>
  <rv s="0">
    <fb>76.900999999999996</fb>
    <v>1</v>
  </rv>
  <rv s="0">
    <fb>44271</fb>
    <v>0</v>
  </rv>
  <rv s="0">
    <fb>237.71</fb>
    <v>1</v>
  </rv>
  <rv s="0">
    <fb>224.7</fb>
    <v>1</v>
  </rv>
  <rv s="0">
    <fb>123</fb>
    <v>1</v>
  </rv>
  <rv s="0">
    <fb>284.69</fb>
    <v>1</v>
  </rv>
  <rv s="0">
    <fb>72.429000000000002</fb>
    <v>1</v>
  </rv>
  <rv s="0">
    <fb>44272</fb>
    <v>0</v>
  </rv>
  <rv s="0">
    <fb>237.04</fb>
    <v>1</v>
  </rv>
  <rv s="0">
    <fb>22.768699999999999</fb>
    <v>1</v>
  </rv>
  <rv s="0">
    <fb>223.02</fb>
    <v>1</v>
  </rv>
  <rv s="0">
    <fb>122.52</fb>
    <v>1</v>
  </rv>
  <rv s="0">
    <fb>22.04</fb>
    <v>1</v>
  </rv>
  <rv s="0">
    <fb>283.35000000000002</fb>
    <v>1</v>
  </rv>
  <rv s="0">
    <fb>805.76</fb>
    <v>1</v>
  </rv>
  <rv s="0">
    <fb>77.099000000000004</fb>
    <v>1</v>
  </rv>
  <rv s="0">
    <fb>44273</fb>
    <v>0</v>
  </rv>
  <rv s="0">
    <fb>230.72</fb>
    <v>1</v>
  </rv>
  <rv s="0">
    <fb>22.663</fb>
    <v>1</v>
  </rv>
  <rv s="0">
    <fb>220.66</fb>
    <v>1</v>
  </rv>
  <rv s="0">
    <fb>122.59</fb>
    <v>1</v>
  </rv>
  <rv s="0">
    <fb>22.65</fb>
    <v>1</v>
  </rv>
  <rv s="0">
    <fb>271.73</fb>
    <v>1</v>
  </rv>
  <rv s="0">
    <fb>850.56</fb>
    <v>1</v>
  </rv>
  <rv s="0">
    <fb>73.204999999999998</fb>
    <v>1</v>
  </rv>
  <rv s="0">
    <fb>44274</fb>
    <v>0</v>
  </rv>
  <rv s="0">
    <fb>230.35</fb>
    <v>1</v>
  </rv>
  <rv s="0">
    <fb>22.4742</fb>
    <v>1</v>
  </rv>
  <rv s="0">
    <fb>206.9</fb>
    <v>1</v>
  </rv>
  <rv s="0">
    <fb>122.69</fb>
    <v>1</v>
  </rv>
  <rv s="0">
    <fb>22.41</fb>
    <v>1</v>
  </rv>
  <rv s="0">
    <fb>272.11</fb>
    <v>1</v>
  </rv>
  <rv s="0">
    <fb>817.28</fb>
    <v>1</v>
  </rv>
  <rv s="0">
    <fb>77.703999999999994</fb>
    <v>1</v>
  </rv>
  <rv s="0">
    <fb>44277</fb>
    <v>0</v>
  </rv>
  <rv s="0">
    <fb>235.99</fb>
    <v>1</v>
  </rv>
  <rv s="0">
    <fb>208</fb>
    <v>1</v>
  </rv>
  <rv s="0">
    <fb>123.61</fb>
    <v>1</v>
  </rv>
  <rv s="0">
    <fb>21.79</fb>
    <v>1</v>
  </rv>
  <rv s="0">
    <fb>275.47000000000003</fb>
    <v>1</v>
  </rv>
  <rv s="0">
    <fb>764.16</fb>
    <v>1</v>
  </rv>
  <rv s="0">
    <fb>72.456000000000003</fb>
    <v>1</v>
  </rv>
  <rv s="0">
    <fb>44278</fb>
    <v>0</v>
  </rv>
  <rv s="0">
    <fb>237.58</fb>
    <v>1</v>
  </rv>
  <rv s="0">
    <fb>22.6554</fb>
    <v>1</v>
  </rv>
  <rv s="0">
    <fb>208.15</fb>
    <v>1</v>
  </rv>
  <rv s="0">
    <fb>121.98</fb>
    <v>1</v>
  </rv>
  <rv s="0">
    <fb>19.86</fb>
    <v>1</v>
  </rv>
  <rv s="0">
    <fb>267.3</fb>
    <v>1</v>
  </rv>
  <rv s="0">
    <fb>800</fb>
    <v>1</v>
  </rv>
  <rv s="0">
    <fb>67.721000000000004</fb>
    <v>1</v>
  </rv>
  <rv s="0">
    <fb>44279</fb>
    <v>0</v>
  </rv>
  <rv s="0">
    <fb>235.46</fb>
    <v>1</v>
  </rv>
  <rv s="0">
    <fb>208.07</fb>
    <v>1</v>
  </rv>
  <rv s="0">
    <fb>120.84</fb>
    <v>1</v>
  </rv>
  <rv s="0">
    <fb>19.57</fb>
    <v>1</v>
  </rv>
  <rv s="0">
    <fb>258.68</fb>
    <v>1</v>
  </rv>
  <rv s="0">
    <fb>807.04</fb>
    <v>1</v>
  </rv>
  <rv s="0">
    <fb>62.156999999999996</fb>
    <v>1</v>
  </rv>
  <rv s="0">
    <fb>44280</fb>
    <v>0</v>
  </rv>
  <rv s="0">
    <fb>232.34</fb>
    <v>1</v>
  </rv>
  <rv s="0">
    <fb>22.715800000000002</fb>
    <v>1</v>
  </rv>
  <rv s="0">
    <fb>207.97</fb>
    <v>1</v>
  </rv>
  <rv s="0">
    <fb>121.9</fb>
    <v>1</v>
  </rv>
  <rv s="0">
    <fb>20.37</fb>
    <v>1</v>
  </rv>
  <rv s="0">
    <fb>254.63</fb>
    <v>1</v>
  </rv>
  <rv s="0">
    <fb>782.72</fb>
    <v>1</v>
  </rv>
  <rv s="0">
    <fb>62.091000000000001</fb>
    <v>1</v>
  </rv>
  <rv s="0">
    <fb>44281</fb>
    <v>0</v>
  </rv>
  <rv s="0">
    <fb>236.48</fb>
    <v>1</v>
  </rv>
  <rv s="0">
    <fb>22.889500000000002</fb>
    <v>1</v>
  </rv>
  <rv s="0">
    <fb>213.53</fb>
    <v>1</v>
  </rv>
  <rv s="0">
    <fb>125.64</fb>
    <v>1</v>
  </rv>
  <rv s="0">
    <fb>22.75</fb>
    <v>1</v>
  </rv>
  <rv s="0">
    <fb>261.31</fb>
    <v>1</v>
  </rv>
  <rv s="0">
    <fb>751.36</fb>
    <v>1</v>
  </rv>
  <rv s="0">
    <fb>62.4</fb>
    <v>1</v>
  </rv>
  <rv s="0">
    <fb>44284</fb>
    <v>0</v>
  </rv>
  <rv s="0">
    <fb>235.24</fb>
    <v>1</v>
  </rv>
  <rv s="0">
    <fb>23.078299999999999</fb>
    <v>1</v>
  </rv>
  <rv s="0">
    <fb>125.42</fb>
    <v>1</v>
  </rv>
  <rv s="0">
    <fb>23.58</fb>
    <v>1</v>
  </rv>
  <rv s="0">
    <fb>252.59</fb>
    <v>1</v>
  </rv>
  <rv s="0">
    <fb>768.64</fb>
    <v>1</v>
  </rv>
  <rv s="0">
    <fb>63.134</fb>
    <v>1</v>
  </rv>
  <rv s="0">
    <fb>44285</fb>
    <v>0</v>
  </rv>
  <rv s="0">
    <fb>231.85</fb>
    <v>1</v>
  </rv>
  <rv s="0">
    <fb>23.206700000000001</fb>
    <v>1</v>
  </rv>
  <rv s="0">
    <fb>211.9</fb>
    <v>1</v>
  </rv>
  <rv s="0">
    <fb>124.84</fb>
    <v>1</v>
  </rv>
  <rv s="0">
    <fb>25.63</fb>
    <v>1</v>
  </rv>
  <rv s="0">
    <fb>257.69</fb>
    <v>1</v>
  </rv>
  <rv s="0">
    <fb>735.36</fb>
    <v>1</v>
  </rv>
  <rv s="0">
    <fb>65.397999999999996</fb>
    <v>1</v>
  </rv>
  <rv s="0">
    <fb>44286</fb>
    <v>0</v>
  </rv>
  <rv s="0">
    <fb>235.77</fb>
    <v>1</v>
  </rv>
  <rv s="0">
    <fb>22.859300000000001</fb>
    <v>1</v>
  </rv>
  <rv s="0">
    <fb>211.73</fb>
    <v>1</v>
  </rv>
  <rv s="0">
    <fb>127.14</fb>
    <v>1</v>
  </rv>
  <rv s="0">
    <fb>26.17</fb>
    <v>1</v>
  </rv>
  <rv s="0">
    <fb>267.95</fb>
    <v>1</v>
  </rv>
  <rv s="0">
    <fb>729.6</fb>
    <v>1</v>
  </rv>
  <rv s="0">
    <fb>67.88</fb>
    <v>1</v>
  </rv>
  <rv s="0">
    <fb>44287</fb>
    <v>0</v>
  </rv>
  <rv s="0">
    <fb>242.35</fb>
    <v>1</v>
  </rv>
  <rv s="0">
    <fb>23.010300000000001</fb>
    <v>1</v>
  </rv>
  <rv s="0">
    <fb>216.86</fb>
    <v>1</v>
  </rv>
  <rv s="0">
    <fb>127.69</fb>
    <v>1</v>
  </rv>
  <rv s="0">
    <fb>25</fb>
    <v>1</v>
  </rv>
  <rv s="0">
    <fb>273.10000000000002</fb>
    <v>1</v>
  </rv>
  <rv s="0">
    <fb>707.2</fb>
    <v>1</v>
  </rv>
  <rv s="0">
    <fb>70.355999999999995</fb>
    <v>1</v>
  </rv>
  <rv s="0">
    <fb>44291</fb>
    <v>0</v>
  </rv>
  <rv s="0">
    <fb>249.07</fb>
    <v>1</v>
  </rv>
  <rv s="0">
    <fb>23.191600000000001</fb>
    <v>1</v>
  </rv>
  <rv s="0">
    <fb>219.04</fb>
    <v>1</v>
  </rv>
  <rv s="0">
    <fb>130</fb>
    <v>1</v>
  </rv>
  <rv s="0">
    <fb>24.63</fb>
    <v>1</v>
  </rv>
  <rv s="0">
    <fb>273.3</fb>
    <v>1</v>
  </rv>
  <rv s="0">
    <fb>689.28</fb>
    <v>1</v>
  </rv>
  <rv s="0">
    <fb>72.055000000000007</fb>
    <v>1</v>
  </rv>
  <rv s="0">
    <fb>44292</fb>
    <v>0</v>
  </rv>
  <rv s="0">
    <fb>247.86</fb>
    <v>1</v>
  </rv>
  <rv s="0">
    <fb>23.395499999999998</fb>
    <v>1</v>
  </rv>
  <rv s="0">
    <fb>218.65</fb>
    <v>1</v>
  </rv>
  <rv s="0">
    <fb>131.04</fb>
    <v>1</v>
  </rv>
  <rv s="0">
    <fb>24.03</fb>
    <v>1</v>
  </rv>
  <rv s="0">
    <fb>282.33999999999997</fb>
    <v>1</v>
  </rv>
  <rv s="0">
    <fb>70.457999999999998</fb>
    <v>1</v>
  </rv>
  <rv s="0">
    <fb>44293</fb>
    <v>0</v>
  </rv>
  <rv s="0">
    <fb>249.9</fb>
    <v>1</v>
  </rv>
  <rv s="0">
    <fb>23.357700000000001</fb>
    <v>1</v>
  </rv>
  <rv s="0">
    <fb>219.27</fb>
    <v>1</v>
  </rv>
  <rv s="0">
    <fb>129.34</fb>
    <v>1</v>
  </rv>
  <rv s="0">
    <fb>23.62</fb>
    <v>1</v>
  </rv>
  <rv s="0">
    <fb>280.14999999999998</fb>
    <v>1</v>
  </rv>
  <rv s="0">
    <fb>671.36</fb>
    <v>1</v>
  </rv>
  <rv s="0">
    <fb>65.62</fb>
    <v>1</v>
  </rv>
  <rv s="0">
    <fb>44294</fb>
    <v>0</v>
  </rv>
  <rv s="0">
    <fb>253.25</fb>
    <v>1</v>
  </rv>
  <rv s="0">
    <fb>220.7</fb>
    <v>1</v>
  </rv>
  <rv s="0">
    <fb>130.69</fb>
    <v>1</v>
  </rv>
  <rv s="0">
    <fb>22.72</fb>
    <v>1</v>
  </rv>
  <rv s="0">
    <fb>280.94</fb>
    <v>1</v>
  </rv>
  <rv s="0">
    <fb>661.12</fb>
    <v>1</v>
  </rv>
  <rv s="0">
    <fb>69.012</fb>
    <v>1</v>
  </rv>
  <rv s="0">
    <fb>44295</fb>
    <v>0</v>
  </rv>
  <rv s="0">
    <fb>255.85</fb>
    <v>1</v>
  </rv>
  <rv s="0">
    <fb>22.685600000000001</fb>
    <v>1</v>
  </rv>
  <rv s="0">
    <fb>222.52</fb>
    <v>1</v>
  </rv>
  <rv s="0">
    <fb>131.91</fb>
    <v>1</v>
  </rv>
  <rv s="0">
    <fb>22.02</fb>
    <v>1</v>
  </rv>
  <rv s="0">
    <fb>279.2</fb>
    <v>1</v>
  </rv>
  <rv s="0">
    <fb>659.84</fb>
    <v>1</v>
  </rv>
  <rv s="0">
    <fb>71.099999999999994</fb>
    <v>1</v>
  </rv>
  <rv s="0">
    <fb>44298</fb>
    <v>0</v>
  </rv>
  <rv s="0">
    <fb>255.91</fb>
    <v>1</v>
  </rv>
  <rv s="0">
    <fb>22.6252</fb>
    <v>1</v>
  </rv>
  <rv s="0">
    <fb>221.47</fb>
    <v>1</v>
  </rv>
  <rv s="0">
    <fb>131.27000000000001</fb>
    <v>1</v>
  </rv>
  <rv s="0">
    <fb>21.23</fb>
    <v>1</v>
  </rv>
  <rv s="0">
    <fb>276.91000000000003</fb>
    <v>1</v>
  </rv>
  <rv s="0">
    <fb>650.24</fb>
    <v>1</v>
  </rv>
  <rv s="0">
    <fb>71.823999999999998</fb>
    <v>1</v>
  </rv>
  <rv s="0">
    <fb>44299</fb>
    <v>0</v>
  </rv>
  <rv s="0">
    <fb>258.49</fb>
    <v>1</v>
  </rv>
  <rv s="0">
    <fb>22.376000000000001</fb>
    <v>1</v>
  </rv>
  <rv s="0">
    <fb>132.97</fb>
    <v>1</v>
  </rv>
  <rv s="0">
    <fb>293.12</fb>
    <v>1</v>
  </rv>
  <rv s="0">
    <fb>645.76</fb>
    <v>1</v>
  </rv>
  <rv s="0">
    <fb>84.853999999999999</fb>
    <v>1</v>
  </rv>
  <rv s="0">
    <fb>44300</fb>
    <v>0</v>
  </rv>
  <rv s="0">
    <fb>255.59</fb>
    <v>1</v>
  </rv>
  <rv s="0">
    <fb>22.451499999999999</fb>
    <v>1</v>
  </rv>
  <rv s="0">
    <fb>221.98</fb>
    <v>1</v>
  </rv>
  <rv s="0">
    <fb>131.97</fb>
    <v>1</v>
  </rv>
  <rv s="0">
    <fb>22.87</fb>
    <v>1</v>
  </rv>
  <rv s="0">
    <fb>287.60000000000002</fb>
    <v>1</v>
  </rv>
  <rv s="0">
    <fb>73.55</fb>
    <v>1</v>
  </rv>
  <rv s="0">
    <fb>44301</fb>
    <v>0</v>
  </rv>
  <rv s="0">
    <fb>259.5</fb>
    <v>1</v>
  </rv>
  <rv s="0">
    <fb>226.28</fb>
    <v>1</v>
  </rv>
  <rv s="0">
    <fb>133.28</fb>
    <v>1</v>
  </rv>
  <rv s="0">
    <fb>22.15</fb>
    <v>1</v>
  </rv>
  <rv s="0">
    <fb>299.74</fb>
    <v>1</v>
  </rv>
  <rv s="0">
    <fb>638.08000000000004</fb>
    <v>1</v>
  </rv>
  <rv s="0">
    <fb>74.015000000000001</fb>
    <v>1</v>
  </rv>
  <rv s="0">
    <fb>44302</fb>
    <v>0</v>
  </rv>
  <rv s="0">
    <fb>260.74</fb>
    <v>1</v>
  </rv>
  <rv s="0">
    <fb>22.617599999999999</fb>
    <v>1</v>
  </rv>
  <rv s="0">
    <fb>226.41</fb>
    <v>1</v>
  </rv>
  <rv s="0">
    <fb>134.58000000000001</fb>
    <v>1</v>
  </rv>
  <rv s="0">
    <fb>22.67</fb>
    <v>1</v>
  </rv>
  <rv s="0">
    <fb>292.02</fb>
    <v>1</v>
  </rv>
  <rv s="0">
    <fb>627.84</fb>
    <v>1</v>
  </rv>
  <rv s="0">
    <fb>69.361999999999995</fb>
    <v>1</v>
  </rv>
  <rv s="0">
    <fb>44305</fb>
    <v>0</v>
  </rv>
  <rv s="0">
    <fb>258.74</fb>
    <v>1</v>
  </rv>
  <rv s="0">
    <fb>225.79</fb>
    <v>1</v>
  </rv>
  <rv s="0">
    <fb>133.5</fb>
    <v>1</v>
  </rv>
  <rv s="0">
    <fb>22.84</fb>
    <v>1</v>
  </rv>
  <rv s="0">
    <fb>280.37</fb>
    <v>1</v>
  </rv>
  <rv s="0">
    <fb>650.88</fb>
    <v>1</v>
  </rv>
  <rv s="0">
    <fb>63.752000000000002</fb>
    <v>1</v>
  </rv>
  <rv s="0">
    <fb>44306</fb>
    <v>0</v>
  </rv>
  <rv s="0">
    <fb>258.26</fb>
    <v>1</v>
  </rv>
  <rv s="0">
    <fb>22.572299999999998</fb>
    <v>1</v>
  </rv>
  <rv s="0">
    <fb>223.28</fb>
    <v>1</v>
  </rv>
  <rv s="0">
    <fb>132.46</fb>
    <v>1</v>
  </rv>
  <rv s="0">
    <fb>21.47</fb>
    <v>1</v>
  </rv>
  <rv s="0">
    <fb>271.2</fb>
    <v>1</v>
  </rv>
  <rv s="0">
    <fb>665.6</fb>
    <v>1</v>
  </rv>
  <rv s="0">
    <fb>64.644999999999996</fb>
    <v>1</v>
  </rv>
  <rv s="0">
    <fb>44307</fb>
    <v>0</v>
  </rv>
  <rv s="0">
    <fb>260.58</fb>
    <v>1</v>
  </rv>
  <rv s="0">
    <fb>22.738499999999998</fb>
    <v>1</v>
  </rv>
  <rv s="0">
    <fb>227.45</fb>
    <v>1</v>
  </rv>
  <rv s="0">
    <fb>133.83000000000001</fb>
    <v>1</v>
  </rv>
  <rv s="0">
    <fb>261.70999999999998</fb>
    <v>1</v>
  </rv>
  <rv s="0">
    <fb>629.76</fb>
    <v>1</v>
  </rv>
  <rv s="0">
    <fb>65.046000000000006</fb>
    <v>1</v>
  </rv>
  <rv s="0">
    <fb>44308</fb>
    <v>0</v>
  </rv>
  <rv s="0">
    <fb>257.17</fb>
    <v>1</v>
  </rv>
  <rv s="0">
    <fb>23.682400000000001</fb>
    <v>1</v>
  </rv>
  <rv s="0">
    <fb>227.57</fb>
    <v>1</v>
  </rv>
  <rv s="0">
    <fb>134.53</fb>
    <v>1</v>
  </rv>
  <rv s="0">
    <fb>22.27</fb>
    <v>1</v>
  </rv>
  <rv s="0">
    <fb>265.16000000000003</fb>
    <v>1</v>
  </rv>
  <rv s="0">
    <fb>668.8</fb>
    <v>1</v>
  </rv>
  <rv s="0">
    <fb>59.82</fb>
    <v>1</v>
  </rv>
  <rv s="0">
    <fb>44309</fb>
    <v>0</v>
  </rv>
  <rv s="0">
    <fb>261.14999999999998</fb>
    <v>1</v>
  </rv>
  <rv s="0">
    <fb>23.712700000000002</fb>
    <v>1</v>
  </rv>
  <rv s="0">
    <fb>230</fb>
    <v>1</v>
  </rv>
  <rv s="0">
    <fb>136.68</fb>
    <v>1</v>
  </rv>
  <rv s="0">
    <fb>23.71</fb>
    <v>1</v>
  </rv>
  <rv s="0">
    <fb>284.11</fb>
    <v>1</v>
  </rv>
  <rv s="0">
    <fb>642.72</fb>
    <v>1</v>
  </rv>
  <rv s="0">
    <fb>61.304000000000002</fb>
    <v>1</v>
  </rv>
  <rv s="0">
    <fb>44312</fb>
    <v>0</v>
  </rv>
  <rv s="0">
    <fb>261.55</fb>
    <v>1</v>
  </rv>
  <rv s="0">
    <fb>23.342600000000001</fb>
    <v>1</v>
  </rv>
  <rv s="0">
    <fb>230.34</fb>
    <v>1</v>
  </rv>
  <rv s="0">
    <fb>137.34</fb>
    <v>1</v>
  </rv>
  <rv s="0">
    <fb>24.75</fb>
    <v>1</v>
  </rv>
  <rv s="0">
    <fb>298.02</fb>
    <v>1</v>
  </rv>
  <rv s="0">
    <fb>637.12</fb>
    <v>1</v>
  </rv>
  <rv s="0">
    <fb>65.882000000000005</fb>
    <v>1</v>
  </rv>
  <rv s="0">
    <fb>44313</fb>
    <v>0</v>
  </rv>
  <rv s="0">
    <fb>261.97000000000003</fb>
    <v>1</v>
  </rv>
  <rv s="0">
    <fb>23.236899999999999</fb>
    <v>1</v>
  </rv>
  <rv s="0">
    <fb>229.91</fb>
    <v>1</v>
  </rv>
  <rv s="0">
    <fb>136.47999999999999</fb>
    <v>1</v>
  </rv>
  <rv s="0">
    <fb>23.78</fb>
    <v>1</v>
  </rv>
  <rv s="0">
    <fb>292.92</fb>
    <v>1</v>
  </rv>
  <rv s="0">
    <fb>624.16</fb>
    <v>1</v>
  </rv>
  <rv s="0">
    <fb>67.698999999999998</fb>
    <v>1</v>
  </rv>
  <rv s="0">
    <fb>44314</fb>
    <v>0</v>
  </rv>
  <rv s="0">
    <fb>254.56</fb>
    <v>1</v>
  </rv>
  <rv s="0">
    <fb>23.380400000000002</fb>
    <v>1</v>
  </rv>
  <rv s="0">
    <fb>233.45</fb>
    <v>1</v>
  </rv>
  <rv s="0">
    <fb>134.80000000000001</fb>
    <v>1</v>
  </rv>
  <rv s="0">
    <fb>23.27</fb>
    <v>1</v>
  </rv>
  <rv s="0">
    <fb>256.83999999999997</fb>
    <v>1</v>
  </rv>
  <rv s="0">
    <fb>621.91999999999996</fb>
    <v>1</v>
  </rv>
  <rv s="0">
    <fb>68.081999999999994</fb>
    <v>1</v>
  </rv>
  <rv s="0">
    <fb>44315</fb>
    <v>0</v>
  </rv>
  <rv s="0">
    <fb>252.51</fb>
    <v>1</v>
  </rv>
  <rv s="0">
    <fb>23.667300000000001</fb>
    <v>1</v>
  </rv>
  <rv s="0">
    <fb>236.86</fb>
    <v>1</v>
  </rv>
  <rv s="0">
    <fb>134.15</fb>
    <v>1</v>
  </rv>
  <rv s="0">
    <fb>22.5</fb>
    <v>1</v>
  </rv>
  <rv s="0">
    <fb>262.14999999999998</fb>
    <v>1</v>
  </rv>
  <rv s="0">
    <fb>617.12</fb>
    <v>1</v>
  </rv>
  <rv s="0">
    <fb>65.501000000000005</fb>
    <v>1</v>
  </rv>
  <rv s="0">
    <fb>44316</fb>
    <v>0</v>
  </rv>
  <rv s="0">
    <fb>252.18</fb>
    <v>1</v>
  </rv>
  <rv s="0">
    <fb>23.720199999999998</fb>
    <v>1</v>
  </rv>
  <rv s="0">
    <fb>233.56</fb>
    <v>1</v>
  </rv>
  <rv s="0">
    <fb>133.63999999999999</fb>
    <v>1</v>
  </rv>
  <rv s="0">
    <fb>23.01</fb>
    <v>1</v>
  </rv>
  <rv s="0">
    <fb>252.12</fb>
    <v>1</v>
  </rv>
  <rv s="0">
    <fb>642.55999999999995</fb>
    <v>1</v>
  </rv>
  <rv s="0">
    <fb>65.715999999999994</fb>
    <v>1</v>
  </rv>
  <rv s="0">
    <fb>44319</fb>
    <v>0</v>
  </rv>
  <rv s="0">
    <fb>251.86</fb>
    <v>1</v>
  </rv>
  <rv s="0">
    <fb>23.7882</fb>
    <v>1</v>
  </rv>
  <rv s="0">
    <fb>232.61</fb>
    <v>1</v>
  </rv>
  <rv s="0">
    <fb>133.19</fb>
    <v>1</v>
  </rv>
  <rv s="0">
    <fb>24.68</fb>
    <v>1</v>
  </rv>
  <rv s="0">
    <fb>247.69</fb>
    <v>1</v>
  </rv>
  <rv s="0">
    <fb>620</fb>
    <v>1</v>
  </rv>
  <rv s="0">
    <fb>63.561999999999998</fb>
    <v>1</v>
  </rv>
  <rv s="0">
    <fb>44320</fb>
    <v>0</v>
  </rv>
  <rv s="0">
    <fb>247.79</fb>
    <v>1</v>
  </rv>
  <rv s="0">
    <fb>24.180900000000001</fb>
    <v>1</v>
  </rv>
  <rv s="0">
    <fb>232.03</fb>
    <v>1</v>
  </rv>
  <rv s="0">
    <fb>130.9</fb>
    <v>1</v>
  </rv>
  <rv s="0">
    <fb>26.63</fb>
    <v>1</v>
  </rv>
  <rv s="0">
    <fb>240.12</fb>
    <v>1</v>
  </rv>
  <rv s="0">
    <fb>643.36</fb>
    <v>1</v>
  </rv>
  <rv s="0">
    <fb>61.688000000000002</fb>
    <v>1</v>
  </rv>
  <rv s="0">
    <fb>44321</fb>
    <v>0</v>
  </rv>
  <rv s="0">
    <fb>246.47</fb>
    <v>1</v>
  </rv>
  <rv s="0">
    <fb>24.188400000000001</fb>
    <v>1</v>
  </rv>
  <rv s="0">
    <fb>229.21</fb>
    <v>1</v>
  </rv>
  <rv s="0">
    <fb>133.37</fb>
    <v>1</v>
  </rv>
  <rv s="0">
    <fb>25.72</fb>
    <v>1</v>
  </rv>
  <rv s="0">
    <fb>239.5</fb>
    <v>1</v>
  </rv>
  <rv s="0">
    <fb>627.04</fb>
    <v>1</v>
  </rv>
  <rv s="0">
    <fb>62.344999999999999</fb>
    <v>1</v>
  </rv>
  <rv s="0">
    <fb>44322</fb>
    <v>0</v>
  </rv>
  <rv s="0">
    <fb>249.73</fb>
    <v>1</v>
  </rv>
  <rv s="0">
    <fb>24.4754</fb>
    <v>1</v>
  </rv>
  <rv s="0">
    <fb>231.32</fb>
    <v>1</v>
  </rv>
  <rv s="0">
    <fb>132.4</fb>
    <v>1</v>
  </rv>
  <rv s="0">
    <fb>25.96</fb>
    <v>1</v>
  </rv>
  <rv s="0">
    <fb>623.20000000000005</fb>
    <v>1</v>
  </rv>
  <rv s="0">
    <fb>60.908000000000001</fb>
    <v>1</v>
  </rv>
  <rv s="0">
    <fb>44323</fb>
    <v>0</v>
  </rv>
  <rv s="0">
    <fb>252.46</fb>
    <v>1</v>
  </rv>
  <rv s="0">
    <fb>24.2866</fb>
    <v>1</v>
  </rv>
  <rv s="0">
    <fb>232.12</fb>
    <v>1</v>
  </rv>
  <rv s="0">
    <fb>133.9</fb>
    <v>1</v>
  </rv>
  <rv s="0">
    <fb>27.85</fb>
    <v>1</v>
  </rv>
  <rv s="0">
    <fb>239.41</fb>
    <v>1</v>
  </rv>
  <rv s="0">
    <fb>587.84</fb>
    <v>1</v>
  </rv>
  <rv s="0">
    <fb>62.045999999999999</fb>
    <v>1</v>
  </rv>
  <rv s="0">
    <fb>44326</fb>
    <v>0</v>
  </rv>
  <rv s="0">
    <fb>247.18</fb>
    <v>1</v>
  </rv>
  <rv s="0">
    <fb>24.641500000000001</fb>
    <v>1</v>
  </rv>
  <rv s="0">
    <fb>225.97</fb>
    <v>1</v>
  </rv>
  <rv s="0">
    <fb>131.87</fb>
    <v>1</v>
  </rv>
  <rv s="0">
    <fb>27.45</fb>
    <v>1</v>
  </rv>
  <rv s="0">
    <fb>228.21</fb>
    <v>1</v>
  </rv>
  <rv s="0">
    <fb>613.6</fb>
    <v>1</v>
  </rv>
  <rv s="0">
    <fb>56.945999999999998</fb>
    <v>1</v>
  </rv>
  <rv s="0">
    <fb>44327</fb>
    <v>0</v>
  </rv>
  <rv s="0">
    <fb>246.23</fb>
    <v>1</v>
  </rv>
  <rv s="0">
    <fb>24.362100000000002</fb>
    <v>1</v>
  </rv>
  <rv s="0">
    <fb>225.48</fb>
    <v>1</v>
  </rv>
  <rv s="0">
    <fb>131.41999999999999</fb>
    <v>1</v>
  </rv>
  <rv s="0">
    <fb>28.81</fb>
    <v>1</v>
  </rv>
  <rv s="0">
    <fb>228.01</fb>
    <v>1</v>
  </rv>
  <rv s="0">
    <fb>659.36</fb>
    <v>1</v>
  </rv>
  <rv s="0">
    <fb>57.695999999999998</fb>
    <v>1</v>
  </rv>
  <rv s="0">
    <fb>44328</fb>
    <v>0</v>
  </rv>
  <rv s="0">
    <fb>239</fb>
    <v>1</v>
  </rv>
  <rv s="0">
    <fb>24.1431</fb>
    <v>1</v>
  </rv>
  <rv s="0">
    <fb>220.63</fb>
    <v>1</v>
  </rv>
  <rv s="0">
    <fb>128.63999999999999</fb>
    <v>1</v>
  </rv>
  <rv s="0">
    <fb>26.35</fb>
    <v>1</v>
  </rv>
  <rv s="0">
    <fb>225.6</fb>
    <v>1</v>
  </rv>
  <rv s="0">
    <fb>774.32</fb>
    <v>1</v>
  </rv>
  <rv s="0">
    <fb>54.188000000000002</fb>
    <v>1</v>
  </rv>
  <rv s="0">
    <fb>44329</fb>
    <v>0</v>
  </rv>
  <rv s="0">
    <fb>243.03</fb>
    <v>1</v>
  </rv>
  <rv s="0">
    <fb>24.324300000000001</fb>
    <v>1</v>
  </rv>
  <rv s="0">
    <fb>223.74</fb>
    <v>1</v>
  </rv>
  <rv s="0">
    <fb>130.02000000000001</fb>
    <v>1</v>
  </rv>
  <rv s="0">
    <fb>217.07</fb>
    <v>1</v>
  </rv>
  <rv s="0">
    <fb>700</fb>
    <v>1</v>
  </rv>
  <rv s="0">
    <fb>48.808</fb>
    <v>1</v>
  </rv>
  <rv s="0">
    <fb>44330</fb>
    <v>0</v>
  </rv>
  <rv s="0">
    <fb>248.15</fb>
    <v>1</v>
  </rv>
  <rv s="0">
    <fb>24.347000000000001</fb>
    <v>1</v>
  </rv>
  <rv s="0">
    <fb>226.94</fb>
    <v>1</v>
  </rv>
  <rv s="0">
    <fb>131.15</fb>
    <v>1</v>
  </rv>
  <rv s="0">
    <fb>25.5</fb>
    <v>1</v>
  </rv>
  <rv s="0">
    <fb>223.59</fb>
    <v>1</v>
  </rv>
  <rv s="0">
    <fb>617.67999999999995</fb>
    <v>1</v>
  </rv>
  <rv s="0">
    <fb>52.131</fb>
    <v>1</v>
  </rv>
  <rv s="0">
    <fb>44333</fb>
    <v>0</v>
  </rv>
  <rv s="0">
    <fb>245.18</fb>
    <v>1</v>
  </rv>
  <rv s="0">
    <fb>23.69</fb>
    <v>1</v>
  </rv>
  <rv s="0">
    <fb>226.44</fb>
    <v>1</v>
  </rv>
  <rv s="0">
    <fb>130.11000000000001</fb>
    <v>1</v>
  </rv>
  <rv s="0">
    <fb>26.36</fb>
    <v>1</v>
  </rv>
  <rv s="0">
    <fb>223.33</fb>
    <v>1</v>
  </rv>
  <rv s="0">
    <fb>637.91999999999996</fb>
    <v>1</v>
  </rv>
  <rv s="0">
    <fb>48.935000000000002</fb>
    <v>1</v>
  </rv>
  <rv s="0">
    <fb>44334</fb>
    <v>0</v>
  </rv>
  <rv s="0">
    <fb>243.08</fb>
    <v>1</v>
  </rv>
  <rv s="0">
    <fb>22.3156</fb>
    <v>1</v>
  </rv>
  <rv s="0">
    <fb>225.57</fb>
    <v>1</v>
  </rv>
  <rv s="0">
    <fb>128.75</fb>
    <v>1</v>
  </rv>
  <rv s="0">
    <fb>25.62</fb>
    <v>1</v>
  </rv>
  <rv s="0">
    <fb>220.99</fb>
    <v>1</v>
  </rv>
  <rv s="0">
    <fb>647.20000000000005</fb>
    <v>1</v>
  </rv>
  <rv s="0">
    <fb>48.72</fb>
    <v>1</v>
  </rv>
  <rv s="0">
    <fb>44335</fb>
    <v>0</v>
  </rv>
  <rv s="0">
    <fb>243.12</fb>
    <v>1</v>
  </rv>
  <rv s="0">
    <fb>224.59</fb>
    <v>1</v>
  </rv>
  <rv s="0">
    <fb>130.21</fb>
    <v>1</v>
  </rv>
  <rv s="0">
    <fb>24.32</fb>
    <v>1</v>
  </rv>
  <rv s="0">
    <fb>220.31</fb>
    <v>1</v>
  </rv>
  <rv s="0">
    <fb>677.6</fb>
    <v>1</v>
  </rv>
  <rv s="0">
    <fb>45.485999999999997</fb>
    <v>1</v>
  </rv>
  <rv s="0">
    <fb>44336</fb>
    <v>0</v>
  </rv>
  <rv s="0">
    <fb>246.48</fb>
    <v>1</v>
  </rv>
  <rv s="0">
    <fb>132.15</fb>
    <v>1</v>
  </rv>
  <rv s="0">
    <fb>24.04</fb>
    <v>1</v>
  </rv>
  <rv s="0">
    <fb>228.68</fb>
    <v>1</v>
  </rv>
  <rv s="0">
    <fb>639.84</fb>
    <v>1</v>
  </rv>
  <rv s="0">
    <fb>47.265999999999998</fb>
    <v>1</v>
  </rv>
  <rv s="0">
    <fb>44337</fb>
    <v>0</v>
  </rv>
  <rv s="0">
    <fb>245.17</fb>
    <v>1</v>
  </rv>
  <rv s="0">
    <fb>226.77</fb>
    <v>1</v>
  </rv>
  <rv s="0">
    <fb>132.30000000000001</fb>
    <v>1</v>
  </rv>
  <rv s="0">
    <fb>23.95</fb>
    <v>1</v>
  </rv>
  <rv s="0">
    <fb>229.14</fb>
    <v>1</v>
  </rv>
  <rv s="0">
    <fb>631.67999999999995</fb>
    <v>1</v>
  </rv>
  <rv s="0">
    <fb>45.052</fb>
    <v>1</v>
  </rv>
  <rv s="0">
    <fb>44340</fb>
    <v>0</v>
  </rv>
  <rv s="0">
    <fb>250.78</fb>
    <v>1</v>
  </rv>
  <rv s="0">
    <fb>229.32</fb>
    <v>1</v>
  </rv>
  <rv s="0">
    <fb>133.34</fb>
    <v>1</v>
  </rv>
  <rv s="0">
    <fb>234.06</fb>
    <v>1</v>
  </rv>
  <rv s="0">
    <fb>603.67999999999995</fb>
    <v>1</v>
  </rv>
  <rv s="0">
    <fb>47.244999999999997</fb>
    <v>1</v>
  </rv>
  <rv s="0">
    <fb>44341</fb>
    <v>0</v>
  </rv>
  <rv s="0">
    <fb>251.72</fb>
    <v>1</v>
  </rv>
  <rv s="0">
    <fb>22.292899999999999</fb>
    <v>1</v>
  </rv>
  <rv s="0">
    <fb>229.02</fb>
    <v>1</v>
  </rv>
  <rv s="0">
    <fb>133.22999999999999</fb>
    <v>1</v>
  </rv>
  <rv s="0">
    <fb>23.61</fb>
    <v>1</v>
  </rv>
  <rv s="0">
    <fb>236.76</fb>
    <v>1</v>
  </rv>
  <rv s="0">
    <fb>603.20000000000005</fb>
    <v>1</v>
  </rv>
  <rv s="0">
    <fb>46.966999999999999</fb>
    <v>1</v>
  </rv>
  <rv s="0">
    <fb>44342</fb>
    <v>0</v>
  </rv>
  <rv s="0">
    <fb>251.49</fb>
    <v>1</v>
  </rv>
  <rv s="0">
    <fb>227.07</fb>
    <v>1</v>
  </rv>
  <rv s="0">
    <fb>133.29</fb>
    <v>1</v>
  </rv>
  <rv s="0">
    <fb>24.67</fb>
    <v>1</v>
  </rv>
  <rv s="0">
    <fb>238.39</fb>
    <v>1</v>
  </rv>
  <rv s="0">
    <fb>574.4</fb>
    <v>1</v>
  </rv>
  <rv s="0">
    <fb>48.279000000000003</fb>
    <v>1</v>
  </rv>
  <rv s="0">
    <fb>44343</fb>
    <v>0</v>
  </rv>
  <rv s="0">
    <fb>249.31</fb>
    <v>1</v>
  </rv>
  <rv s="0">
    <fb>22.436399999999999</fb>
    <v>1</v>
  </rv>
  <rv s="0">
    <fb>226.86</fb>
    <v>1</v>
  </rv>
  <rv s="0">
    <fb>137.54</fb>
    <v>1</v>
  </rv>
  <rv s="0">
    <fb>26.08</fb>
    <v>1</v>
  </rv>
  <rv s="0">
    <fb>240.26</fb>
    <v>1</v>
  </rv>
  <rv s="0">
    <fb>546.55999999999995</fb>
    <v>1</v>
  </rv>
  <rv s="0">
    <fb>49.384999999999998</fb>
    <v>1</v>
  </rv>
  <rv s="0">
    <fb>44344</fb>
    <v>0</v>
  </rv>
  <rv s="0">
    <fb>249.68</fb>
    <v>1</v>
  </rv>
  <rv s="0">
    <fb>22.224900000000002</fb>
    <v>1</v>
  </rv>
  <rv s="0">
    <fb>227.3</fb>
    <v>1</v>
  </rv>
  <rv s="0">
    <fb>138.13</fb>
    <v>1</v>
  </rv>
  <rv s="0">
    <fb>25.93</fb>
    <v>1</v>
  </rv>
  <rv s="0">
    <fb>241.57</fb>
    <v>1</v>
  </rv>
  <rv s="0">
    <fb>555.20000000000005</fb>
    <v>1</v>
  </rv>
  <rv s="0">
    <fb>47</fb>
    <v>1</v>
  </rv>
  <rv s="0">
    <fb>44348</fb>
    <v>0</v>
  </rv>
  <rv s="0">
    <fb>247.4</fb>
    <v>1</v>
  </rv>
  <rv s="0">
    <fb>226.63</fb>
    <v>1</v>
  </rv>
  <rv s="0">
    <fb>137.19999999999999</fb>
    <v>1</v>
  </rv>
  <rv s="0">
    <fb>26.67</fb>
    <v>1</v>
  </rv>
  <rv s="0">
    <fb>241.73</fb>
    <v>1</v>
  </rv>
  <rv s="0">
    <fb>568.48</fb>
    <v>1</v>
  </rv>
  <rv s="0">
    <fb>47.776000000000003</fb>
    <v>1</v>
  </rv>
  <rv s="0">
    <fb>44349</fb>
    <v>0</v>
  </rv>
  <rv s="0">
    <fb>247.3</fb>
    <v>1</v>
  </rv>
  <rv s="0">
    <fb>22.360900000000001</fb>
    <v>1</v>
  </rv>
  <rv s="0">
    <fb>229.66</fb>
    <v>1</v>
  </rv>
  <rv s="0">
    <fb>136.57</fb>
    <v>1</v>
  </rv>
  <rv s="0">
    <fb>26.12</fb>
    <v>1</v>
  </rv>
  <rv s="0">
    <fb>239.73</fb>
    <v>1</v>
  </rv>
  <rv s="0">
    <fb>553.76</fb>
    <v>1</v>
  </rv>
  <rv s="0">
    <fb>49.85</fb>
    <v>1</v>
  </rv>
  <rv s="0">
    <fb>44350</fb>
    <v>0</v>
  </rv>
  <rv s="0">
    <fb>245.71</fb>
    <v>1</v>
  </rv>
  <rv s="0">
    <fb>228.11</fb>
    <v>1</v>
  </rv>
  <rv s="0">
    <fb>136.37</fb>
    <v>1</v>
  </rv>
  <rv s="0">
    <fb>25.89</fb>
    <v>1</v>
  </rv>
  <rv s="0">
    <fb>232.19</fb>
    <v>1</v>
  </rv>
  <rv s="0">
    <fb>564</fb>
    <v>1</v>
  </rv>
  <rv s="0">
    <fb>48.863999999999997</fb>
    <v>1</v>
  </rv>
  <rv s="0">
    <fb>44351</fb>
    <v>0</v>
  </rv>
  <rv s="0">
    <fb>250.79</fb>
    <v>1</v>
  </rv>
  <rv s="0">
    <fb>22.104099999999999</fb>
    <v>1</v>
  </rv>
  <rv s="0">
    <fb>230.14</fb>
    <v>1</v>
  </rv>
  <rv s="0">
    <fb>137.9</fb>
    <v>1</v>
  </rv>
  <rv s="0">
    <fb>26.26</fb>
    <v>1</v>
  </rv>
  <rv s="0">
    <fb>236.17</fb>
    <v>1</v>
  </rv>
  <rv s="0">
    <fb>534.24</fb>
    <v>1</v>
  </rv>
  <rv s="0">
    <fb>48.466999999999999</fb>
    <v>1</v>
  </rv>
  <rv s="0">
    <fb>44354</fb>
    <v>0</v>
  </rv>
  <rv s="0">
    <fb>253.81</fb>
    <v>1</v>
  </rv>
  <rv s="0">
    <fb>21.960599999999999</fb>
    <v>1</v>
  </rv>
  <rv s="0">
    <fb>137.65</fb>
    <v>1</v>
  </rv>
  <rv s="0">
    <fb>25.64</fb>
    <v>1</v>
  </rv>
  <rv s="0">
    <fb>242.66</fb>
    <v>1</v>
  </rv>
  <rv s="0">
    <fb>524.64</fb>
    <v>1</v>
  </rv>
  <rv s="0">
    <fb>46.981000000000002</fb>
    <v>1</v>
  </rv>
  <rv s="0">
    <fb>44355</fb>
    <v>0</v>
  </rv>
  <rv s="0">
    <fb>252.57</fb>
    <v>1</v>
  </rv>
  <rv s="0">
    <fb>21.885100000000001</fb>
    <v>1</v>
  </rv>
  <rv s="0">
    <fb>232.05</fb>
    <v>1</v>
  </rv>
  <rv s="0">
    <fb>138.75</fb>
    <v>1</v>
  </rv>
  <rv s="0">
    <fb>26.41</fb>
    <v>1</v>
  </rv>
  <rv s="0">
    <fb>242.51</fb>
    <v>1</v>
  </rv>
  <rv s="0">
    <fb>530.24</fb>
    <v>1</v>
  </rv>
  <rv s="0">
    <fb>45.938000000000002</fb>
    <v>1</v>
  </rv>
  <rv s="0">
    <fb>44356</fb>
    <v>0</v>
  </rv>
  <rv s="0">
    <fb>253.59</fb>
    <v>1</v>
  </rv>
  <rv s="0">
    <fb>232.31</fb>
    <v>1</v>
  </rv>
  <rv s="0">
    <fb>140.13</fb>
    <v>1</v>
  </rv>
  <rv s="0">
    <fb>27.36</fb>
    <v>1</v>
  </rv>
  <rv s="0">
    <fb>237.7</fb>
    <v>1</v>
  </rv>
  <rv s="0">
    <fb>538.88</fb>
    <v>1</v>
  </rv>
  <rv s="0">
    <fb>51.298999999999999</fb>
    <v>1</v>
  </rv>
  <rv s="0">
    <fb>44357</fb>
    <v>0</v>
  </rv>
  <rv s="0">
    <fb>257.24</fb>
    <v>1</v>
  </rv>
  <rv s="0">
    <fb>233.95</fb>
    <v>1</v>
  </rv>
  <rv s="0">
    <fb>143.06</fb>
    <v>1</v>
  </rv>
  <rv s="0">
    <fb>27.75</fb>
    <v>1</v>
  </rv>
  <rv s="0">
    <fb>247.19</fb>
    <v>1</v>
  </rv>
  <rv s="0">
    <fb>507.68</fb>
    <v>1</v>
  </rv>
  <rv s="0">
    <fb>50.865000000000002</fb>
    <v>1</v>
  </rv>
  <rv s="0">
    <fb>44358</fb>
    <v>0</v>
  </rv>
  <rv s="0">
    <fb>257.89</fb>
    <v>1</v>
  </rv>
  <rv s="0">
    <fb>234.96</fb>
    <v>1</v>
  </rv>
  <rv s="0">
    <fb>143.53</fb>
    <v>1</v>
  </rv>
  <rv s="0">
    <fb>28.66</fb>
    <v>1</v>
  </rv>
  <rv s="0">
    <fb>243.66</fb>
    <v>1</v>
  </rv>
  <rv s="0">
    <fb>493.12</fb>
    <v>1</v>
  </rv>
  <rv s="0">
    <fb>51.643999999999998</fb>
    <v>1</v>
  </rv>
  <rv s="0">
    <fb>44361</fb>
    <v>0</v>
  </rv>
  <rv s="0">
    <fb>259.89</fb>
    <v>1</v>
  </rv>
  <rv s="0">
    <fb>234.08</fb>
    <v>1</v>
  </rv>
  <rv s="0">
    <fb>144.38999999999999</fb>
    <v>1</v>
  </rv>
  <rv s="0">
    <fb>26.75</fb>
    <v>1</v>
  </rv>
  <rv s="0">
    <fb>251.51</fb>
    <v>1</v>
  </rv>
  <rv s="0">
    <fb>497.76</fb>
    <v>1</v>
  </rv>
  <rv s="0">
    <fb>59.848999999999997</fb>
    <v>1</v>
  </rv>
  <rv s="0">
    <fb>44362</fb>
    <v>0</v>
  </rv>
  <rv s="0">
    <fb>258.36</fb>
    <v>1</v>
  </rv>
  <rv s="0">
    <fb>22.111699999999999</fb>
    <v>1</v>
  </rv>
  <rv s="0">
    <fb>232.98</fb>
    <v>1</v>
  </rv>
  <rv s="0">
    <fb>144.62</fb>
    <v>1</v>
  </rv>
  <rv s="0">
    <fb>26.94</fb>
    <v>1</v>
  </rv>
  <rv s="0">
    <fb>242.76</fb>
    <v>1</v>
  </rv>
  <rv s="0">
    <fb>508.64</fb>
    <v>1</v>
  </rv>
  <rv s="0">
    <fb>63.054000000000002</fb>
    <v>1</v>
  </rv>
  <rv s="0">
    <fb>44363</fb>
    <v>0</v>
  </rv>
  <rv s="0">
    <fb>257.38</fb>
    <v>1</v>
  </rv>
  <rv s="0">
    <fb>21.945499999999999</fb>
    <v>1</v>
  </rv>
  <rv s="0">
    <fb>229.6</fb>
    <v>1</v>
  </rv>
  <rv s="0">
    <fb>143.59</fb>
    <v>1</v>
  </rv>
  <rv s="0">
    <fb>25.8</fb>
    <v>1</v>
  </rv>
  <rv s="0">
    <fb>242.78</fb>
    <v>1</v>
  </rv>
  <rv s="0">
    <fb>513.12</fb>
    <v>1</v>
  </rv>
  <rv s="0">
    <fb>61.981999999999999</fb>
    <v>1</v>
  </rv>
  <rv s="0">
    <fb>44364</fb>
    <v>0</v>
  </rv>
  <rv s="0">
    <fb>260.89999999999998</fb>
    <v>1</v>
  </rv>
  <rv s="0">
    <fb>21.703900000000001</fb>
    <v>1</v>
  </rv>
  <rv s="0">
    <fb>232.15</fb>
    <v>1</v>
  </rv>
  <rv s="0">
    <fb>146.91999999999999</fb>
    <v>1</v>
  </rv>
  <rv s="0">
    <fb>23.82</fb>
    <v>1</v>
  </rv>
  <rv s="0">
    <fb>247.11</fb>
    <v>1</v>
  </rv>
  <rv s="0">
    <fb>510.24</fb>
    <v>1</v>
  </rv>
  <rv s="0">
    <fb>63.081000000000003</fb>
    <v>1</v>
  </rv>
  <rv s="0">
    <fb>44365</fb>
    <v>0</v>
  </rv>
  <rv s="0">
    <fb>259.43</fb>
    <v>1</v>
  </rv>
  <rv s="0">
    <fb>230.41</fb>
    <v>1</v>
  </rv>
  <rv s="0">
    <fb>145.01</fb>
    <v>1</v>
  </rv>
  <rv s="0">
    <fb>22.71</fb>
    <v>1</v>
  </rv>
  <rv s="0">
    <fb>247.64</fb>
    <v>1</v>
  </rv>
  <rv s="0">
    <fb>555.04</fb>
    <v>1</v>
  </rv>
  <rv s="0">
    <fb>64.646000000000001</fb>
    <v>1</v>
  </rv>
  <rv s="0">
    <fb>44368</fb>
    <v>0</v>
  </rv>
  <rv s="0">
    <fb>262.63</fb>
    <v>1</v>
  </rv>
  <rv s="0">
    <fb>234.32</fb>
    <v>1</v>
  </rv>
  <rv s="0">
    <fb>146.41</fb>
    <v>1</v>
  </rv>
  <rv s="0">
    <fb>23.31</fb>
    <v>1</v>
  </rv>
  <rv s="0">
    <fb>245.6</fb>
    <v>1</v>
  </rv>
  <rv s="0">
    <fb>520.64</fb>
    <v>1</v>
  </rv>
  <rv s="0">
    <fb>58.366999999999997</fb>
    <v>1</v>
  </rv>
  <rv s="0">
    <fb>44369</fb>
    <v>0</v>
  </rv>
  <rv s="0">
    <fb>265.51</fb>
    <v>1</v>
  </rv>
  <rv s="0">
    <fb>21.734100000000002</fb>
    <v>1</v>
  </rv>
  <rv s="0">
    <fb>235.93</fb>
    <v>1</v>
  </rv>
  <rv s="0">
    <fb>146.63</fb>
    <v>1</v>
  </rv>
  <rv s="0">
    <fb>23.11</fb>
    <v>1</v>
  </rv>
  <rv s="0">
    <fb>253.64</fb>
    <v>1</v>
  </rv>
  <rv s="0">
    <fb>493.92</fb>
    <v>1</v>
  </rv>
  <rv s="0">
    <fb>55.372</fb>
    <v>1</v>
  </rv>
  <rv s="0">
    <fb>44370</fb>
    <v>0</v>
  </rv>
  <rv s="0">
    <fb>265.27499999999998</fb>
    <v>1</v>
  </rv>
  <rv s="0">
    <fb>234.68</fb>
    <v>1</v>
  </rv>
  <rv s="0">
    <fb>147.24</fb>
    <v>1</v>
  </rv>
  <rv s="0">
    <fb>23.49</fb>
    <v>1</v>
  </rv>
  <rv s="0">
    <fb>256.7</fb>
    <v>1</v>
  </rv>
  <rv s="0">
    <fb>484.64</fb>
    <v>1</v>
  </rv>
  <rv s="0">
    <fb>55.3</fb>
    <v>1</v>
  </rv>
  <rv s="0">
    <fb>44371</fb>
    <v>0</v>
  </rv>
  <rv s="0">
    <fb>266.69</fb>
    <v>1</v>
  </rv>
  <rv s="0">
    <fb>21.741599999999998</fb>
    <v>1</v>
  </rv>
  <rv s="0">
    <fb>236.24</fb>
    <v>1</v>
  </rv>
  <rv s="0">
    <fb>146.66999999999999</fb>
    <v>1</v>
  </rv>
  <rv s="0">
    <fb>24.28</fb>
    <v>1</v>
  </rv>
  <rv s="0">
    <fb>264.16000000000003</fb>
    <v>1</v>
  </rv>
  <rv s="0">
    <fb>475.2</fb>
    <v>1</v>
  </rv>
  <rv s="0">
    <fb>58.188000000000002</fb>
    <v>1</v>
  </rv>
  <rv s="0">
    <fb>44372</fb>
    <v>0</v>
  </rv>
  <rv s="0">
    <fb>265.02</fb>
    <v>1</v>
  </rv>
  <rv s="0">
    <fb>237.32</fb>
    <v>1</v>
  </rv>
  <rv s="0">
    <fb>147.28</fb>
    <v>1</v>
  </rv>
  <rv s="0">
    <fb>23.64</fb>
    <v>1</v>
  </rv>
  <rv s="0">
    <fb>266.38</fb>
    <v>1</v>
  </rv>
  <rv s="0">
    <fb>466.4</fb>
    <v>1</v>
  </rv>
  <rv s="0">
    <fb>55.005000000000003</fb>
    <v>1</v>
  </rv>
  <rv s="0">
    <fb>44375</fb>
    <v>0</v>
  </rv>
  <rv s="0">
    <fb>268.72000000000003</fb>
    <v>1</v>
  </rv>
  <rv s="0">
    <fb>234.09</fb>
    <v>1</v>
  </rv>
  <rv s="0">
    <fb>147.93</fb>
    <v>1</v>
  </rv>
  <rv s="0">
    <fb>23.21</fb>
    <v>1</v>
  </rv>
  <rv s="0">
    <fb>271.56</fb>
    <v>1</v>
  </rv>
  <rv s="0">
    <fb>62.417000000000002</fb>
    <v>1</v>
  </rv>
  <rv s="0">
    <fb>44376</fb>
    <v>0</v>
  </rv>
  <rv s="0">
    <fb>271.39999999999998</fb>
    <v>1</v>
  </rv>
  <rv s="0">
    <fb>21.6435</fb>
    <v>1</v>
  </rv>
  <rv s="0">
    <fb>235.95</fb>
    <v>1</v>
  </rv>
  <rv s="0">
    <fb>148.81</fb>
    <v>1</v>
  </rv>
  <rv s="0">
    <fb>23.36</fb>
    <v>1</v>
  </rv>
  <rv s="0">
    <fb>272.86</fb>
    <v>1</v>
  </rv>
  <rv s="0">
    <fb>476.32</fb>
    <v>1</v>
  </rv>
  <rv s="0">
    <fb>66.899000000000001</fb>
    <v>1</v>
  </rv>
  <rv s="0">
    <fb>44377</fb>
    <v>0</v>
  </rv>
  <rv s="0">
    <fb>270.89999999999998</fb>
    <v>1</v>
  </rv>
  <rv s="0">
    <fb>233.82</fb>
    <v>1</v>
  </rv>
  <rv s="0">
    <fb>147.81</fb>
    <v>1</v>
  </rv>
  <rv s="0">
    <fb>24</fb>
    <v>1</v>
  </rv>
  <rv s="0">
    <fb>275.58999999999997</fb>
    <v>1</v>
  </rv>
  <rv s="0">
    <fb>471.36</fb>
    <v>1</v>
  </rv>
  <rv s="0">
    <fb>66.45</fb>
    <v>1</v>
  </rv>
  <rv s="0">
    <fb>44378</fb>
    <v>0</v>
  </rv>
  <rv s="0">
    <fb>271.60000000000002</fb>
    <v>1</v>
  </rv>
  <rv s="0">
    <fb>235.15</fb>
    <v>1</v>
  </rv>
  <rv s="0">
    <fb>147.79</fb>
    <v>1</v>
  </rv>
  <rv s="0">
    <fb>24.07</fb>
    <v>1</v>
  </rv>
  <rv s="0">
    <fb>268.63</fb>
    <v>1</v>
  </rv>
  <rv s="0">
    <fb>463.68</fb>
    <v>1</v>
  </rv>
  <rv s="0">
    <fb>65.085999999999999</fb>
    <v>1</v>
  </rv>
  <rv s="0">
    <fb>44379</fb>
    <v>0</v>
  </rv>
  <rv s="0">
    <fb>277.64999999999998</fb>
    <v>1</v>
  </rv>
  <rv s="0">
    <fb>238.63</fb>
    <v>1</v>
  </rv>
  <rv s="0">
    <fb>148.82</fb>
    <v>1</v>
  </rv>
  <rv s="0">
    <fb>24.09</fb>
    <v>1</v>
  </rv>
  <rv s="0">
    <fb>267.83</fb>
    <v>1</v>
  </rv>
  <rv s="0">
    <fb>462.56</fb>
    <v>1</v>
  </rv>
  <rv s="0">
    <fb>63.561</fb>
    <v>1</v>
  </rv>
  <rv s="0">
    <fb>44383</fb>
    <v>0</v>
  </rv>
  <rv s="0">
    <fb>277.66000000000003</fb>
    <v>1</v>
  </rv>
  <rv s="0">
    <fb>239.6</fb>
    <v>1</v>
  </rv>
  <rv s="0">
    <fb>148.97999999999999</fb>
    <v>1</v>
  </rv>
  <rv s="0">
    <fb>22.48</fb>
    <v>1</v>
  </rv>
  <rv s="0">
    <fb>263.52</fb>
    <v>1</v>
  </rv>
  <rv s="0">
    <fb>473.12</fb>
    <v>1</v>
  </rv>
  <rv s="0">
    <fb>63.429000000000002</fb>
    <v>1</v>
  </rv>
  <rv s="0">
    <fb>44384</fb>
    <v>0</v>
  </rv>
  <rv s="0">
    <fb>279.93</fb>
    <v>1</v>
  </rv>
  <rv s="0">
    <fb>240</fb>
    <v>1</v>
  </rv>
  <rv s="0">
    <fb>149.49</fb>
    <v>1</v>
  </rv>
  <rv s="0">
    <fb>22.93</fb>
    <v>1</v>
  </rv>
  <rv s="0">
    <fb>259.04000000000002</fb>
    <v>1</v>
  </rv>
  <rv s="0">
    <fb>474.08</fb>
    <v>1</v>
  </rv>
  <rv s="0">
    <fb>63.985999999999997</fb>
    <v>1</v>
  </rv>
  <rv s="0">
    <fb>44385</fb>
    <v>0</v>
  </rv>
  <rv s="0">
    <fb>277.42</fb>
    <v>1</v>
  </rv>
  <rv s="0">
    <fb>21.280999999999999</fb>
    <v>1</v>
  </rv>
  <rv s="0">
    <fb>236.61</fb>
    <v>1</v>
  </rv>
  <rv s="0">
    <fb>148.83000000000001</fb>
    <v>1</v>
  </rv>
  <rv s="0">
    <fb>22.63</fb>
    <v>1</v>
  </rv>
  <rv s="0">
    <fb>256.14999999999998</fb>
    <v>1</v>
  </rv>
  <rv s="0">
    <fb>504.8</fb>
    <v>1</v>
  </rv>
  <rv s="0">
    <fb>61.844000000000001</fb>
    <v>1</v>
  </rv>
  <rv s="0">
    <fb>44386</fb>
    <v>0</v>
  </rv>
  <rv s="0">
    <fb>277.94</fb>
    <v>1</v>
  </rv>
  <rv s="0">
    <fb>21.4849</fb>
    <v>1</v>
  </rv>
  <rv s="0">
    <fb>238.47</fb>
    <v>1</v>
  </rv>
  <rv s="0">
    <fb>150.03</fb>
    <v>1</v>
  </rv>
  <rv s="0">
    <fb>24.54</fb>
    <v>1</v>
  </rv>
  <rv s="0">
    <fb>262.83</fb>
    <v>1</v>
  </rv>
  <rv s="0">
    <fb>470.88</fb>
    <v>1</v>
  </rv>
  <rv s="0">
    <fb>62.866</fb>
    <v>1</v>
  </rv>
  <rv s="0">
    <fb>44389</fb>
    <v>0</v>
  </rv>
  <rv s="0">
    <fb>277.32</fb>
    <v>1</v>
  </rv>
  <rv s="0">
    <fb>21.5075</fb>
    <v>1</v>
  </rv>
  <rv s="0">
    <fb>237.87</fb>
    <v>1</v>
  </rv>
  <rv s="0">
    <fb>149.51</fb>
    <v>1</v>
  </rv>
  <rv s="0">
    <fb>261.01</fb>
    <v>1</v>
  </rv>
  <rv s="0">
    <fb>467.84</fb>
    <v>1</v>
  </rv>
  <rv s="0">
    <fb>58.869</fb>
    <v>1</v>
  </rv>
  <rv s="0">
    <fb>44390</fb>
    <v>0</v>
  </rv>
  <rv s="0">
    <fb>280.98</fb>
    <v>1</v>
  </rv>
  <rv s="0">
    <fb>21.3489</fb>
    <v>1</v>
  </rv>
  <rv s="0">
    <fb>149.27000000000001</fb>
    <v>1</v>
  </rv>
  <rv s="0">
    <fb>24.22</fb>
    <v>1</v>
  </rv>
  <rv s="0">
    <fb>263.85000000000002</fb>
    <v>1</v>
  </rv>
  <rv s="0">
    <fb>473.44</fb>
    <v>1</v>
  </rv>
  <rv s="0">
    <fb>57.988</fb>
    <v>1</v>
  </rv>
  <rv s="0">
    <fb>44391</fb>
    <v>0</v>
  </rv>
  <rv s="0">
    <fb>282.51</fb>
    <v>1</v>
  </rv>
  <rv s="0">
    <fb>21.3414</fb>
    <v>1</v>
  </rv>
  <rv s="0">
    <fb>245.99</fb>
    <v>1</v>
  </rv>
  <rv s="0">
    <fb>148.63</fb>
    <v>1</v>
  </rv>
  <rv s="0">
    <fb>23.26</fb>
    <v>1</v>
  </rv>
  <rv s="0">
    <fb>253.41</fb>
    <v>1</v>
  </rv>
  <rv s="0">
    <fb>56.042999999999999</fb>
    <v>1</v>
  </rv>
  <rv s="0">
    <fb>44392</fb>
    <v>0</v>
  </rv>
  <rv s="0">
    <fb>281.02999999999997</fb>
    <v>1</v>
  </rv>
  <rv s="0">
    <fb>21.469799999999999</fb>
    <v>1</v>
  </rv>
  <rv s="0">
    <fb>248.55</fb>
    <v>1</v>
  </rv>
  <rv s="0">
    <fb>148.96</fb>
    <v>1</v>
  </rv>
  <rv s="0">
    <fb>23.2</fb>
    <v>1</v>
  </rv>
  <rv s="0">
    <fb>247.97</fb>
    <v>1</v>
  </rv>
  <rv s="0">
    <fb>469.28</fb>
    <v>1</v>
  </rv>
  <rv s="0">
    <fb>54.103999999999999</fb>
    <v>1</v>
  </rv>
  <rv s="0">
    <fb>44393</fb>
    <v>0</v>
  </rv>
  <rv s="0">
    <fb>280.75</fb>
    <v>1</v>
  </rv>
  <rv s="0">
    <fb>21.401800000000001</fb>
    <v>1</v>
  </rv>
  <rv s="0">
    <fb>248.12</fb>
    <v>1</v>
  </rv>
  <rv s="0">
    <fb>148.93</fb>
    <v>1</v>
  </rv>
  <rv s="0">
    <fb>21.89</fb>
    <v>1</v>
  </rv>
  <rv s="0">
    <fb>243.24</fb>
    <v>1</v>
  </rv>
  <rv s="0">
    <fb>488.8</fb>
    <v>1</v>
  </rv>
  <rv s="0">
    <fb>52.308999999999997</fb>
    <v>1</v>
  </rv>
  <rv s="0">
    <fb>44396</fb>
    <v>0</v>
  </rv>
  <rv s="0">
    <fb>277.01</fb>
    <v>1</v>
  </rv>
  <rv s="0">
    <fb>20.986499999999999</fb>
    <v>1</v>
  </rv>
  <rv s="0">
    <fb>240.41</fb>
    <v>1</v>
  </rv>
  <rv s="0">
    <fb>147.58000000000001</fb>
    <v>1</v>
  </rv>
  <rv s="0">
    <fb>21.5</fb>
    <v>1</v>
  </rv>
  <rv s="0">
    <fb>241.81</fb>
    <v>1</v>
  </rv>
  <rv s="0">
    <fb>558.55999999999995</fb>
    <v>1</v>
  </rv>
  <rv s="0">
    <fb>49.872</fb>
    <v>1</v>
  </rv>
  <rv s="0">
    <fb>44397</fb>
    <v>0</v>
  </rv>
  <rv s="0">
    <fb>279.32</fb>
    <v>1</v>
  </rv>
  <rv s="0">
    <fb>21.077100000000002</fb>
    <v>1</v>
  </rv>
  <rv s="0">
    <fb>242.7</fb>
    <v>1</v>
  </rv>
  <rv s="0">
    <fb>149.30000000000001</fb>
    <v>1</v>
  </rv>
  <rv s="0">
    <fb>22.06</fb>
    <v>1</v>
  </rv>
  <rv s="0">
    <fb>246.5</fb>
    <v>1</v>
  </rv>
  <rv s="0">
    <fb>511.52</fb>
    <v>1</v>
  </rv>
  <rv s="0">
    <fb>50.177999999999997</fb>
    <v>1</v>
  </rv>
  <rv s="0">
    <fb>44398</fb>
    <v>0</v>
  </rv>
  <rv s="0">
    <fb>281.39999999999998</fb>
    <v>1</v>
  </rv>
  <rv s="0">
    <fb>21.069500000000001</fb>
    <v>1</v>
  </rv>
  <rv s="0">
    <fb>148.94999999999999</fb>
    <v>1</v>
  </rv>
  <rv s="0">
    <fb>23.06</fb>
    <v>1</v>
  </rv>
  <rv s="0">
    <fb>247.91</fb>
    <v>1</v>
  </rv>
  <rv s="0">
    <fb>479.04</fb>
    <v>1</v>
  </rv>
  <rv s="0">
    <fb>55.694000000000003</fb>
    <v>1</v>
  </rv>
  <rv s="0">
    <fb>44399</fb>
    <v>0</v>
  </rv>
  <rv s="0">
    <fb>286.14</fb>
    <v>1</v>
  </rv>
  <rv s="0">
    <fb>21.1526</fb>
    <v>1</v>
  </rv>
  <rv s="0">
    <fb>244.14</fb>
    <v>1</v>
  </rv>
  <rv s="0">
    <fb>150.30000000000001</fb>
    <v>1</v>
  </rv>
  <rv s="0">
    <fb>23.04</fb>
    <v>1</v>
  </rv>
  <rv s="0">
    <fb>244.18</fb>
    <v>1</v>
  </rv>
  <rv s="0">
    <fb>487.52</fb>
    <v>1</v>
  </rv>
  <rv s="0">
    <fb>55.594000000000001</fb>
    <v>1</v>
  </rv>
  <rv s="0">
    <fb>44400</fb>
    <v>0</v>
  </rv>
  <rv s="0">
    <fb>289.67</fb>
    <v>1</v>
  </rv>
  <rv s="0">
    <fb>21.258299999999998</fb>
    <v>1</v>
  </rv>
  <rv s="0">
    <fb>249.02</fb>
    <v>1</v>
  </rv>
  <rv s="0">
    <fb>152.31</fb>
    <v>1</v>
  </rv>
  <rv s="0">
    <fb>23.13</fb>
    <v>1</v>
  </rv>
  <rv s="0">
    <fb>243.64</fb>
    <v>1</v>
  </rv>
  <rv s="0">
    <fb>485.28</fb>
    <v>1</v>
  </rv>
  <rv s="0">
    <fb>53.970999999999997</fb>
    <v>1</v>
  </rv>
  <rv s="0">
    <fb>44403</fb>
    <v>0</v>
  </rv>
  <rv s="0">
    <fb>289.05</fb>
    <v>1</v>
  </rv>
  <rv s="0">
    <fb>250.25</fb>
    <v>1</v>
  </rv>
  <rv s="0">
    <fb>150.25</fb>
    <v>1</v>
  </rv>
  <rv s="0">
    <fb>24.15</fb>
    <v>1</v>
  </rv>
  <rv s="0">
    <fb>240.59</fb>
    <v>1</v>
  </rv>
  <rv s="0">
    <fb>477.6</fb>
    <v>1</v>
  </rv>
  <rv s="0">
    <fb>68.25</fb>
    <v>1</v>
  </rv>
  <rv s="0">
    <fb>44404</fb>
    <v>0</v>
  </rv>
  <rv s="0">
    <fb>286.54000000000002</fb>
    <v>1</v>
  </rv>
  <rv s="0">
    <fb>21.296099999999999</fb>
    <v>1</v>
  </rv>
  <rv s="0">
    <fb>250.93</fb>
    <v>1</v>
  </rv>
  <rv s="0">
    <fb>149.94999999999999</fb>
    <v>1</v>
  </rv>
  <rv s="0">
    <fb>23.84</fb>
    <v>1</v>
  </rv>
  <rv s="0">
    <fb>236.93</fb>
    <v>1</v>
  </rv>
  <rv s="0">
    <fb>493.76</fb>
    <v>1</v>
  </rv>
  <rv s="0">
    <fb>63.061</fb>
    <v>1</v>
  </rv>
  <rv s="0">
    <fb>44405</fb>
    <v>0</v>
  </rv>
  <rv s="0">
    <fb>286.22000000000003</fb>
    <v>1</v>
  </rv>
  <rv s="0">
    <fb>246.94</fb>
    <v>1</v>
  </rv>
  <rv s="0">
    <fb>151.46</fb>
    <v>1</v>
  </rv>
  <rv s="0">
    <fb>24.55</fb>
    <v>1</v>
  </rv>
  <rv s="0">
    <fb>223.32</fb>
    <v>1</v>
  </rv>
  <rv s="0">
    <fb>479.84</fb>
    <v>1</v>
  </rv>
  <rv s="0">
    <fb>64.665000000000006</fb>
    <v>1</v>
  </rv>
  <rv s="0">
    <fb>44406</fb>
    <v>0</v>
  </rv>
  <rv s="0">
    <fb>286.5</fb>
    <v>1</v>
  </rv>
  <rv s="0">
    <fb>21.364000000000001</fb>
    <v>1</v>
  </rv>
  <rv s="0">
    <fb>247.92</fb>
    <v>1</v>
  </rv>
  <rv s="0">
    <fb>152.66999999999999</fb>
    <v>1</v>
  </rv>
  <rv s="0">
    <fb>25.47</fb>
    <v>1</v>
  </rv>
  <rv s="0">
    <fb>225.27</fb>
    <v>1</v>
  </rv>
  <rv s="0">
    <fb>471.84</fb>
    <v>1</v>
  </rv>
  <rv s="0">
    <fb>62.500999999999998</fb>
    <v>1</v>
  </rv>
  <rv s="0">
    <fb>44407</fb>
    <v>0</v>
  </rv>
  <rv s="0">
    <fb>284.91000000000003</fb>
    <v>1</v>
  </rv>
  <rv s="0">
    <fb>21.1828</fb>
    <v>1</v>
  </rv>
  <rv s="0">
    <fb>246.39</fb>
    <v>1</v>
  </rv>
  <rv s="0">
    <fb>153.22999999999999</fb>
    <v>1</v>
  </rv>
  <rv s="0">
    <fb>26.48</fb>
    <v>1</v>
  </rv>
  <rv s="0">
    <fb>228.67</fb>
    <v>1</v>
  </rv>
  <rv s="0">
    <fb>483.36</fb>
    <v>1</v>
  </rv>
  <rv s="0">
    <fb>62.600999999999999</fb>
    <v>1</v>
  </rv>
  <rv s="0">
    <fb>44410</fb>
    <v>0</v>
  </rv>
  <rv s="0">
    <fb>284.82</fb>
    <v>1</v>
  </rv>
  <rv s="0">
    <fb>21.228100000000001</fb>
    <v>1</v>
  </rv>
  <rv s="0">
    <fb>239.78</fb>
    <v>1</v>
  </rv>
  <rv s="0">
    <fb>153.07</fb>
    <v>1</v>
  </rv>
  <rv s="0">
    <fb>25.07</fb>
    <v>1</v>
  </rv>
  <rv s="0">
    <fb>228.4</fb>
    <v>1</v>
  </rv>
  <rv s="0">
    <fb>502.08</fb>
    <v>1</v>
  </rv>
  <rv s="0">
    <fb>63.779000000000003</fb>
    <v>1</v>
  </rv>
  <rv s="0">
    <fb>44411</fb>
    <v>0</v>
  </rv>
  <rv s="0">
    <fb>287.12</fb>
    <v>1</v>
  </rv>
  <rv s="0">
    <fb>21.288499999999999</fb>
    <v>1</v>
  </rv>
  <rv s="0">
    <fb>237.09</fb>
    <v>1</v>
  </rv>
  <rv s="0">
    <fb>153.86000000000001</fb>
    <v>1</v>
  </rv>
  <rv s="0">
    <fb>25.87</fb>
    <v>1</v>
  </rv>
  <rv s="0">
    <fb>217.95</fb>
    <v>1</v>
  </rv>
  <rv s="0">
    <fb>476.96</fb>
    <v>1</v>
  </rv>
  <rv s="0">
    <fb>62.506</fb>
    <v>1</v>
  </rv>
  <rv s="0">
    <fb>44412</fb>
    <v>0</v>
  </rv>
  <rv s="0">
    <fb>286.51</fb>
    <v>1</v>
  </rv>
  <rv s="0">
    <fb>21.0318</fb>
    <v>1</v>
  </rv>
  <rv s="0">
    <fb>236.67</fb>
    <v>1</v>
  </rv>
  <rv s="0">
    <fb>154.27000000000001</fb>
    <v>1</v>
  </rv>
  <rv s="0">
    <fb>25.24</fb>
    <v>1</v>
  </rv>
  <rv s="0">
    <fb>217.42</fb>
    <v>1</v>
  </rv>
  <rv s="0">
    <fb>67.093000000000004</fb>
    <v>1</v>
  </rv>
  <rv s="0">
    <fb>44413</fb>
    <v>0</v>
  </rv>
  <rv s="0">
    <fb>289.52</fb>
    <v>1</v>
  </rv>
  <rv s="0">
    <fb>21.099699999999999</fb>
    <v>1</v>
  </rv>
  <rv s="0">
    <fb>240.21</fb>
    <v>1</v>
  </rv>
  <rv s="0">
    <fb>155.04</fb>
    <v>1</v>
  </rv>
  <rv s="0">
    <fb>25.31</fb>
    <v>1</v>
  </rv>
  <rv s="0">
    <fb>221.13</fb>
    <v>1</v>
  </rv>
  <rv s="0">
    <fb>464.8</fb>
    <v>1</v>
  </rv>
  <rv s="0">
    <fb>71.561999999999998</fb>
    <v>1</v>
  </rv>
  <rv s="0">
    <fb>44414</fb>
    <v>0</v>
  </rv>
  <rv s="0">
    <fb>289.45999999999998</fb>
    <v>1</v>
  </rv>
  <rv s="0">
    <fb>21.114799999999999</fb>
    <v>1</v>
  </rv>
  <rv s="0">
    <fb>241.4</fb>
    <v>1</v>
  </rv>
  <rv s="0">
    <fb>155.69999999999999</fb>
    <v>1</v>
  </rv>
  <rv s="0">
    <fb>25.91</fb>
    <v>1</v>
  </rv>
  <rv s="0">
    <fb>221.97</fb>
    <v>1</v>
  </rv>
  <rv s="0">
    <fb>452.8</fb>
    <v>1</v>
  </rv>
  <rv s="0">
    <fb>74.872</fb>
    <v>1</v>
  </rv>
  <rv s="0">
    <fb>44417</fb>
    <v>0</v>
  </rv>
  <rv s="0">
    <fb>288.33</fb>
    <v>1</v>
  </rv>
  <rv s="0">
    <fb>156.54</fb>
    <v>1</v>
  </rv>
  <rv s="0">
    <fb>27.03</fb>
    <v>1</v>
  </rv>
  <rv s="0">
    <fb>224.78</fb>
    <v>1</v>
  </rv>
  <rv s="0">
    <fb>448.16</fb>
    <v>1</v>
  </rv>
  <rv s="0">
    <fb>76.772999999999996</fb>
    <v>1</v>
  </rv>
  <rv s="0">
    <fb>44418</fb>
    <v>0</v>
  </rv>
  <rv s="0">
    <fb>286.44</fb>
    <v>1</v>
  </rv>
  <rv s="0">
    <fb>238.07</fb>
    <v>1</v>
  </rv>
  <rv s="0">
    <fb>156.52000000000001</fb>
    <v>1</v>
  </rv>
  <rv s="0">
    <fb>28.31</fb>
    <v>1</v>
  </rv>
  <rv s="0">
    <fb>215.48</fb>
    <v>1</v>
  </rv>
  <rv s="0">
    <fb>440.48</fb>
    <v>1</v>
  </rv>
  <rv s="0">
    <fb>75.049000000000007</fb>
    <v>1</v>
  </rv>
  <rv s="0">
    <fb>44419</fb>
    <v>0</v>
  </rv>
  <rv s="0">
    <fb>286.95</fb>
    <v>1</v>
  </rv>
  <rv s="0">
    <fb>21.265899999999998</fb>
    <v>1</v>
  </rv>
  <rv s="0">
    <fb>235.06</fb>
    <v>1</v>
  </rv>
  <rv s="0">
    <fb>28.35</fb>
    <v>1</v>
  </rv>
  <rv s="0">
    <fb>214</fb>
    <v>1</v>
  </rv>
  <rv s="0">
    <fb>428.48</fb>
    <v>1</v>
  </rv>
  <rv s="0">
    <fb>74.748999999999995</fb>
    <v>1</v>
  </rv>
  <rv s="0">
    <fb>44420</fb>
    <v>0</v>
  </rv>
  <rv s="0">
    <fb>289.81</fb>
    <v>1</v>
  </rv>
  <rv s="0">
    <fb>21.1601</fb>
    <v>1</v>
  </rv>
  <rv s="0">
    <fb>231.79</fb>
    <v>1</v>
  </rv>
  <rv s="0">
    <fb>158.15</fb>
    <v>1</v>
  </rv>
  <rv s="0">
    <fb>28.08</fb>
    <v>1</v>
  </rv>
  <rv s="0">
    <fb>215.04</fb>
    <v>1</v>
  </rv>
  <rv s="0">
    <fb>419.84</fb>
    <v>1</v>
  </rv>
  <rv s="0">
    <fb>72.099000000000004</fb>
    <v>1</v>
  </rv>
  <rv s="0">
    <fb>44421</fb>
    <v>0</v>
  </rv>
  <rv s="0">
    <fb>292.85000000000002</fb>
    <v>1</v>
  </rv>
  <rv s="0">
    <fb>232.65</fb>
    <v>1</v>
  </rv>
  <rv s="0">
    <fb>159.22999999999999</fb>
    <v>1</v>
  </rv>
  <rv s="0">
    <fb>28.98</fb>
    <v>1</v>
  </rv>
  <rv s="0">
    <fb>211.48</fb>
    <v>1</v>
  </rv>
  <rv s="0">
    <fb>420.48</fb>
    <v>1</v>
  </rv>
  <rv s="0">
    <fb>72.8</fb>
    <v>1</v>
  </rv>
  <rv s="0">
    <fb>44424</fb>
    <v>0</v>
  </rv>
  <rv s="0">
    <fb>294.60000000000002</fb>
    <v>1</v>
  </rv>
  <rv s="0">
    <fb>235.36</fb>
    <v>1</v>
  </rv>
  <rv s="0">
    <fb>162.07</fb>
    <v>1</v>
  </rv>
  <rv s="0">
    <fb>208.83</fb>
    <v>1</v>
  </rv>
  <rv s="0">
    <fb>421.12</fb>
    <v>1</v>
  </rv>
  <rv s="0">
    <fb>69.751000000000005</fb>
    <v>1</v>
  </rv>
  <rv s="0">
    <fb>44425</fb>
    <v>0</v>
  </rv>
  <rv s="0">
    <fb>293.08</fb>
    <v>1</v>
  </rv>
  <rv s="0">
    <fb>234.53</fb>
    <v>1</v>
  </rv>
  <rv s="0">
    <fb>160.91</fb>
    <v>1</v>
  </rv>
  <rv s="0">
    <fb>28.26</fb>
    <v>1</v>
  </rv>
  <rv s="0">
    <fb>206.16</fb>
    <v>1</v>
  </rv>
  <rv s="0">
    <fb>435.2</fb>
    <v>1</v>
  </rv>
  <rv s="0">
    <fb>66.369</fb>
    <v>1</v>
  </rv>
  <rv s="0">
    <fb>44426</fb>
    <v>0</v>
  </rv>
  <rv s="0">
    <fb>290.73</fb>
    <v>1</v>
  </rv>
  <rv s="0">
    <fb>21.0167</fb>
    <v>1</v>
  </rv>
  <rv s="0">
    <fb>231.63</fb>
    <v>1</v>
  </rv>
  <rv s="0">
    <fb>163.02000000000001</fb>
    <v>1</v>
  </rv>
  <rv s="0">
    <fb>29.45</fb>
    <v>1</v>
  </rv>
  <rv s="0">
    <fb>205.42</fb>
    <v>1</v>
  </rv>
  <rv s="0">
    <fb>465.12</fb>
    <v>1</v>
  </rv>
  <rv s="0">
    <fb>65.504999999999995</fb>
    <v>1</v>
  </rv>
  <rv s="0">
    <fb>44427</fb>
    <v>0</v>
  </rv>
  <rv s="0">
    <fb>296.77</fb>
    <v>1</v>
  </rv>
  <rv s="0">
    <fb>20.790099999999999</fb>
    <v>1</v>
  </rv>
  <rv s="0">
    <fb>231.57</fb>
    <v>1</v>
  </rv>
  <rv s="0">
    <fb>167.67</fb>
    <v>1</v>
  </rv>
  <rv s="0">
    <fb>27.33</fb>
    <v>1</v>
  </rv>
  <rv s="0">
    <fb>205.08</fb>
    <v>1</v>
  </rv>
  <rv s="0">
    <fb>480.24</fb>
    <v>1</v>
  </rv>
  <rv s="0">
    <fb>67.626000000000005</fb>
    <v>1</v>
  </rv>
  <rv s="0">
    <fb>44428</fb>
    <v>0</v>
  </rv>
  <rv s="0">
    <fb>304.36</fb>
    <v>1</v>
  </rv>
  <rv s="0">
    <fb>20.8203</fb>
    <v>1</v>
  </rv>
  <rv s="0">
    <fb>231.36</fb>
    <v>1</v>
  </rv>
  <rv s="0">
    <fb>168.13</fb>
    <v>1</v>
  </rv>
  <rv s="0">
    <fb>27.01</fb>
    <v>1</v>
  </rv>
  <rv s="0">
    <fb>216.64</fb>
    <v>1</v>
  </rv>
  <rv s="0">
    <fb>444.16</fb>
    <v>1</v>
  </rv>
  <rv s="0">
    <fb>71.656000000000006</fb>
    <v>1</v>
  </rv>
  <rv s="0">
    <fb>44431</fb>
    <v>0</v>
  </rv>
  <rv s="0">
    <fb>304.64999999999998</fb>
    <v>1</v>
  </rv>
  <rv s="0">
    <fb>20.782599999999999</fb>
    <v>1</v>
  </rv>
  <rv s="0">
    <fb>234.14</fb>
    <v>1</v>
  </rv>
  <rv s="0">
    <fb>170</fb>
    <v>1</v>
  </rv>
  <rv s="0">
    <fb>27.26</fb>
    <v>1</v>
  </rv>
  <rv s="0">
    <fb>221.5</fb>
    <v>1</v>
  </rv>
  <rv s="0">
    <fb>428.96</fb>
    <v>1</v>
  </rv>
  <rv s="0">
    <fb>71.850999999999999</fb>
    <v>1</v>
  </rv>
  <rv s="0">
    <fb>44432</fb>
    <v>0</v>
  </rv>
  <rv s="0">
    <fb>302.62</fb>
    <v>1</v>
  </rv>
  <rv s="0">
    <fb>20.729700000000001</fb>
    <v>1</v>
  </rv>
  <rv s="0">
    <fb>234.24</fb>
    <v>1</v>
  </rv>
  <rv s="0">
    <fb>170.57</fb>
    <v>1</v>
  </rv>
  <rv s="0">
    <fb>27.87</fb>
    <v>1</v>
  </rv>
  <rv s="0">
    <fb>224.88</fb>
    <v>1</v>
  </rv>
  <rv s="0">
    <fb>427.36</fb>
    <v>1</v>
  </rv>
  <rv s="0">
    <fb>71.55</fb>
    <v>1</v>
  </rv>
  <rv s="0">
    <fb>44433</fb>
    <v>0</v>
  </rv>
  <rv s="0">
    <fb>302.01</fb>
    <v>1</v>
  </rv>
  <rv s="0">
    <fb>20.714600000000001</fb>
    <v>1</v>
  </rv>
  <rv s="0">
    <fb>232.59</fb>
    <v>1</v>
  </rv>
  <rv s="0">
    <fb>173.3</fb>
    <v>1</v>
  </rv>
  <rv s="0">
    <fb>27.31</fb>
    <v>1</v>
  </rv>
  <rv s="0">
    <fb>226.9</fb>
    <v>1</v>
  </rv>
  <rv s="0">
    <fb>418.08</fb>
    <v>1</v>
  </rv>
  <rv s="0">
    <fb>72.671000000000006</fb>
    <v>1</v>
  </rv>
  <rv s="0">
    <fb>44434</fb>
    <v>0</v>
  </rv>
  <rv s="0">
    <fb>299.08999999999997</fb>
    <v>1</v>
  </rv>
  <rv s="0">
    <fb>20.405000000000001</fb>
    <v>1</v>
  </rv>
  <rv s="0">
    <fb>230.52</fb>
    <v>1</v>
  </rv>
  <rv s="0">
    <fb>173.59</fb>
    <v>1</v>
  </rv>
  <rv s="0">
    <fb>26.64</fb>
    <v>1</v>
  </rv>
  <rv s="0">
    <fb>224.62</fb>
    <v>1</v>
  </rv>
  <rv s="0">
    <fb>436</fb>
    <v>1</v>
  </rv>
  <rv s="0">
    <fb>69.366</fb>
    <v>1</v>
  </rv>
  <rv s="0">
    <fb>44435</fb>
    <v>0</v>
  </rv>
  <rv s="0">
    <fb>299.72000000000003</fb>
    <v>1</v>
  </rv>
  <rv s="0">
    <fb>20.488</fb>
    <v>1</v>
  </rv>
  <rv s="0">
    <fb>232.69</fb>
    <v>1</v>
  </rv>
  <rv s="0">
    <fb>173.81</fb>
    <v>1</v>
  </rv>
  <rv s="0">
    <fb>27.62</fb>
    <v>1</v>
  </rv>
  <rv s="0">
    <fb>226.02</fb>
    <v>1</v>
  </rv>
  <rv s="0">
    <fb>413.6</fb>
    <v>1</v>
  </rv>
  <rv s="0">
    <fb>70.72</fb>
    <v>1</v>
  </rv>
  <rv s="0">
    <fb>44438</fb>
    <v>0</v>
  </rv>
  <rv s="0">
    <fb>303.58999999999997</fb>
    <v>1</v>
  </rv>
  <rv s="0">
    <fb>20.563600000000001</fb>
    <v>1</v>
  </rv>
  <rv s="0">
    <fb>231.23</fb>
    <v>1</v>
  </rv>
  <rv s="0">
    <fb>176.73</fb>
    <v>1</v>
  </rv>
  <rv s="0">
    <fb>27.06</fb>
    <v>1</v>
  </rv>
  <rv s="0">
    <fb>233.12</fb>
    <v>1</v>
  </rv>
  <rv s="0">
    <fb>409.44</fb>
    <v>1</v>
  </rv>
  <rv s="0">
    <fb>70.299000000000007</fb>
    <v>1</v>
  </rv>
  <rv s="0">
    <fb>44439</fb>
    <v>0</v>
  </rv>
  <rv s="0">
    <fb>301.88</fb>
    <v>1</v>
  </rv>
  <rv s="0">
    <fb>20.707000000000001</fb>
    <v>1</v>
  </rv>
  <rv s="0">
    <fb>229.1</fb>
    <v>1</v>
  </rv>
  <rv s="0">
    <fb>175.47</fb>
    <v>1</v>
  </rv>
  <rv s="0">
    <fb>234.34</fb>
    <v>1</v>
  </rv>
  <rv s="0">
    <fb>407.84</fb>
    <v>1</v>
  </rv>
  <rv s="0">
    <fb>69.430000000000007</fb>
    <v>1</v>
  </rv>
  <rv s="0">
    <fb>44440</fb>
    <v>0</v>
  </rv>
  <rv s="0">
    <fb>301.83</fb>
    <v>1</v>
  </rv>
  <rv s="0">
    <fb>20.533300000000001</fb>
    <v>1</v>
  </rv>
  <rv s="0">
    <fb>230.12</fb>
    <v>1</v>
  </rv>
  <rv s="0">
    <fb>175.45</fb>
    <v>1</v>
  </rv>
  <rv s="0">
    <fb>26.96</fb>
    <v>1</v>
  </rv>
  <rv s="0">
    <fb>238.38</fb>
    <v>1</v>
  </rv>
  <rv s="0">
    <fb>397.12</fb>
    <v>1</v>
  </rv>
  <rv s="0">
    <fb>70.25</fb>
    <v>1</v>
  </rv>
  <rv s="0">
    <fb>44441</fb>
    <v>0</v>
  </rv>
  <rv s="0">
    <fb>301.14999999999998</fb>
    <v>1</v>
  </rv>
  <rv s="0">
    <fb>20.873200000000001</fb>
    <v>1</v>
  </rv>
  <rv s="0">
    <fb>224.18</fb>
    <v>1</v>
  </rv>
  <rv s="0">
    <fb>178.02</fb>
    <v>1</v>
  </rv>
  <rv s="0">
    <fb>254.03</fb>
    <v>1</v>
  </rv>
  <rv s="0">
    <fb>396.32</fb>
    <v>1</v>
  </rv>
  <rv s="0">
    <fb>69.570999999999998</fb>
    <v>1</v>
  </rv>
  <rv s="0">
    <fb>44442</fb>
    <v>0</v>
  </rv>
  <rv s="0">
    <fb>301.14</fb>
    <v>1</v>
  </rv>
  <rv s="0">
    <fb>20.812799999999999</fb>
    <v>1</v>
  </rv>
  <rv s="0">
    <fb>225.11</fb>
    <v>1</v>
  </rv>
  <rv s="0">
    <fb>179.28</fb>
    <v>1</v>
  </rv>
  <rv s="0">
    <fb>26.22</fb>
    <v>1</v>
  </rv>
  <rv s="0">
    <fb>249.04</fb>
    <v>1</v>
  </rv>
  <rv s="0">
    <fb>399.04</fb>
    <v>1</v>
  </rv>
  <rv s="0">
    <fb>71.225999999999999</fb>
    <v>1</v>
  </rv>
  <rv s="0">
    <fb>44446</fb>
    <v>0</v>
  </rv>
  <rv s="0">
    <fb>300.18</fb>
    <v>1</v>
  </rv>
  <rv s="0">
    <fb>226.27</fb>
    <v>1</v>
  </rv>
  <rv s="0">
    <fb>177.72</fb>
    <v>1</v>
  </rv>
  <rv s="0">
    <fb>254.72</fb>
    <v>1</v>
  </rv>
  <rv s="0">
    <fb>408.8</fb>
    <v>1</v>
  </rv>
  <rv s="0">
    <fb>64.801000000000002</fb>
    <v>1</v>
  </rv>
  <rv s="0">
    <fb>44447</fb>
    <v>0</v>
  </rv>
  <rv s="0">
    <fb>300.20999999999998</fb>
    <v>1</v>
  </rv>
  <rv s="0">
    <fb>20.843</fb>
    <v>1</v>
  </rv>
  <rv s="0">
    <fb>229.09</fb>
    <v>1</v>
  </rv>
  <rv s="0">
    <fb>178.73</fb>
    <v>1</v>
  </rv>
  <rv s="0">
    <fb>25.44</fb>
    <v>1</v>
  </rv>
  <rv s="0">
    <fb>408.16</fb>
    <v>1</v>
  </rv>
  <rv s="0">
    <fb>63.862000000000002</fb>
    <v>1</v>
  </rv>
  <rv s="0">
    <fb>44448</fb>
    <v>0</v>
  </rv>
  <rv s="0">
    <fb>297.25</fb>
    <v>1</v>
  </rv>
  <rv s="0">
    <fb>227.49</fb>
    <v>1</v>
  </rv>
  <rv s="0">
    <fb>177.23</fb>
    <v>1</v>
  </rv>
  <rv s="0">
    <fb>246.01</fb>
    <v>1</v>
  </rv>
  <rv s="0">
    <fb>416.8</fb>
    <v>1</v>
  </rv>
  <rv s="0">
    <fb>64.061999999999998</fb>
    <v>1</v>
  </rv>
  <rv s="0">
    <fb>44449</fb>
    <v>0</v>
  </rv>
  <rv s="0">
    <fb>295.70999999999998</fb>
    <v>1</v>
  </rv>
  <rv s="0">
    <fb>20.5258</fb>
    <v>1</v>
  </rv>
  <rv s="0">
    <fb>224.91</fb>
    <v>1</v>
  </rv>
  <rv s="0">
    <fb>25.92</fb>
    <v>1</v>
  </rv>
  <rv s="0">
    <fb>247.76</fb>
    <v>1</v>
  </rv>
  <rv s="0">
    <fb>432.96</fb>
    <v>1</v>
  </rv>
  <rv s="0">
    <fb>61.557000000000002</fb>
    <v>1</v>
  </rv>
  <rv s="0">
    <fb>44452</fb>
    <v>0</v>
  </rv>
  <rv s="0">
    <fb>296.99</fb>
    <v>1</v>
  </rv>
  <rv s="0">
    <fb>224.63</fb>
    <v>1</v>
  </rv>
  <rv s="0">
    <fb>172.08</fb>
    <v>1</v>
  </rv>
  <rv s="0">
    <fb>25.38</fb>
    <v>1</v>
  </rv>
  <rv s="0">
    <fb>244.22</fb>
    <v>1</v>
  </rv>
  <rv s="0">
    <fb>417.44</fb>
    <v>1</v>
  </rv>
  <rv s="0">
    <fb>64.27</fb>
    <v>1</v>
  </rv>
  <rv s="0">
    <fb>44453</fb>
    <v>0</v>
  </rv>
  <rv s="0">
    <fb>299.79000000000002</fb>
    <v>1</v>
  </rv>
  <rv s="0">
    <fb>20.639099999999999</fb>
    <v>1</v>
  </rv>
  <rv s="0">
    <fb>223.03</fb>
    <v>1</v>
  </rv>
  <rv s="0">
    <fb>172.42</fb>
    <v>1</v>
  </rv>
  <rv s="0">
    <fb>24.45</fb>
    <v>1</v>
  </rv>
  <rv s="0">
    <fb>243.81</fb>
    <v>1</v>
  </rv>
  <rv s="0">
    <fb>423.36</fb>
    <v>1</v>
  </rv>
  <rv s="0">
    <fb>61.847999999999999</fb>
    <v>1</v>
  </rv>
  <rv s="0">
    <fb>44454</fb>
    <v>0</v>
  </rv>
  <rv s="0">
    <fb>304.82</fb>
    <v>1</v>
  </rv>
  <rv s="0">
    <fb>223.81</fb>
    <v>1</v>
  </rv>
  <rv s="0">
    <fb>173.79</fb>
    <v>1</v>
  </rv>
  <rv s="0">
    <fb>25.67</fb>
    <v>1</v>
  </rv>
  <rv s="0">
    <fb>242.87</fb>
    <v>1</v>
  </rv>
  <rv s="0">
    <fb>406.88</fb>
    <v>1</v>
  </rv>
  <rv s="0">
    <fb>63.3</fb>
    <v>1</v>
  </rv>
  <rv s="0">
    <fb>44455</fb>
    <v>0</v>
  </rv>
  <rv s="0">
    <fb>305.22000000000003</fb>
    <v>1</v>
  </rv>
  <rv s="0">
    <fb>224.33</fb>
    <v>1</v>
  </rv>
  <rv s="0">
    <fb>173.28</fb>
    <v>1</v>
  </rv>
  <rv s="0">
    <fb>25.39</fb>
    <v>1</v>
  </rv>
  <rv s="0">
    <fb>242.02</fb>
    <v>1</v>
  </rv>
  <rv s="0">
    <fb>402.88</fb>
    <v>1</v>
  </rv>
  <rv s="0">
    <fb>44456</fb>
    <v>0</v>
  </rv>
  <rv s="0">
    <fb>299.87</fb>
    <v>1</v>
  </rv>
  <rv s="0">
    <fb>221.75</fb>
    <v>1</v>
  </rv>
  <rv s="0">
    <fb>173.94</fb>
    <v>1</v>
  </rv>
  <rv s="0">
    <fb>248.1</fb>
    <v>1</v>
  </rv>
  <rv s="0">
    <fb>61.429000000000002</fb>
    <v>1</v>
  </rv>
  <rv s="0">
    <fb>44459</fb>
    <v>0</v>
  </rv>
  <rv s="0">
    <fb>294.3</fb>
    <v>1</v>
  </rv>
  <rv s="0">
    <fb>20.548400000000001</fb>
    <v>1</v>
  </rv>
  <rv s="0">
    <fb>220.05</fb>
    <v>1</v>
  </rv>
  <rv s="0">
    <fb>171.34</fb>
    <v>1</v>
  </rv>
  <rv s="0">
    <fb>21.84</fb>
    <v>1</v>
  </rv>
  <rv s="0">
    <fb>237.76</fb>
    <v>1</v>
  </rv>
  <rv s="0">
    <fb>475.84</fb>
    <v>1</v>
  </rv>
  <rv s="0">
    <fb>58.838999999999999</fb>
    <v>1</v>
  </rv>
  <rv s="0">
    <fb>44460</fb>
    <v>0</v>
  </rv>
  <rv s="0">
    <fb>294.8</fb>
    <v>1</v>
  </rv>
  <rv s="0">
    <fb>20.3597</fb>
    <v>1</v>
  </rv>
  <rv s="0">
    <fb>220.17</fb>
    <v>1</v>
  </rv>
  <rv s="0">
    <fb>171.44</fb>
    <v>1</v>
  </rv>
  <rv s="0">
    <fb>21.48</fb>
    <v>1</v>
  </rv>
  <rv s="0">
    <fb>461.76</fb>
    <v>1</v>
  </rv>
  <rv s="0">
    <fb>58.101999999999997</fb>
    <v>1</v>
  </rv>
  <rv s="0">
    <fb>44461</fb>
    <v>0</v>
  </rv>
  <rv s="0">
    <fb>298.58</fb>
    <v>1</v>
  </rv>
  <rv s="0">
    <fb>20.397400000000001</fb>
    <v>1</v>
  </rv>
  <rv s="0">
    <fb>172.44</fb>
    <v>1</v>
  </rv>
  <rv s="0">
    <fb>21.49</fb>
    <v>1</v>
  </rv>
  <rv s="0">
    <fb>235.35</fb>
    <v>1</v>
  </rv>
  <rv s="0">
    <fb>433.12</fb>
    <v>1</v>
  </rv>
  <rv s="0">
    <fb>59.960999999999999</fb>
    <v>1</v>
  </rv>
  <rv s="0">
    <fb>44462</fb>
    <v>0</v>
  </rv>
  <rv s="0">
    <fb>299.56</fb>
    <v>1</v>
  </rv>
  <rv s="0">
    <fb>228.31</fb>
    <v>1</v>
  </rv>
  <rv s="0">
    <fb>172.77</fb>
    <v>1</v>
  </rv>
  <rv s="0">
    <fb>21.88</fb>
    <v>1</v>
  </rv>
  <rv s="0">
    <fb>234.86</fb>
    <v>1</v>
  </rv>
  <rv s="0">
    <fb>405.76</fb>
    <v>1</v>
  </rv>
  <rv s="0">
    <fb>61.656999999999996</fb>
    <v>1</v>
  </rv>
  <rv s="0">
    <fb>44463</fb>
    <v>0</v>
  </rv>
  <rv s="0">
    <fb>299.35000000000002</fb>
    <v>1</v>
  </rv>
  <rv s="0">
    <fb>231.59</fb>
    <v>1</v>
  </rv>
  <rv s="0">
    <fb>172.4</fb>
    <v>1</v>
  </rv>
  <rv s="0">
    <fb>21.85</fb>
    <v>1</v>
  </rv>
  <rv s="0">
    <fb>230.2</fb>
    <v>1</v>
  </rv>
  <rv s="0">
    <fb>393.28</fb>
    <v>1</v>
  </rv>
  <rv s="0">
    <fb>59.939</fb>
    <v>1</v>
  </rv>
  <rv s="0">
    <fb>44466</fb>
    <v>0</v>
  </rv>
  <rv s="0">
    <fb>294.17</fb>
    <v>1</v>
  </rv>
  <rv s="0">
    <fb>20.6919</fb>
    <v>1</v>
  </rv>
  <rv s="0">
    <fb>166.38</fb>
    <v>1</v>
  </rv>
  <rv s="0">
    <fb>22.85</fb>
    <v>1</v>
  </rv>
  <rv s="0">
    <fb>232.94</fb>
    <v>1</v>
  </rv>
  <rv s="0">
    <fb>59.475000000000001</fb>
    <v>1</v>
  </rv>
  <rv s="0">
    <fb>44467</fb>
    <v>0</v>
  </rv>
  <rv s="0">
    <fb>283.52</fb>
    <v>1</v>
  </rv>
  <rv s="0">
    <fb>20.571100000000001</fb>
    <v>1</v>
  </rv>
  <rv s="0">
    <fb>225.56</fb>
    <v>1</v>
  </rv>
  <rv s="0">
    <fb>159.9</fb>
    <v>1</v>
  </rv>
  <rv s="0">
    <fb>22.42</fb>
    <v>1</v>
  </rv>
  <rv s="0">
    <fb>227.34</fb>
    <v>1</v>
  </rv>
  <rv s="0">
    <fb>438.56</fb>
    <v>1</v>
  </rv>
  <rv s="0">
    <fb>57.350999999999999</fb>
    <v>1</v>
  </rv>
  <rv s="0">
    <fb>44468</fb>
    <v>0</v>
  </rv>
  <rv s="0">
    <fb>284</fb>
    <v>1</v>
  </rv>
  <rv s="0">
    <fb>226.68</fb>
    <v>1</v>
  </rv>
  <rv s="0">
    <fb>160</fb>
    <v>1</v>
  </rv>
  <rv s="0">
    <fb>21.86</fb>
    <v>1</v>
  </rv>
  <rv s="0">
    <fb>220.32</fb>
    <v>1</v>
  </rv>
  <rv s="0">
    <fb>444.96</fb>
    <v>1</v>
  </rv>
  <rv s="0">
    <fb>56.631999999999998</fb>
    <v>1</v>
  </rv>
  <rv s="0">
    <fb>44469</fb>
    <v>0</v>
  </rv>
  <rv s="0">
    <fb>281.92</fb>
    <v>1</v>
  </rv>
  <rv s="0">
    <fb>157.53</fb>
    <v>1</v>
  </rv>
  <rv s="0">
    <fb>21.97</fb>
    <v>1</v>
  </rv>
  <rv s="0">
    <fb>225.34</fb>
    <v>1</v>
  </rv>
  <rv s="0">
    <fb>445.28</fb>
    <v>1</v>
  </rv>
  <rv s="0">
    <fb>57.84</fb>
    <v>1</v>
  </rv>
  <rv s="0">
    <fb>44470</fb>
    <v>0</v>
  </rv>
  <rv s="0">
    <fb>289.10000000000002</fb>
    <v>1</v>
  </rv>
  <rv s="0">
    <fb>20.5107</fb>
    <v>1</v>
  </rv>
  <rv s="0">
    <fb>230.46</fb>
    <v>1</v>
  </rv>
  <rv s="0">
    <fb>155.99</fb>
    <v>1</v>
  </rv>
  <rv s="0">
    <fb>21.72</fb>
    <v>1</v>
  </rv>
  <rv s="0">
    <fb>229.33</fb>
    <v>1</v>
  </rv>
  <rv s="0">
    <fb>429.12</fb>
    <v>1</v>
  </rv>
  <rv s="0">
    <fb>61.246000000000002</fb>
    <v>1</v>
  </rv>
  <rv s="0">
    <fb>44473</fb>
    <v>0</v>
  </rv>
  <rv s="0">
    <fb>283.11</fb>
    <v>1</v>
  </rv>
  <rv s="0">
    <fb>20.578700000000001</fb>
    <v>1</v>
  </rv>
  <rv s="0">
    <fb>224.73</fb>
    <v>1</v>
  </rv>
  <rv s="0">
    <fb>152.36000000000001</fb>
    <v>1</v>
  </rv>
  <rv s="0">
    <fb>21.9</fb>
    <v>1</v>
  </rv>
  <rv s="0">
    <fb>221.91</fb>
    <v>1</v>
  </rv>
  <rv s="0">
    <fb>441.12</fb>
    <v>1</v>
  </rv>
  <rv s="0">
    <fb>60.725000000000001</fb>
    <v>1</v>
  </rv>
  <rv s="0">
    <fb>44474</fb>
    <v>0</v>
  </rv>
  <rv s="0">
    <fb>288.76</fb>
    <v>1</v>
  </rv>
  <rv s="0">
    <fb>20.654199999999999</fb>
    <v>1</v>
  </rv>
  <rv s="0">
    <fb>224.28</fb>
    <v>1</v>
  </rv>
  <rv s="0">
    <fb>153.03</fb>
    <v>1</v>
  </rv>
  <rv s="0">
    <fb>22.44</fb>
    <v>1</v>
  </rv>
  <rv s="0">
    <fb>225.82</fb>
    <v>1</v>
  </rv>
  <rv s="0">
    <fb>424.8</fb>
    <v>1</v>
  </rv>
  <rv s="0">
    <fb>65.100999999999999</fb>
    <v>1</v>
  </rv>
  <rv s="0">
    <fb>44475</fb>
    <v>0</v>
  </rv>
  <rv s="0">
    <fb>293.11</fb>
    <v>1</v>
  </rv>
  <rv s="0">
    <fb>20.623999999999999</fb>
    <v>1</v>
  </rv>
  <rv s="0">
    <fb>226.51</fb>
    <v>1</v>
  </rv>
  <rv s="0">
    <fb>153.65</fb>
    <v>1</v>
  </rv>
  <rv s="0">
    <fb>20.5</fb>
    <v>1</v>
  </rv>
  <rv s="0">
    <fb>232.02</fb>
    <v>1</v>
  </rv>
  <rv s="0">
    <fb>419.36</fb>
    <v>1</v>
  </rv>
  <rv s="0">
    <fb>67.381</fb>
    <v>1</v>
  </rv>
  <rv s="0">
    <fb>44476</fb>
    <v>0</v>
  </rv>
  <rv s="0">
    <fb>294.85000000000002</fb>
    <v>1</v>
  </rv>
  <rv s="0">
    <fb>20.457799999999999</fb>
    <v>1</v>
  </rv>
  <rv s="0">
    <fb>230.55</fb>
    <v>1</v>
  </rv>
  <rv s="0">
    <fb>155.32</fb>
    <v>1</v>
  </rv>
  <rv s="0">
    <fb>20.78</fb>
    <v>1</v>
  </rv>
  <rv s="0">
    <fb>234.9</fb>
    <v>1</v>
  </rv>
  <rv s="0">
    <fb>404.16</fb>
    <v>1</v>
  </rv>
  <rv s="0">
    <fb>69.278999999999996</fb>
    <v>1</v>
  </rv>
  <rv s="0">
    <fb>44477</fb>
    <v>0</v>
  </rv>
  <rv s="0">
    <fb>20.216200000000001</fb>
    <v>1</v>
  </rv>
  <rv s="0">
    <fb>230.27</fb>
    <v>1</v>
  </rv>
  <rv s="0">
    <fb>152.47</fb>
    <v>1</v>
  </rv>
  <rv s="0">
    <fb>20.7</fb>
    <v>1</v>
  </rv>
  <rv s="0">
    <fb>232.88</fb>
    <v>1</v>
  </rv>
  <rv s="0">
    <fb>396.64</fb>
    <v>1</v>
  </rv>
  <rv s="0">
    <fb>70.882000000000005</fb>
    <v>1</v>
  </rv>
  <rv s="0">
    <fb>44480</fb>
    <v>0</v>
  </rv>
  <rv s="0">
    <fb>294.23</fb>
    <v>1</v>
  </rv>
  <rv s="0">
    <fb>19.657299999999999</fb>
    <v>1</v>
  </rv>
  <rv s="0">
    <fb>150.02000000000001</fb>
    <v>1</v>
  </rv>
  <rv s="0">
    <fb>231.89</fb>
    <v>1</v>
  </rv>
  <rv s="0">
    <fb>401.92</fb>
    <v>1</v>
  </rv>
  <rv s="0">
    <fb>73.180000000000007</fb>
    <v>1</v>
  </rv>
  <rv s="0">
    <fb>44481</fb>
    <v>0</v>
  </rv>
  <rv s="0">
    <fb>292.88</fb>
    <v>1</v>
  </rv>
  <rv s="0">
    <fb>19.2042</fb>
    <v>1</v>
  </rv>
  <rv s="0">
    <fb>224.05</fb>
    <v>1</v>
  </rv>
  <rv s="0">
    <fb>147.94999999999999</fb>
    <v>1</v>
  </rv>
  <rv s="0">
    <fb>21.8</fb>
    <v>1</v>
  </rv>
  <rv s="0">
    <fb>235.3</fb>
    <v>1</v>
  </rv>
  <rv s="0">
    <fb>393.76</fb>
    <v>1</v>
  </rv>
  <rv s="0">
    <fb>71.064999999999998</fb>
    <v>1</v>
  </rv>
  <rv s="0">
    <fb>44482</fb>
    <v>0</v>
  </rv>
  <rv s="0">
    <fb>296.31</fb>
    <v>1</v>
  </rv>
  <rv s="0">
    <fb>19.106100000000001</fb>
    <v>1</v>
  </rv>
  <rv s="0">
    <fb>222.46</fb>
    <v>1</v>
  </rv>
  <rv s="0">
    <fb>150.22</fb>
    <v>1</v>
  </rv>
  <rv s="0">
    <fb>21.45</fb>
    <v>1</v>
  </rv>
  <rv s="0">
    <fb>243.83</fb>
    <v>1</v>
  </rv>
  <rv s="0">
    <fb>386.24</fb>
    <v>1</v>
  </rv>
  <rv s="0">
    <fb>72.63</fb>
    <v>1</v>
  </rv>
  <rv s="0">
    <fb>44483</fb>
    <v>0</v>
  </rv>
  <rv s="0">
    <fb>302.75</fb>
    <v>1</v>
  </rv>
  <rv s="0">
    <fb>19.3477</fb>
    <v>1</v>
  </rv>
  <rv s="0">
    <fb>225.18</fb>
    <v>1</v>
  </rv>
  <rv s="0">
    <fb>152.59</fb>
    <v>1</v>
  </rv>
  <rv s="0">
    <fb>247.37</fb>
    <v>1</v>
  </rv>
  <rv s="0">
    <fb>364.96</fb>
    <v>1</v>
  </rv>
  <rv s="0">
    <fb>72.394999999999996</fb>
    <v>1</v>
  </rv>
  <rv s="0">
    <fb>44484</fb>
    <v>0</v>
  </rv>
  <rv s="0">
    <fb>304.20999999999998</fb>
    <v>1</v>
  </rv>
  <rv s="0">
    <fb>19.408100000000001</fb>
    <v>1</v>
  </rv>
  <rv s="0">
    <fb>230.99</fb>
    <v>1</v>
  </rv>
  <rv s="0">
    <fb>153.27000000000001</fb>
    <v>1</v>
  </rv>
  <rv s="0">
    <fb>22.11</fb>
    <v>1</v>
  </rv>
  <rv s="0">
    <fb>364.64</fb>
    <v>1</v>
  </rv>
  <rv s="0">
    <fb>74.984999999999999</fb>
    <v>1</v>
  </rv>
  <rv s="0">
    <fb>44487</fb>
    <v>0</v>
  </rv>
  <rv s="0">
    <fb>307.29000000000002</fb>
    <v>1</v>
  </rv>
  <rv s="0">
    <fb>19.128699999999998</fb>
    <v>1</v>
  </rv>
  <rv s="0">
    <fb>230.65</fb>
    <v>1</v>
  </rv>
  <rv s="0">
    <fb>154.78</fb>
    <v>1</v>
  </rv>
  <rv s="0">
    <fb>248.82</fb>
    <v>1</v>
  </rv>
  <rv s="0">
    <fb>357.92</fb>
    <v>1</v>
  </rv>
  <rv s="0">
    <fb>73.963999999999999</fb>
    <v>1</v>
  </rv>
  <rv s="0">
    <fb>44488</fb>
    <v>0</v>
  </rv>
  <rv s="0">
    <fb>308.23</fb>
    <v>1</v>
  </rv>
  <rv s="0">
    <fb>19.325099999999999</fb>
    <v>1</v>
  </rv>
  <rv s="0">
    <fb>233.52</fb>
    <v>1</v>
  </rv>
  <rv s="0">
    <fb>155.62</fb>
    <v>1</v>
  </rv>
  <rv s="0">
    <fb>22.1</fb>
    <v>1</v>
  </rv>
  <rv s="0">
    <fb>255.61</fb>
    <v>1</v>
  </rv>
  <rv s="0">
    <fb>354.4</fb>
    <v>1</v>
  </rv>
  <rv s="0">
    <fb>72.724999999999994</fb>
    <v>1</v>
  </rv>
  <rv s="0">
    <fb>44489</fb>
    <v>0</v>
  </rv>
  <rv s="0">
    <fb>307.41000000000003</fb>
    <v>1</v>
  </rv>
  <rv s="0">
    <fb>19.566700000000001</fb>
    <v>1</v>
  </rv>
  <rv s="0">
    <fb>231.42</fb>
    <v>1</v>
  </rv>
  <rv s="0">
    <fb>157.59</fb>
    <v>1</v>
  </rv>
  <rv s="0">
    <fb>22.46</fb>
    <v>1</v>
  </rv>
  <rv s="0">
    <fb>251.18</fb>
    <v>1</v>
  </rv>
  <rv s="0">
    <fb>351.2</fb>
    <v>1</v>
  </rv>
  <rv s="0">
    <fb>75.817999999999998</fb>
    <v>1</v>
  </rv>
  <rv s="0">
    <fb>44490</fb>
    <v>0</v>
  </rv>
  <rv s="0">
    <fb>310.76</fb>
    <v>1</v>
  </rv>
  <rv s="0">
    <fb>19.453399999999998</fb>
    <v>1</v>
  </rv>
  <rv s="0">
    <fb>230.24</fb>
    <v>1</v>
  </rv>
  <rv s="0">
    <fb>156.94</fb>
    <v>1</v>
  </rv>
  <rv s="0">
    <fb>22.21</fb>
    <v>1</v>
  </rv>
  <rv s="0">
    <fb>255</fb>
    <v>1</v>
  </rv>
  <rv s="0">
    <fb>339.52</fb>
    <v>1</v>
  </rv>
  <rv s="0">
    <fb>73.543000000000006</fb>
    <v>1</v>
  </rv>
  <rv s="0">
    <fb>44491</fb>
    <v>0</v>
  </rv>
  <rv s="0">
    <fb>309.16000000000003</fb>
    <v>1</v>
  </rv>
  <rv s="0">
    <fb>19.249500000000001</fb>
    <v>1</v>
  </rv>
  <rv s="0">
    <fb>157.97</fb>
    <v>1</v>
  </rv>
  <rv s="0">
    <fb>22.88</fb>
    <v>1</v>
  </rv>
  <rv s="0">
    <fb>252.96</fb>
    <v>1</v>
  </rv>
  <rv s="0">
    <fb>347.2</fb>
    <v>1</v>
  </rv>
  <rv s="0">
    <fb>71.852000000000004</fb>
    <v>1</v>
  </rv>
  <rv s="0">
    <fb>44494</fb>
    <v>0</v>
  </rv>
  <rv s="0">
    <fb>308.13</fb>
    <v>1</v>
  </rv>
  <rv s="0">
    <fb>19.3628</fb>
    <v>1</v>
  </rv>
  <rv s="0">
    <fb>233.88</fb>
    <v>1</v>
  </rv>
  <rv s="0">
    <fb>158.34</fb>
    <v>1</v>
  </rv>
  <rv s="0">
    <fb>24.6</fb>
    <v>1</v>
  </rv>
  <rv s="0">
    <fb>336.96</fb>
    <v>1</v>
  </rv>
  <rv s="0">
    <fb>74.602000000000004</fb>
    <v>1</v>
  </rv>
  <rv s="0">
    <fb>44495</fb>
    <v>0</v>
  </rv>
  <rv s="0">
    <fb>310.11</fb>
    <v>1</v>
  </rv>
  <rv s="0">
    <fb>19.158899999999999</fb>
    <v>1</v>
  </rv>
  <rv s="0">
    <fb>231.82</fb>
    <v>1</v>
  </rv>
  <rv s="0">
    <fb>158.19</fb>
    <v>1</v>
  </rv>
  <rv s="0">
    <fb>24.34</fb>
    <v>1</v>
  </rv>
  <rv s="0">
    <fb>252.2</fb>
    <v>1</v>
  </rv>
  <rv s="0">
    <fb>343.52</fb>
    <v>1</v>
  </rv>
  <rv s="0">
    <fb>73.486000000000004</fb>
    <v>1</v>
  </rv>
  <rv s="0">
    <fb>44496</fb>
    <v>0</v>
  </rv>
  <rv s="0">
    <fb>323.17</fb>
    <v>1</v>
  </rv>
  <rv s="0">
    <fb>18.924800000000001</fb>
    <v>1</v>
  </rv>
  <rv s="0">
    <fb>215.78</fb>
    <v>1</v>
  </rv>
  <rv s="0">
    <fb>155.26</fb>
    <v>1</v>
  </rv>
  <rv s="0">
    <fb>23.32</fb>
    <v>1</v>
  </rv>
  <rv s="0">
    <fb>273.13</fb>
    <v>1</v>
  </rv>
  <rv s="0">
    <fb>71.501999999999995</fb>
    <v>1</v>
  </rv>
  <rv s="0">
    <fb>44497</fb>
    <v>0</v>
  </rv>
  <rv s="0">
    <fb>324.35000000000002</fb>
    <v>1</v>
  </rv>
  <rv s="0">
    <fb>19.294799999999999</fb>
    <v>1</v>
  </rv>
  <rv s="0">
    <fb>209.84</fb>
    <v>1</v>
  </rv>
  <rv s="0">
    <fb>155.76</fb>
    <v>1</v>
  </rv>
  <rv s="0">
    <fb>23.38</fb>
    <v>1</v>
  </rv>
  <rv s="0">
    <fb>288.95</fb>
    <v>1</v>
  </rv>
  <rv s="0">
    <fb>340.32</fb>
    <v>1</v>
  </rv>
  <rv s="0">
    <fb>71.712999999999994</fb>
    <v>1</v>
  </rv>
  <rv s="0">
    <fb>44498</fb>
    <v>0</v>
  </rv>
  <rv s="0">
    <fb>331.62</fb>
    <v>1</v>
  </rv>
  <rv s="0">
    <fb>19.075800000000001</fb>
    <v>1</v>
  </rv>
  <rv s="0">
    <fb>211.77</fb>
    <v>1</v>
  </rv>
  <rv s="0">
    <fb>157.49</fb>
    <v>1</v>
  </rv>
  <rv s="0">
    <fb>26.39</fb>
    <v>1</v>
  </rv>
  <rv s="0">
    <fb>289.39999999999998</fb>
    <v>1</v>
  </rv>
  <rv s="0">
    <fb>343.04</fb>
    <v>1</v>
  </rv>
  <rv s="0">
    <fb>71.506</fb>
    <v>1</v>
  </rv>
  <rv s="0">
    <fb>44501</fb>
    <v>0</v>
  </rv>
  <rv s="0">
    <fb>329.37</fb>
    <v>1</v>
  </rv>
  <rv s="0">
    <fb>212.46</fb>
    <v>1</v>
  </rv>
  <rv s="0">
    <fb>157.06</fb>
    <v>1</v>
  </rv>
  <rv s="0">
    <fb>300.95</fb>
    <v>1</v>
  </rv>
  <rv s="0">
    <fb>337.6</fb>
    <v>1</v>
  </rv>
  <rv s="0">
    <fb>73.611999999999995</fb>
    <v>1</v>
  </rv>
  <rv s="0">
    <fb>44502</fb>
    <v>0</v>
  </rv>
  <rv s="0">
    <fb>333.13</fb>
    <v>1</v>
  </rv>
  <rv s="0">
    <fb>19.0532</fb>
    <v>1</v>
  </rv>
  <rv s="0">
    <fb>209.14</fb>
    <v>1</v>
  </rv>
  <rv s="0">
    <fb>157.85</fb>
    <v>1</v>
  </rv>
  <rv s="0">
    <fb>25.86</fb>
    <v>1</v>
  </rv>
  <rv s="0">
    <fb>298.2</fb>
    <v>1</v>
  </rv>
  <rv s="0">
    <fb>328.48</fb>
    <v>1</v>
  </rv>
  <rv s="0">
    <fb>79.414000000000001</fb>
    <v>1</v>
  </rv>
  <rv s="0">
    <fb>44503</fb>
    <v>0</v>
  </rv>
  <rv s="0">
    <fb>19.0154</fb>
    <v>1</v>
  </rv>
  <rv s="0">
    <fb>208.1</fb>
    <v>1</v>
  </rv>
  <rv s="0">
    <fb>158.19999999999999</fb>
    <v>1</v>
  </rv>
  <rv s="0">
    <fb>26.37</fb>
    <v>1</v>
  </rv>
  <rv s="0">
    <fb>298.08</fb>
    <v>1</v>
  </rv>
  <rv s="0">
    <fb>317.12</fb>
    <v>1</v>
  </rv>
  <rv s="0">
    <fb>81.025000000000006</fb>
    <v>1</v>
  </rv>
  <rv s="0">
    <fb>44504</fb>
    <v>0</v>
  </rv>
  <rv s="0">
    <fb>336.44</fb>
    <v>1</v>
  </rv>
  <rv s="0">
    <fb>18.7285</fb>
    <v>1</v>
  </rv>
  <rv s="0">
    <fb>208.78</fb>
    <v>1</v>
  </rv>
  <rv s="0">
    <fb>157.65</fb>
    <v>1</v>
  </rv>
  <rv s="0">
    <fb>26.32</fb>
    <v>1</v>
  </rv>
  <rv s="0">
    <fb>293.48</fb>
    <v>1</v>
  </rv>
  <rv s="0">
    <fb>320.8</fb>
    <v>1</v>
  </rv>
  <rv s="0">
    <fb>80</fb>
    <v>1</v>
  </rv>
  <rv s="0">
    <fb>44505</fb>
    <v>0</v>
  </rv>
  <rv s="0">
    <fb>336.06</fb>
    <v>1</v>
  </rv>
  <rv s="0">
    <fb>18.954999999999998</fb>
    <v>1</v>
  </rv>
  <rv s="0">
    <fb>216.67</fb>
    <v>1</v>
  </rv>
  <rv s="0">
    <fb>156.41</fb>
    <v>1</v>
  </rv>
  <rv s="0">
    <fb>333.28</fb>
    <v>1</v>
  </rv>
  <rv s="0">
    <fb>79.751000000000005</fb>
    <v>1</v>
  </rv>
  <rv s="0">
    <fb>44508</fb>
    <v>0</v>
  </rv>
  <rv s="0">
    <fb>336.99</fb>
    <v>1</v>
  </rv>
  <rv s="0">
    <fb>18.788900000000002</fb>
    <v>1</v>
  </rv>
  <rv s="0">
    <fb>220.49</fb>
    <v>1</v>
  </rv>
  <rv s="0">
    <fb>160.94</fb>
    <v>1</v>
  </rv>
  <rv s="0">
    <fb>26.88</fb>
    <v>1</v>
  </rv>
  <rv s="0">
    <fb>286.89999999999998</fb>
    <v>1</v>
  </rv>
  <rv s="0">
    <fb>333.76</fb>
    <v>1</v>
  </rv>
  <rv s="0">
    <fb>86</fb>
    <v>1</v>
  </rv>
  <rv s="0">
    <fb>44509</fb>
    <v>0</v>
  </rv>
  <rv s="0">
    <fb>335.95</fb>
    <v>1</v>
  </rv>
  <rv s="0">
    <fb>18.660499999999999</fb>
    <v>1</v>
  </rv>
  <rv s="0">
    <fb>213.39</fb>
    <v>1</v>
  </rv>
  <rv s="0">
    <fb>159.81</fb>
    <v>1</v>
  </rv>
  <rv s="0">
    <fb>26.11</fb>
    <v>1</v>
  </rv>
  <rv s="0">
    <fb>278.75</fb>
    <v>1</v>
  </rv>
  <rv s="0">
    <fb>339.36</fb>
    <v>1</v>
  </rv>
  <rv s="0">
    <fb>85.900999999999996</fb>
    <v>1</v>
  </rv>
  <rv s="0">
    <fb>44510</fb>
    <v>0</v>
  </rv>
  <rv s="0">
    <fb>330.8</fb>
    <v>1</v>
  </rv>
  <rv s="0">
    <fb>18.841699999999999</fb>
    <v>1</v>
  </rv>
  <rv s="0">
    <fb>215.56</fb>
    <v>1</v>
  </rv>
  <rv s="0">
    <fb>159.28</fb>
    <v>1</v>
  </rv>
  <rv s="0">
    <fb>25.23</fb>
    <v>1</v>
  </rv>
  <rv s="0">
    <fb>269.72000000000003</fb>
    <v>1</v>
  </rv>
  <rv s="0">
    <fb>345.6</fb>
    <v>1</v>
  </rv>
  <rv s="0">
    <fb>81.634</fb>
    <v>1</v>
  </rv>
  <rv s="0">
    <fb>44511</fb>
    <v>0</v>
  </rv>
  <rv s="0">
    <fb>332.43</fb>
    <v>1</v>
  </rv>
  <rv s="0">
    <fb>18.819099999999999</fb>
    <v>1</v>
  </rv>
  <rv s="0">
    <fb>210.42</fb>
    <v>1</v>
  </rv>
  <rv s="0">
    <fb>158.79</fb>
    <v>1</v>
  </rv>
  <rv s="0">
    <fb>26.62</fb>
    <v>1</v>
  </rv>
  <rv s="0">
    <fb>276.64999999999998</fb>
    <v>1</v>
  </rv>
  <rv s="0">
    <fb>338.24</fb>
    <v>1</v>
  </rv>
  <rv s="0">
    <fb>81.835999999999999</fb>
    <v>1</v>
  </rv>
  <rv s="0">
    <fb>44512</fb>
    <v>0</v>
  </rv>
  <rv s="0">
    <fb>336.72</fb>
    <v>1</v>
  </rv>
  <rv s="0">
    <fb>18.834199999999999</fb>
    <v>1</v>
  </rv>
  <rv s="0">
    <fb>212.09</fb>
    <v>1</v>
  </rv>
  <rv s="0">
    <fb>160.88</fb>
    <v>1</v>
  </rv>
  <rv s="0">
    <fb>26.4</fb>
    <v>1</v>
  </rv>
  <rv s="0">
    <fb>280.56</fb>
    <v>1</v>
  </rv>
  <rv s="0">
    <fb>325.76</fb>
    <v>1</v>
  </rv>
  <rv s="0">
    <fb>81.173000000000002</fb>
    <v>1</v>
  </rv>
  <rv s="0">
    <fb>44515</fb>
    <v>0</v>
  </rv>
  <rv s="0">
    <fb>336.07</fb>
    <v>1</v>
  </rv>
  <rv s="0">
    <fb>212.3</fb>
    <v>1</v>
  </rv>
  <rv s="0">
    <fb>157.78</fb>
    <v>1</v>
  </rv>
  <rv s="0">
    <fb>25.73</fb>
    <v>1</v>
  </rv>
  <rv s="0">
    <fb>278.38</fb>
    <v>1</v>
  </rv>
  <rv s="0">
    <fb>321.92</fb>
    <v>1</v>
  </rv>
  <rv s="0">
    <fb>79.5</fb>
    <v>1</v>
  </rv>
  <rv s="0">
    <fb>44516</fb>
    <v>0</v>
  </rv>
  <rv s="0">
    <fb>339.51</fb>
    <v>1</v>
  </rv>
  <rv s="0">
    <fb>18.622699999999998</fb>
    <v>1</v>
  </rv>
  <rv s="0">
    <fb>215.18</fb>
    <v>1</v>
  </rv>
  <rv s="0">
    <fb>161.38999999999999</fb>
    <v>1</v>
  </rv>
  <rv s="0">
    <fb>25.3</fb>
    <v>1</v>
  </rv>
  <rv s="0">
    <fb>271.3</fb>
    <v>1</v>
  </rv>
  <rv s="0">
    <fb>323.04000000000002</fb>
    <v>1</v>
  </rv>
  <rv s="0">
    <fb>75.201999999999998</fb>
    <v>1</v>
  </rv>
  <rv s="0">
    <fb>44517</fb>
    <v>0</v>
  </rv>
  <rv s="0">
    <fb>339.12</fb>
    <v>1</v>
  </rv>
  <rv s="0">
    <fb>205.06</fb>
    <v>1</v>
  </rv>
  <rv s="0">
    <fb>161.54</fb>
    <v>1</v>
  </rv>
  <rv s="0">
    <fb>24.5</fb>
    <v>1</v>
  </rv>
  <rv s="0">
    <fb>271.95</fb>
    <v>1</v>
  </rv>
  <rv s="0">
    <fb>328.32</fb>
    <v>1</v>
  </rv>
  <rv s="0">
    <fb>75.3</fb>
    <v>1</v>
  </rv>
  <rv s="0">
    <fb>44518</fb>
    <v>0</v>
  </rv>
  <rv s="0">
    <fb>341.27</fb>
    <v>1</v>
  </rv>
  <rv s="0">
    <fb>18.418800000000001</fb>
    <v>1</v>
  </rv>
  <rv s="0">
    <fb>203.33</fb>
    <v>1</v>
  </rv>
  <rv s="0">
    <fb>162.16</fb>
    <v>1</v>
  </rv>
  <rv s="0">
    <fb>24.29</fb>
    <v>1</v>
  </rv>
  <rv s="0">
    <fb>263.37</fb>
    <v>1</v>
  </rv>
  <rv s="0">
    <fb>72.736000000000004</fb>
    <v>1</v>
  </rv>
  <rv s="0">
    <fb>44519</fb>
    <v>0</v>
  </rv>
  <rv s="0">
    <fb>343.11</fb>
    <v>1</v>
  </rv>
  <rv s="0">
    <fb>18.2225</fb>
    <v>1</v>
  </rv>
  <rv s="0">
    <fb>200.86</fb>
    <v>1</v>
  </rv>
  <rv s="0">
    <fb>164.3</fb>
    <v>1</v>
  </rv>
  <rv s="0">
    <fb>24.52</fb>
    <v>1</v>
  </rv>
  <rv s="0">
    <fb>259.55</fb>
    <v>1</v>
  </rv>
  <rv s="0">
    <fb>335.36</fb>
    <v>1</v>
  </rv>
  <rv s="0">
    <fb>71.831000000000003</fb>
    <v>1</v>
  </rv>
  <rv s="0">
    <fb>44522</fb>
    <v>0</v>
  </rv>
  <rv s="0">
    <fb>339.83</fb>
    <v>1</v>
  </rv>
  <rv s="0">
    <fb>18.652899999999999</fb>
    <v>1</v>
  </rv>
  <rv s="0">
    <fb>195.58</fb>
    <v>1</v>
  </rv>
  <rv s="0">
    <fb>162.78</fb>
    <v>1</v>
  </rv>
  <rv s="0">
    <fb>25.57</fb>
    <v>1</v>
  </rv>
  <rv s="0">
    <fb>250.34</fb>
    <v>1</v>
  </rv>
  <rv s="0">
    <fb>341.28</fb>
    <v>1</v>
  </rv>
  <rv s="0">
    <fb>69.001999999999995</fb>
    <v>1</v>
  </rv>
  <rv s="0">
    <fb>44523</fb>
    <v>0</v>
  </rv>
  <rv s="0">
    <fb>337.68</fb>
    <v>1</v>
  </rv>
  <rv s="0">
    <fb>18.6983</fb>
    <v>1</v>
  </rv>
  <rv s="0">
    <fb>198.49</fb>
    <v>1</v>
  </rv>
  <rv s="0">
    <fb>25.61</fb>
    <v>1</v>
  </rv>
  <rv s="0">
    <fb>333.6</fb>
    <v>1</v>
  </rv>
  <rv s="0">
    <fb>69.677000000000007</fb>
    <v>1</v>
  </rv>
  <rv s="0">
    <fb>44524</fb>
    <v>0</v>
  </rv>
  <rv s="0">
    <fb>337.91</fb>
    <v>1</v>
  </rv>
  <rv s="0">
    <fb>18.479299999999999</fb>
    <v>1</v>
  </rv>
  <rv s="0">
    <fb>203.25</fb>
    <v>1</v>
  </rv>
  <rv s="0">
    <fb>152.97</fb>
    <v>1</v>
  </rv>
  <rv s="0">
    <fb>25.13</fb>
    <v>1</v>
  </rv>
  <rv s="0">
    <fb>249.49</fb>
    <v>1</v>
  </rv>
  <rv s="0">
    <fb>328.8</fb>
    <v>1</v>
  </rv>
  <rv s="0">
    <fb>70.09</fb>
    <v>1</v>
  </rv>
  <rv s="0">
    <fb>44526</fb>
    <v>0</v>
  </rv>
  <rv s="0">
    <fb>329.68</fb>
    <v>1</v>
  </rv>
  <rv s="0">
    <fb>18.290500000000002</fb>
    <v>1</v>
  </rv>
  <rv s="0">
    <fb>197.65</fb>
    <v>1</v>
  </rv>
  <rv s="0">
    <fb>152.07</fb>
    <v>1</v>
  </rv>
  <rv s="0">
    <fb>24.27</fb>
    <v>1</v>
  </rv>
  <rv s="0">
    <fb>250.89</fb>
    <v>1</v>
  </rv>
  <rv s="0">
    <fb>418.56</fb>
    <v>1</v>
  </rv>
  <rv s="0">
    <fb>66.3</fb>
    <v>1</v>
  </rv>
  <rv s="0">
    <fb>44529</fb>
    <v>0</v>
  </rv>
  <rv s="0">
    <fb>336.63</fb>
    <v>1</v>
  </rv>
  <rv s="0">
    <fb>18.0413</fb>
    <v>1</v>
  </rv>
  <rv s="0">
    <fb>196.29</fb>
    <v>1</v>
  </rv>
  <rv s="0">
    <fb>153.41999999999999</fb>
    <v>1</v>
  </rv>
  <rv s="0">
    <fb>246.6</fb>
    <v>1</v>
  </rv>
  <rv s="0">
    <fb>352.8</fb>
    <v>1</v>
  </rv>
  <rv s="0">
    <fb>69.548000000000002</fb>
    <v>1</v>
  </rv>
  <rv s="0">
    <fb>44530</fb>
    <v>0</v>
  </rv>
  <rv s="0">
    <fb>330.59</fb>
    <v>1</v>
  </rv>
  <rv s="0">
    <fb>17.2408</fb>
    <v>1</v>
  </rv>
  <rv s="0">
    <fb>193.77</fb>
    <v>1</v>
  </rv>
  <rv s="0">
    <fb>150.9</fb>
    <v>1</v>
  </rv>
  <rv s="0">
    <fb>22.61</fb>
    <v>1</v>
  </rv>
  <rv s="0">
    <fb>238.5</fb>
    <v>1</v>
  </rv>
  <rv s="0">
    <fb>407.36</fb>
    <v>1</v>
  </rv>
  <rv s="0">
    <fb>72.143000000000001</fb>
    <v>1</v>
  </rv>
  <rv s="0">
    <fb>44531</fb>
    <v>0</v>
  </rv>
  <rv s="0">
    <fb>330.08</fb>
    <v>1</v>
  </rv>
  <rv s="0">
    <fb>16.787700000000001</fb>
    <v>1</v>
  </rv>
  <rv s="0">
    <fb>190.16</fb>
    <v>1</v>
  </rv>
  <rv s="0">
    <fb>148.21</fb>
    <v>1</v>
  </rv>
  <rv s="0">
    <fb>22.34</fb>
    <v>1</v>
  </rv>
  <rv s="0">
    <fb>225.09</fb>
    <v>1</v>
  </rv>
  <rv s="0">
    <fb>436.8</fb>
    <v>1</v>
  </rv>
  <rv s="0">
    <fb>70.546999999999997</fb>
    <v>1</v>
  </rv>
  <rv s="0">
    <fb>44532</fb>
    <v>0</v>
  </rv>
  <rv s="0">
    <fb>329.49</fb>
    <v>1</v>
  </rv>
  <rv s="0">
    <fb>17.4069</fb>
    <v>1</v>
  </rv>
  <rv s="0">
    <fb>198.29</fb>
    <v>1</v>
  </rv>
  <rv s="0">
    <fb>150.99</fb>
    <v>1</v>
  </rv>
  <rv s="0">
    <fb>22.38</fb>
    <v>1</v>
  </rv>
  <rv s="0">
    <fb>228.54</fb>
    <v>1</v>
  </rv>
  <rv s="0">
    <fb>411.52</fb>
    <v>1</v>
  </rv>
  <rv s="0">
    <fb>68.335999999999999</fb>
    <v>1</v>
  </rv>
  <rv s="0">
    <fb>44533</fb>
    <v>0</v>
  </rv>
  <rv s="0">
    <fb>323.01</fb>
    <v>1</v>
  </rv>
  <rv s="0">
    <fb>17.7165</fb>
    <v>1</v>
  </rv>
  <rv s="0">
    <fb>196.32</fb>
    <v>1</v>
  </rv>
  <rv s="0">
    <fb>149.33000000000001</fb>
    <v>1</v>
  </rv>
  <rv s="0">
    <fb>22.57</fb>
    <v>1</v>
  </rv>
  <rv s="0">
    <fb>228.8</fb>
    <v>1</v>
  </rv>
  <rv s="0">
    <fb>447.36</fb>
    <v>1</v>
  </rv>
  <rv s="0">
    <fb>63.098999999999997</fb>
    <v>1</v>
  </rv>
  <rv s="0">
    <fb>44536</fb>
    <v>0</v>
  </rv>
  <rv s="0">
    <fb>326.19</fb>
    <v>1</v>
  </rv>
  <rv s="0">
    <fb>17.5806</fb>
    <v>1</v>
  </rv>
  <rv s="0">
    <fb>202.68</fb>
    <v>1</v>
  </rv>
  <rv s="0">
    <fb>151.47</fb>
    <v>1</v>
  </rv>
  <rv s="0">
    <fb>232.01</fb>
    <v>1</v>
  </rv>
  <rv s="0">
    <fb>412.48</fb>
    <v>1</v>
  </rv>
  <rv s="0">
    <fb>59.646999999999998</fb>
    <v>1</v>
  </rv>
  <rv s="0">
    <fb>44537</fb>
    <v>0</v>
  </rv>
  <rv s="0">
    <fb>334.92</fb>
    <v>1</v>
  </rv>
  <rv s="0">
    <fb>17.429600000000001</fb>
    <v>1</v>
  </rv>
  <rv s="0">
    <fb>207.37</fb>
    <v>1</v>
  </rv>
  <rv s="0">
    <fb>153.80000000000001</fb>
    <v>1</v>
  </rv>
  <rv s="0">
    <fb>23.52</fb>
    <v>1</v>
  </rv>
  <rv s="0">
    <fb>238.51</fb>
    <v>1</v>
  </rv>
  <rv s="0">
    <fb>366.4</fb>
    <v>1</v>
  </rv>
  <rv s="0">
    <fb>62.817</fb>
    <v>1</v>
  </rv>
  <rv s="0">
    <fb>44538</fb>
    <v>0</v>
  </rv>
  <rv s="0">
    <fb>334.97</fb>
    <v>1</v>
  </rv>
  <rv s="0">
    <fb>17.497499999999999</fb>
    <v>1</v>
  </rv>
  <rv s="0">
    <fb>208.99</fb>
    <v>1</v>
  </rv>
  <rv s="0">
    <fb>156.31</fb>
    <v>1</v>
  </rv>
  <rv s="0">
    <fb>23.59</fb>
    <v>1</v>
  </rv>
  <rv s="0">
    <fb>243.17</fb>
    <v>1</v>
  </rv>
  <rv s="0">
    <fb>344.32</fb>
    <v>1</v>
  </rv>
  <rv s="0">
    <fb>63.654000000000003</fb>
    <v>1</v>
  </rv>
  <rv s="0">
    <fb>44539</fb>
    <v>0</v>
  </rv>
  <rv s="0">
    <fb>333.1</fb>
    <v>1</v>
  </rv>
  <rv s="0">
    <fb>17.323799999999999</fb>
    <v>1</v>
  </rv>
  <rv s="0">
    <fb>211.39</fb>
    <v>1</v>
  </rv>
  <rv s="0">
    <fb>154.61000000000001</fb>
    <v>1</v>
  </rv>
  <rv s="0">
    <fb>233.42</fb>
    <v>1</v>
  </rv>
  <rv s="0">
    <fb>355.2</fb>
    <v>1</v>
  </rv>
  <rv s="0">
    <fb>59.188000000000002</fb>
    <v>1</v>
  </rv>
  <rv s="0">
    <fb>44540</fb>
    <v>0</v>
  </rv>
  <rv s="0">
    <fb>342.54</fb>
    <v>1</v>
  </rv>
  <rv s="0">
    <fb>17.2483</fb>
    <v>1</v>
  </rv>
  <rv s="0">
    <fb>213.4</fb>
    <v>1</v>
  </rv>
  <rv s="0">
    <fb>156.26</fb>
    <v>1</v>
  </rv>
  <rv s="0">
    <fb>22.73</fb>
    <v>1</v>
  </rv>
  <rv s="0">
    <fb>233.26</fb>
    <v>1</v>
  </rv>
  <rv s="0">
    <fb>332.48</fb>
    <v>1</v>
  </rv>
  <rv s="0">
    <fb>60.084000000000003</fb>
    <v>1</v>
  </rv>
  <rv s="0">
    <fb>44543</fb>
    <v>0</v>
  </rv>
  <rv s="0">
    <fb>339.4</fb>
    <v>1</v>
  </rv>
  <rv s="0">
    <fb>16.946200000000001</fb>
    <v>1</v>
  </rv>
  <rv s="0">
    <fb>211.02</fb>
    <v>1</v>
  </rv>
  <rv s="0">
    <fb>156.29</fb>
    <v>1</v>
  </rv>
  <rv s="0">
    <fb>225.62</fb>
    <v>1</v>
  </rv>
  <rv s="0">
    <fb>346.24</fb>
    <v>1</v>
  </rv>
  <rv s="0">
    <fb>57.164000000000001</fb>
    <v>1</v>
  </rv>
  <rv s="0">
    <fb>44544</fb>
    <v>0</v>
  </rv>
  <rv s="0">
    <fb>328.34</fb>
    <v>1</v>
  </rv>
  <rv s="0">
    <fb>16.832999999999998</fb>
    <v>1</v>
  </rv>
  <rv s="0">
    <fb>209.98</fb>
    <v>1</v>
  </rv>
  <rv s="0">
    <fb>151.88</fb>
    <v>1</v>
  </rv>
  <rv s="0">
    <fb>22.98</fb>
    <v>1</v>
  </rv>
  <rv s="0">
    <fb>222.68</fb>
    <v>1</v>
  </rv>
  <rv s="0">
    <fb>350.88</fb>
    <v>1</v>
  </rv>
  <rv s="0">
    <fb>58.037999999999997</fb>
    <v>1</v>
  </rv>
  <rv s="0">
    <fb>44545</fb>
    <v>0</v>
  </rv>
  <rv s="0">
    <fb>334.65</fb>
    <v>1</v>
  </rv>
  <rv s="0">
    <fb>16.7423</fb>
    <v>1</v>
  </rv>
  <rv s="0">
    <fb>212.31</fb>
    <v>1</v>
  </rv>
  <rv s="0">
    <fb>154.31</fb>
    <v>1</v>
  </rv>
  <rv s="0">
    <fb>225.4</fb>
    <v>1</v>
  </rv>
  <rv s="0">
    <fb>326.88</fb>
    <v>1</v>
  </rv>
  <rv s="0">
    <fb>59.859000000000002</fb>
    <v>1</v>
  </rv>
  <rv s="0">
    <fb>44546</fb>
    <v>0</v>
  </rv>
  <rv s="0">
    <fb>324.89999999999998</fb>
    <v>1</v>
  </rv>
  <rv s="0">
    <fb>17.9053</fb>
    <v>1</v>
  </rv>
  <rv s="0">
    <fb>150.80000000000001</fb>
    <v>1</v>
  </rv>
  <rv s="0">
    <fb>23.45</fb>
    <v>1</v>
  </rv>
  <rv s="0">
    <fb>226.55</fb>
    <v>1</v>
  </rv>
  <rv s="0">
    <fb>340.64</fb>
    <v>1</v>
  </rv>
  <rv s="0">
    <fb>56.694000000000003</fb>
    <v>1</v>
  </rv>
  <rv s="0">
    <fb>44547</fb>
    <v>0</v>
  </rv>
  <rv s="0">
    <fb>323.8</fb>
    <v>1</v>
  </rv>
  <rv s="0">
    <fb>17.958200000000001</fb>
    <v>1</v>
  </rv>
  <rv s="0">
    <fb>211.88</fb>
    <v>1</v>
  </rv>
  <rv s="0">
    <fb>151.41999999999999</fb>
    <v>1</v>
  </rv>
  <rv s="0">
    <fb>23.08</fb>
    <v>1</v>
  </rv>
  <rv s="0">
    <fb>235.28</fb>
    <v>1</v>
  </rv>
  <rv s="0">
    <fb>351.52</fb>
    <v>1</v>
  </rv>
  <rv s="0">
    <fb>57.158000000000001</fb>
    <v>1</v>
  </rv>
  <rv s="0">
    <fb>44550</fb>
    <v>0</v>
  </rv>
  <rv s="0">
    <fb>319.91000000000003</fb>
    <v>1</v>
  </rv>
  <rv s="0">
    <fb>18.267800000000001</fb>
    <v>1</v>
  </rv>
  <rv s="0">
    <fb>208.74</fb>
    <v>1</v>
  </rv>
  <rv s="0">
    <fb>150.41999999999999</fb>
    <v>1</v>
  </rv>
  <rv s="0">
    <fb>228.16</fb>
    <v>1</v>
  </rv>
  <rv s="0">
    <fb>364.48</fb>
    <v>1</v>
  </rv>
  <rv s="0">
    <fb>54.639000000000003</fb>
    <v>1</v>
  </rv>
  <rv s="0">
    <fb>44551</fb>
    <v>0</v>
  </rv>
  <rv s="0">
    <fb>327.29000000000002</fb>
    <v>1</v>
  </rv>
  <rv s="0">
    <fb>215.38</fb>
    <v>1</v>
  </rv>
  <rv s="0">
    <fb>153.96</fb>
    <v>1</v>
  </rv>
  <rv s="0">
    <fb>238.11</fb>
    <v>1</v>
  </rv>
  <rv s="0">
    <fb>346.56</fb>
    <v>1</v>
  </rv>
  <rv s="0">
    <fb>56.75</fb>
    <v>1</v>
  </rv>
  <rv s="0">
    <fb>44552</fb>
    <v>0</v>
  </rv>
  <rv s="0">
    <fb>333.2</fb>
    <v>1</v>
  </rv>
  <rv s="0">
    <fb>18.7134</fb>
    <v>1</v>
  </rv>
  <rv s="0">
    <fb>217.96</fb>
    <v>1</v>
  </rv>
  <rv s="0">
    <fb>156.78</fb>
    <v>1</v>
  </rv>
  <rv s="0">
    <fb>22.92</fb>
    <v>1</v>
  </rv>
  <rv s="0">
    <fb>235.16</fb>
    <v>1</v>
  </rv>
  <rv s="0">
    <fb>326.56</fb>
    <v>1</v>
  </rv>
  <rv s="0">
    <fb>56.999000000000002</fb>
    <v>1</v>
  </rv>
  <rv s="0">
    <fb>44553</fb>
    <v>0</v>
  </rv>
  <rv s="0">
    <fb>18.781300000000002</fb>
    <v>1</v>
  </rv>
  <rv s="0">
    <fb>216.62</fb>
    <v>1</v>
  </rv>
  <rv s="0">
    <fb>157.80000000000001</fb>
    <v>1</v>
  </rv>
  <rv s="0">
    <fb>23.15</fb>
    <v>1</v>
  </rv>
  <rv s="0">
    <fb>236.63</fb>
    <v>1</v>
  </rv>
  <rv s="0">
    <fb>322.88</fb>
    <v>1</v>
  </rv>
  <rv s="0">
    <fb>59.720999999999997</fb>
    <v>1</v>
  </rv>
  <rv s="0">
    <fb>44557</fb>
    <v>0</v>
  </rv>
  <rv s="0">
    <fb>342.45</fb>
    <v>1</v>
  </rv>
  <rv s="0">
    <fb>217.63</fb>
    <v>1</v>
  </rv>
  <rv s="0">
    <fb>158.74</fb>
    <v>1</v>
  </rv>
  <rv s="0">
    <fb>315.2</fb>
    <v>1</v>
  </rv>
  <rv s="0">
    <fb>60.828000000000003</fb>
    <v>1</v>
  </rv>
  <rv s="0">
    <fb>44558</fb>
    <v>0</v>
  </rv>
  <rv s="0">
    <fb>341.25</fb>
    <v>1</v>
  </rv>
  <rv s="0">
    <fb>18.743600000000001</fb>
    <v>1</v>
  </rv>
  <rv s="0">
    <fb>218.05</fb>
    <v>1</v>
  </rv>
  <rv s="0">
    <fb>159.18</fb>
    <v>1</v>
  </rv>
  <rv s="0">
    <fb>23.41</fb>
    <v>1</v>
  </rv>
  <rv s="0">
    <fb>307.36</fb>
    <v>1</v>
  </rv>
  <rv s="0">
    <fb>56.796999999999997</fb>
    <v>1</v>
  </rv>
  <rv s="0">
    <fb>44559</fb>
    <v>0</v>
  </rv>
  <rv s="0">
    <fb>341.95</fb>
    <v>1</v>
  </rv>
  <rv s="0">
    <fb>18.607600000000001</fb>
    <v>1</v>
  </rv>
  <rv s="0">
    <fb>218.17</fb>
    <v>1</v>
  </rv>
  <rv s="0">
    <fb>160.65</fb>
    <v>1</v>
  </rv>
  <rv s="0">
    <fb>23.29</fb>
    <v>1</v>
  </rv>
  <rv s="0">
    <fb>232.92</fb>
    <v>1</v>
  </rv>
  <rv s="0">
    <fb>299.36</fb>
    <v>1</v>
  </rv>
  <rv s="0">
    <fb>55.609000000000002</fb>
    <v>1</v>
  </rv>
  <rv s="0">
    <fb>44560</fb>
    <v>0</v>
  </rv>
  <rv s="0">
    <fb>339.32</fb>
    <v>1</v>
  </rv>
  <rv s="0">
    <fb>217.87</fb>
    <v>1</v>
  </rv>
  <rv s="0">
    <fb>23.23</fb>
    <v>1</v>
  </rv>
  <rv s="0">
    <fb>237.92</fb>
    <v>1</v>
  </rv>
  <rv s="0">
    <fb>56.234000000000002</fb>
    <v>1</v>
  </rv>
  <rv s="0">
    <fb>44561</fb>
    <v>0</v>
  </rv>
  <rv s="0">
    <fb>336.32</fb>
    <v>1</v>
  </rv>
  <rv s="0">
    <fb>18.577400000000001</fb>
    <v>1</v>
  </rv>
  <rv s="0">
    <fb>216.71</fb>
    <v>1</v>
  </rv>
  <rv s="0">
    <fb>159.65</fb>
    <v>1</v>
  </rv>
  <rv s="0">
    <fb>23.81</fb>
    <v>1</v>
  </rv>
  <rv s="0">
    <fb>234.03</fb>
    <v>1</v>
  </rv>
  <rv s="0">
    <fb>296.48</fb>
    <v>1</v>
  </rv>
  <rv s="0">
    <fb>54.448999999999998</fb>
    <v>1</v>
  </rv>
  <rv s="0">
    <fb>44564</fb>
    <v>0</v>
  </rv>
  <rv s="0">
    <fb>334.75</fb>
    <v>1</v>
  </rv>
  <rv s="0">
    <fb>221.43</fb>
    <v>1</v>
  </rv>
  <rv s="0">
    <fb>156.47999999999999</fb>
    <v>1</v>
  </rv>
  <rv s="0">
    <fb>23.93</fb>
    <v>1</v>
  </rv>
  <rv s="0">
    <fb>244.16</fb>
    <v>1</v>
  </rv>
  <rv s="0">
    <fb>286.39999999999998</fb>
    <v>1</v>
  </rv>
  <rv s="0">
    <fb>55.826000000000001</fb>
    <v>1</v>
  </rv>
  <rv s="0">
    <fb>44565</fb>
    <v>0</v>
  </rv>
  <rv s="0">
    <fb>329.01</fb>
    <v>1</v>
  </rv>
  <rv s="0">
    <fb>151.19</fb>
    <v>1</v>
  </rv>
  <rv s="0">
    <fb>239.26</fb>
    <v>1</v>
  </rv>
  <rv s="0">
    <fb>286.08</fb>
    <v>1</v>
  </rv>
  <rv s="0">
    <fb>55.106999999999999</fb>
    <v>1</v>
  </rv>
  <rv s="0">
    <fb>44566</fb>
    <v>0</v>
  </rv>
  <rv s="0">
    <fb>316.38</fb>
    <v>1</v>
  </rv>
  <rv s="0">
    <fb>19.793299999999999</fb>
    <v>1</v>
  </rv>
  <rv s="0">
    <fb>220</fb>
    <v>1</v>
  </rv>
  <rv s="0">
    <fb>148.6</fb>
    <v>1</v>
  </rv>
  <rv s="0">
    <fb>25.26</fb>
    <v>1</v>
  </rv>
  <rv s="0">
    <fb>227.7</fb>
    <v>1</v>
  </rv>
  <rv s="0">
    <fb>308.64</fb>
    <v>1</v>
  </rv>
  <rv s="0">
    <fb>50.91</fb>
    <v>1</v>
  </rv>
  <rv s="0">
    <fb>44567</fb>
    <v>0</v>
  </rv>
  <rv s="0">
    <fb>313.88</fb>
    <v>1</v>
  </rv>
  <rv s="0">
    <fb>19.717700000000001</fb>
    <v>1</v>
  </rv>
  <rv s="0">
    <fb>219.75</fb>
    <v>1</v>
  </rv>
  <rv s="0">
    <fb>149.12</fb>
    <v>1</v>
  </rv>
  <rv s="0">
    <fb>24.77</fb>
    <v>1</v>
  </rv>
  <rv s="0">
    <fb>228.27</fb>
    <v>1</v>
  </rv>
  <rv s="0">
    <fb>310.08</fb>
    <v>1</v>
  </rv>
  <rv s="0">
    <fb>49.862000000000002</fb>
    <v>1</v>
  </rv>
  <rv s="0">
    <fb>44568</fb>
    <v>0</v>
  </rv>
  <rv s="0">
    <fb>314.04000000000002</fb>
    <v>1</v>
  </rv>
  <rv s="0">
    <fb>19.8537</fb>
    <v>1</v>
  </rv>
  <rv s="0">
    <fb>216.96</fb>
    <v>1</v>
  </rv>
  <rv s="0">
    <fb>145.15</fb>
    <v>1</v>
  </rv>
  <rv s="0">
    <fb>25.4</fb>
    <v>1</v>
  </rv>
  <rv s="0">
    <fb>223.58</fb>
    <v>1</v>
  </rv>
  <rv s="0">
    <fb>301.12</fb>
    <v>1</v>
  </rv>
  <rv s="0">
    <fb>48.295000000000002</fb>
    <v>1</v>
  </rv>
  <rv s="0">
    <fb>44571</fb>
    <v>0</v>
  </rv>
  <rv s="0">
    <fb>314.27</fb>
    <v>1</v>
  </rv>
  <rv s="0">
    <fb>19.982099999999999</fb>
    <v>1</v>
  </rv>
  <rv s="0">
    <fb>211.97</fb>
    <v>1</v>
  </rv>
  <rv s="0">
    <fb>145.16</fb>
    <v>1</v>
  </rv>
  <rv s="0">
    <fb>24.69</fb>
    <v>1</v>
  </rv>
  <rv s="0">
    <fb>224.41</fb>
    <v>1</v>
  </rv>
  <rv s="0">
    <fb>295.52</fb>
    <v>1</v>
  </rv>
  <rv s="0">
    <fb>48.195</fb>
    <v>1</v>
  </rv>
  <rv s="0">
    <fb>44572</fb>
    <v>0</v>
  </rv>
  <rv s="0">
    <fb>314.98</fb>
    <v>1</v>
  </rv>
  <rv s="0">
    <fb>19.891400000000001</fb>
    <v>1</v>
  </rv>
  <rv s="0">
    <fb>214.38</fb>
    <v>1</v>
  </rv>
  <rv s="0">
    <fb>146.63999999999999</fb>
    <v>1</v>
  </rv>
  <rv s="0">
    <fb>24.39</fb>
    <v>1</v>
  </rv>
  <rv s="0">
    <fb>234.97</fb>
    <v>1</v>
  </rv>
  <rv s="0">
    <fb>285.12</fb>
    <v>1</v>
  </rv>
  <rv s="0">
    <fb>50.655999999999999</fb>
    <v>1</v>
  </rv>
  <rv s="0">
    <fb>44573</fb>
    <v>0</v>
  </rv>
  <rv s="0">
    <fb>318.27</fb>
    <v>1</v>
  </rv>
  <rv s="0">
    <fb>19.974499999999999</fb>
    <v>1</v>
  </rv>
  <rv s="0">
    <fb>215.71</fb>
    <v>1</v>
  </rv>
  <rv s="0">
    <fb>25.7</fb>
    <v>1</v>
  </rv>
  <rv s="0">
    <fb>231.31</fb>
    <v>1</v>
  </rv>
  <rv s="0">
    <fb>282.08</fb>
    <v>1</v>
  </rv>
  <rv s="0">
    <fb>51.463999999999999</fb>
    <v>1</v>
  </rv>
  <rv s="0">
    <fb>44574</fb>
    <v>0</v>
  </rv>
  <rv s="0">
    <fb>304.8</fb>
    <v>1</v>
  </rv>
  <rv s="0">
    <fb>20.238800000000001</fb>
    <v>1</v>
  </rv>
  <rv s="0">
    <fb>215</fb>
    <v>1</v>
  </rv>
  <rv s="0">
    <fb>145.16999999999999</fb>
    <v>1</v>
  </rv>
  <rv s="0">
    <fb>25.42</fb>
    <v>1</v>
  </rv>
  <rv s="0">
    <fb>226.45</fb>
    <v>1</v>
  </rv>
  <rv s="0">
    <fb>299.83999999999997</fb>
    <v>1</v>
  </rv>
  <rv s="0">
    <fb>48.959000000000003</fb>
    <v>1</v>
  </rv>
  <rv s="0">
    <fb>44575</fb>
    <v>0</v>
  </rv>
  <rv s="0">
    <fb>310.2</fb>
    <v>1</v>
  </rv>
  <rv s="0">
    <fb>214.67</fb>
    <v>1</v>
  </rv>
  <rv s="0">
    <fb>144.68</fb>
    <v>1</v>
  </rv>
  <rv s="0">
    <fb>218.56</fb>
    <v>1</v>
  </rv>
  <rv s="0">
    <fb>295.2</fb>
    <v>1</v>
  </rv>
  <rv s="0">
    <fb>49.956000000000003</fb>
    <v>1</v>
  </rv>
  <rv s="0">
    <fb>44579</fb>
    <v>0</v>
  </rv>
  <rv s="0">
    <fb>302.64999999999998</fb>
    <v>1</v>
  </rv>
  <rv s="0">
    <fb>140.47</fb>
    <v>1</v>
  </rv>
  <rv s="0">
    <fb>24.01</fb>
    <v>1</v>
  </rv>
  <rv s="0">
    <fb>210.87</fb>
    <v>1</v>
  </rv>
  <rv s="0">
    <fb>318.24</fb>
    <v>1</v>
  </rv>
  <rv s="0">
    <fb>46.828000000000003</fb>
    <v>1</v>
  </rv>
  <rv s="0">
    <fb>44580</fb>
    <v>0</v>
  </rv>
  <rv s="0">
    <fb>303.33</fb>
    <v>1</v>
  </rv>
  <rv s="0">
    <fb>20.601299999999998</fb>
    <v>1</v>
  </rv>
  <rv s="0">
    <fb>214.68</fb>
    <v>1</v>
  </rv>
  <rv s="0">
    <fb>140.43</fb>
    <v>1</v>
  </rv>
  <rv s="0">
    <fb>22.59</fb>
    <v>1</v>
  </rv>
  <rv s="0">
    <fb>207.35</fb>
    <v>1</v>
  </rv>
  <rv s="0">
    <fb>46.042000000000002</fb>
    <v>1</v>
  </rv>
  <rv s="0">
    <fb>44581</fb>
    <v>0</v>
  </rv>
  <rv s="0">
    <fb>301.60000000000002</fb>
    <v>1</v>
  </rv>
  <rv s="0">
    <fb>214.35</fb>
    <v>1</v>
  </rv>
  <rv s="0">
    <fb>139.47999999999999</fb>
    <v>1</v>
  </rv>
  <rv s="0">
    <fb>21.3</fb>
    <v>1</v>
  </rv>
  <rv s="0">
    <fb>208.66</fb>
    <v>1</v>
  </rv>
  <rv s="0">
    <fb>339.84</fb>
    <v>1</v>
  </rv>
  <rv s="0">
    <fb>45.753</fb>
    <v>1</v>
  </rv>
  <rv s="0">
    <fb>44582</fb>
    <v>0</v>
  </rv>
  <rv s="0">
    <fb>296.02999999999997</fb>
    <v>1</v>
  </rv>
  <rv s="0">
    <fb>20.095300000000002</fb>
    <v>1</v>
  </rv>
  <rv s="0">
    <fb>205.93</fb>
    <v>1</v>
  </rv>
  <rv s="0">
    <fb>137.51</fb>
    <v>1</v>
  </rv>
  <rv s="0">
    <fb>19.25</fb>
    <v>1</v>
  </rv>
  <rv s="0">
    <fb>195.53</fb>
    <v>1</v>
  </rv>
  <rv s="0">
    <fb>371.2</fb>
    <v>1</v>
  </rv>
  <rv s="0">
    <fb>37.588999999999999</fb>
    <v>1</v>
  </rv>
  <rv s="0">
    <fb>44585</fb>
    <v>0</v>
  </rv>
  <rv s="0">
    <fb>296.37</fb>
    <v>1</v>
  </rv>
  <rv s="0">
    <fb>201.85</fb>
    <v>1</v>
  </rv>
  <rv s="0">
    <fb>138.12</fb>
    <v>1</v>
  </rv>
  <rv s="0">
    <fb>19.420000000000002</fb>
    <v>1</v>
  </rv>
  <rv s="0">
    <fb>193.56</fb>
    <v>1</v>
  </rv>
  <rv s="0">
    <fb>379.52</fb>
    <v>1</v>
  </rv>
  <rv s="0">
    <fb>37.045000000000002</fb>
    <v>1</v>
  </rv>
  <rv s="0">
    <fb>44586</fb>
    <v>0</v>
  </rv>
  <rv s="0">
    <fb>288.49</fb>
    <v>1</v>
  </rv>
  <rv s="0">
    <fb>19.997199999999999</fb>
    <v>1</v>
  </rv>
  <rv s="0">
    <fb>202</fb>
    <v>1</v>
  </rv>
  <rv s="0">
    <fb>134.57</fb>
    <v>1</v>
  </rv>
  <rv s="0">
    <fb>18.98</fb>
    <v>1</v>
  </rv>
  <rv s="0">
    <fb>184.04</fb>
    <v>1</v>
  </rv>
  <rv s="0">
    <fb>381.76</fb>
    <v>1</v>
  </rv>
  <rv s="0">
    <fb>36.505000000000003</fb>
    <v>1</v>
  </rv>
  <rv s="0">
    <fb>44587</fb>
    <v>0</v>
  </rv>
  <rv s="0">
    <fb>296.70999999999998</fb>
    <v>1</v>
  </rv>
  <rv s="0">
    <fb>18.313099999999999</fb>
    <v>1</v>
  </rv>
  <rv s="0">
    <fb>205.87</fb>
    <v>1</v>
  </rv>
  <rv s="0">
    <fb>133.51</fb>
    <v>1</v>
  </rv>
  <rv s="0">
    <fb>18.61</fb>
    <v>1</v>
  </rv>
  <rv s="0">
    <fb>174.79</fb>
    <v>1</v>
  </rv>
  <rv s="0">
    <fb>389.12</fb>
    <v>1</v>
  </rv>
  <rv s="0">
    <fb>35.365000000000002</fb>
    <v>1</v>
  </rv>
  <rv s="0">
    <fb>44588</fb>
    <v>0</v>
  </rv>
  <rv s="0">
    <fb>18.2149</fb>
    <v>1</v>
  </rv>
  <rv s="0">
    <fb>206.15</fb>
    <v>1</v>
  </rv>
  <rv s="0">
    <fb>132.09</fb>
    <v>1</v>
  </rv>
  <rv s="0">
    <fb>18.59</fb>
    <v>1</v>
  </rv>
  <rv s="0">
    <fb>171.32</fb>
    <v>1</v>
  </rv>
  <rv s="0">
    <fb>391.84</fb>
    <v>1</v>
  </rv>
  <rv s="0">
    <fb>31.945</fb>
    <v>1</v>
  </rv>
  <rv s="0">
    <fb>44589</fb>
    <v>0</v>
  </rv>
  <rv s="0">
    <fb>308.26</fb>
    <v>1</v>
  </rv>
  <rv s="0">
    <fb>19.0381</fb>
    <v>1</v>
  </rv>
  <rv s="0">
    <fb>228</fb>
    <v>1</v>
  </rv>
  <rv s="0">
    <fb>137.06</fb>
    <v>1</v>
  </rv>
  <rv s="0">
    <fb>19.54</fb>
    <v>1</v>
  </rv>
  <rv s="0">
    <fb>172.98</fb>
    <v>1</v>
  </rv>
  <rv s="0">
    <fb>367.2</fb>
    <v>1</v>
  </rv>
  <rv s="0">
    <fb>33.895000000000003</fb>
    <v>1</v>
  </rv>
  <rv s="0">
    <fb>44592</fb>
    <v>0</v>
  </rv>
  <rv s="0">
    <fb>310.98</fb>
    <v>1</v>
  </rv>
  <rv s="0">
    <fb>19.257100000000001</fb>
    <v>1</v>
  </rv>
  <rv s="0">
    <fb>226.17</fb>
    <v>1</v>
  </rv>
  <rv s="0">
    <fb>139.32</fb>
    <v>1</v>
  </rv>
  <rv s="0">
    <fb>20.72</fb>
    <v>1</v>
  </rv>
  <rv s="0">
    <fb>196.26</fb>
    <v>1</v>
  </rv>
  <rv s="0">
    <fb>342.56</fb>
    <v>1</v>
  </rv>
  <rv s="0">
    <fb>36.801000000000002</fb>
    <v>1</v>
  </rv>
  <rv s="0">
    <fb>44593</fb>
    <v>0</v>
  </rv>
  <rv s="0">
    <fb>308.76</fb>
    <v>1</v>
  </rv>
  <rv s="0">
    <fb>18.441500000000001</fb>
    <v>1</v>
  </rv>
  <rv s="0">
    <fb>232.36</fb>
    <v>1</v>
  </rv>
  <rv s="0">
    <fb>141.03</fb>
    <v>1</v>
  </rv>
  <rv s="0">
    <fb>21.58</fb>
    <v>1</v>
  </rv>
  <rv s="0">
    <fb>203.62</fb>
    <v>1</v>
  </rv>
  <rv s="0">
    <fb>317.44</fb>
    <v>1</v>
  </rv>
  <rv s="0">
    <fb>37.299999999999997</fb>
    <v>1</v>
  </rv>
  <rv s="0">
    <fb>44594</fb>
    <v>0</v>
  </rv>
  <rv s="0">
    <fb>313.45999999999998</fb>
    <v>1</v>
  </rv>
  <rv s="0">
    <fb>18.5321</fb>
    <v>1</v>
  </rv>
  <rv s="0">
    <fb>235.42</fb>
    <v>1</v>
  </rv>
  <rv s="0">
    <fb>144.24</fb>
    <v>1</v>
  </rv>
  <rv s="0">
    <fb>191.92</fb>
    <v>1</v>
  </rv>
  <rv s="0">
    <fb>310.72000000000003</fb>
    <v>1</v>
  </rv>
  <rv s="0">
    <fb>34.884</fb>
    <v>1</v>
  </rv>
  <rv s="0">
    <fb>44595</fb>
    <v>0</v>
  </rv>
  <rv s="0">
    <fb>301.25</fb>
    <v>1</v>
  </rv>
  <rv s="0">
    <fb>18.5472</fb>
    <v>1</v>
  </rv>
  <rv s="0">
    <fb>231.54</fb>
    <v>1</v>
  </rv>
  <rv s="0">
    <fb>141.79</fb>
    <v>1</v>
  </rv>
  <rv s="0">
    <fb>159.76</fb>
    <v>1</v>
  </rv>
  <rv s="0">
    <fb>348.48</fb>
    <v>1</v>
  </rv>
  <rv s="0">
    <fb>34.009</fb>
    <v>1</v>
  </rv>
  <rv s="0">
    <fb>44596</fb>
    <v>0</v>
  </rv>
  <rv s="0">
    <fb>305.94</fb>
    <v>1</v>
  </rv>
  <rv s="0">
    <fb>18.184699999999999</fb>
    <v>1</v>
  </rv>
  <rv s="0">
    <fb>228.39</fb>
    <v>1</v>
  </rv>
  <rv s="0">
    <fb>141.12</fb>
    <v>1</v>
  </rv>
  <rv s="0">
    <fb>22.2</fb>
    <v>1</v>
  </rv>
  <rv s="0">
    <fb>174.43</fb>
    <v>1</v>
  </rv>
  <rv s="0">
    <fb>336</fb>
    <v>1</v>
  </rv>
  <rv s="0">
    <fb>39.164000000000001</fb>
    <v>1</v>
  </rv>
  <rv s="0">
    <fb>44599</fb>
    <v>0</v>
  </rv>
  <rv s="0">
    <fb>18.0715</fb>
    <v>1</v>
  </rv>
  <rv s="0">
    <fb>227.16</fb>
    <v>1</v>
  </rv>
  <rv s="0">
    <fb>140.37</fb>
    <v>1</v>
  </rv>
  <rv s="0">
    <fb>22.18</fb>
    <v>1</v>
  </rv>
  <rv s="0">
    <fb>171.51</fb>
    <v>1</v>
  </rv>
  <rv s="0">
    <fb>326.72000000000003</fb>
    <v>1</v>
  </rv>
  <rv s="0">
    <fb>41.347000000000001</fb>
    <v>1</v>
  </rv>
  <rv s="0">
    <fb>44600</fb>
    <v>0</v>
  </rv>
  <rv s="0">
    <fb>304.56</fb>
    <v>1</v>
  </rv>
  <rv s="0">
    <fb>18.079000000000001</fb>
    <v>1</v>
  </rv>
  <rv s="0">
    <fb>227.94</fb>
    <v>1</v>
  </rv>
  <rv s="0">
    <fb>140.81</fb>
    <v>1</v>
  </rv>
  <rv s="0">
    <fb>23.19</fb>
    <v>1</v>
  </rv>
  <rv s="0">
    <fb>165.92</fb>
    <v>1</v>
  </rv>
  <rv s="0">
    <fb>312</fb>
    <v>1</v>
  </rv>
  <rv s="0">
    <fb>42.542999999999999</fb>
    <v>1</v>
  </rv>
  <rv s="0">
    <fb>44601</fb>
    <v>0</v>
  </rv>
  <rv s="0">
    <fb>311.20999999999998</fb>
    <v>1</v>
  </rv>
  <rv s="0">
    <fb>18.501899999999999</fb>
    <v>1</v>
  </rv>
  <rv s="0">
    <fb>230.87</fb>
    <v>1</v>
  </rv>
  <rv s="0">
    <fb>144.44</fb>
    <v>1</v>
  </rv>
  <rv s="0">
    <fb>23.92</fb>
    <v>1</v>
  </rv>
  <rv s="0">
    <fb>175.49</fb>
    <v>1</v>
  </rv>
  <rv s="0">
    <fb>44.66</fb>
    <v>1</v>
  </rv>
  <rv s="0">
    <fb>44602</fb>
    <v>0</v>
  </rv>
  <rv s="0">
    <fb>302.38</fb>
    <v>1</v>
  </rv>
  <rv s="0">
    <fb>225.59</fb>
    <v>1</v>
  </rv>
  <rv s="0">
    <fb>141.66</fb>
    <v>1</v>
  </rv>
  <rv s="0">
    <fb>24.23</fb>
    <v>1</v>
  </rv>
  <rv s="0">
    <fb>167.83</fb>
    <v>1</v>
  </rv>
  <rv s="0">
    <fb>327.36</fb>
    <v>1</v>
  </rv>
  <rv s="0">
    <fb>43.148000000000003</fb>
    <v>1</v>
  </rv>
  <rv s="0">
    <fb>44603</fb>
    <v>0</v>
  </rv>
  <rv s="0">
    <fb>295.04000000000002</fb>
    <v>1</v>
  </rv>
  <rv s="0">
    <fb>224.69</fb>
    <v>1</v>
  </rv>
  <rv s="0">
    <fb>23.68</fb>
    <v>1</v>
  </rv>
  <rv s="0">
    <fb>161.93</fb>
    <v>1</v>
  </rv>
  <rv s="0">
    <fb>371.84</fb>
    <v>1</v>
  </rv>
  <rv s="0">
    <fb>41.100999999999999</fb>
    <v>1</v>
  </rv>
  <rv s="0">
    <fb>44606</fb>
    <v>0</v>
  </rv>
  <rv s="0">
    <fb>295</fb>
    <v>1</v>
  </rv>
  <rv s="0">
    <fb>18.162099999999999</fb>
    <v>1</v>
  </rv>
  <rv s="0">
    <fb>135.21</fb>
    <v>1</v>
  </rv>
  <rv s="0">
    <fb>162.21</fb>
    <v>1</v>
  </rv>
  <rv s="0">
    <fb>372.96</fb>
    <v>1</v>
  </rv>
  <rv s="0">
    <fb>40.948999999999998</fb>
    <v>1</v>
  </rv>
  <rv s="0">
    <fb>44607</fb>
    <v>0</v>
  </rv>
  <rv s="0">
    <fb>300.47000000000003</fb>
    <v>1</v>
  </rv>
  <rv s="0">
    <fb>18.3811</fb>
    <v>1</v>
  </rv>
  <rv s="0">
    <fb>227.82</fb>
    <v>1</v>
  </rv>
  <rv s="0">
    <fb>135.91</fb>
    <v>1</v>
  </rv>
  <rv s="0">
    <fb>24.79</fb>
    <v>1</v>
  </rv>
  <rv s="0">
    <fb>168.06</fb>
    <v>1</v>
  </rv>
  <rv s="0">
    <fb>342.24</fb>
    <v>1</v>
  </rv>
  <rv s="0">
    <fb>43.723999999999997</fb>
    <v>1</v>
  </rv>
  <rv s="0">
    <fb>44608</fb>
    <v>0</v>
  </rv>
  <rv s="0">
    <fb>299.5</fb>
    <v>1</v>
  </rv>
  <rv s="0">
    <fb>228.82</fb>
    <v>1</v>
  </rv>
  <rv s="0">
    <fb>135.15</fb>
    <v>1</v>
  </rv>
  <rv s="0">
    <fb>163.94</fb>
    <v>1</v>
  </rv>
  <rv s="0">
    <fb>43.497999999999998</fb>
    <v>1</v>
  </rv>
  <rv s="0">
    <fb>44609</fb>
    <v>0</v>
  </rv>
  <rv s="0">
    <fb>17.943100000000001</fb>
    <v>1</v>
  </rv>
  <rv s="0">
    <fb>224.61</fb>
    <v>1</v>
  </rv>
  <rv s="0">
    <fb>130.25</fb>
    <v>1</v>
  </rv>
  <rv s="0">
    <fb>24.21</fb>
    <v>1</v>
  </rv>
  <rv s="0">
    <fb>159.22</fb>
    <v>1</v>
  </rv>
  <rv s="0">
    <fb>367.36</fb>
    <v>1</v>
  </rv>
  <rv s="0">
    <fb>40.46</fb>
    <v>1</v>
  </rv>
  <rv s="0">
    <fb>44610</fb>
    <v>0</v>
  </rv>
  <rv s="0">
    <fb>287.93</fb>
    <v>1</v>
  </rv>
  <rv s="0">
    <fb>18.0261</fb>
    <v>1</v>
  </rv>
  <rv s="0">
    <fb>222.69</fb>
    <v>1</v>
  </rv>
  <rv s="0">
    <fb>132.05000000000001</fb>
    <v>1</v>
  </rv>
  <rv s="0">
    <fb>152.27000000000001</fb>
    <v>1</v>
  </rv>
  <rv s="0">
    <fb>375.2</fb>
    <v>1</v>
  </rv>
  <rv s="0">
    <fb>39.597000000000001</fb>
    <v>1</v>
  </rv>
  <rv s="0">
    <fb>44614</fb>
    <v>0</v>
  </rv>
  <rv s="0">
    <fb>287.72000000000003</fb>
    <v>1</v>
  </rv>
  <rv s="0">
    <fb>17.935500000000001</fb>
    <v>1</v>
  </rv>
  <rv s="0">
    <fb>221.32</fb>
    <v>1</v>
  </rv>
  <rv s="0">
    <fb>130.49</fb>
    <v>1</v>
  </rv>
  <rv s="0">
    <fb>149.38</fb>
    <v>1</v>
  </rv>
  <rv s="0">
    <fb>373.76</fb>
    <v>1</v>
  </rv>
  <rv s="0">
    <fb>37.770000000000003</fb>
    <v>1</v>
  </rv>
  <rv s="0">
    <fb>44615</fb>
    <v>0</v>
  </rv>
  <rv s="0">
    <fb>280.27</fb>
    <v>1</v>
  </rv>
  <rv s="0">
    <fb>17.754300000000001</fb>
    <v>1</v>
  </rv>
  <rv s="0">
    <fb>215.95</fb>
    <v>1</v>
  </rv>
  <rv s="0">
    <fb>126</fb>
    <v>1</v>
  </rv>
  <rv s="0">
    <fb>23.37</fb>
    <v>1</v>
  </rv>
  <rv s="0">
    <fb>144.16999999999999</fb>
    <v>1</v>
  </rv>
  <rv s="0">
    <fb>395.2</fb>
    <v>1</v>
  </rv>
  <rv s="0">
    <fb>36.503</fb>
    <v>1</v>
  </rv>
  <rv s="0">
    <fb>44616</fb>
    <v>0</v>
  </rv>
  <rv s="0">
    <fb>294.58999999999997</fb>
    <v>1</v>
  </rv>
  <rv s="0">
    <fb>17.5428</fb>
    <v>1</v>
  </rv>
  <rv s="0">
    <fb>217.3</fb>
    <v>1</v>
  </rv>
  <rv s="0">
    <fb>24.36</fb>
    <v>1</v>
  </rv>
  <rv s="0">
    <fb>149.21</fb>
    <v>1</v>
  </rv>
  <rv s="0">
    <fb>382.8</fb>
    <v>1</v>
  </rv>
  <rv s="0">
    <fb>39.695999999999998</fb>
    <v>1</v>
  </rv>
  <rv s="0">
    <fb>44617</fb>
    <v>0</v>
  </rv>
  <rv s="0">
    <fb>297.31</fb>
    <v>1</v>
  </rv>
  <rv s="0">
    <fb>18.0564</fb>
    <v>1</v>
  </rv>
  <rv s="0">
    <fb>133.72999999999999</fb>
    <v>1</v>
  </rv>
  <rv s="0">
    <fb>26.91</fb>
    <v>1</v>
  </rv>
  <rv s="0">
    <fb>151.91</fb>
    <v>1</v>
  </rv>
  <rv s="0">
    <fb>40.5</fb>
    <v>1</v>
  </rv>
  <rv s="0">
    <fb>44620</fb>
    <v>0</v>
  </rv>
  <rv s="0">
    <fb>298.79000000000002</fb>
    <v>1</v>
  </rv>
  <rv s="0">
    <fb>17.8902</fb>
    <v>1</v>
  </rv>
  <rv s="0">
    <fb>216.12</fb>
    <v>1</v>
  </rv>
  <rv s="0">
    <fb>130.36000000000001</fb>
    <v>1</v>
  </rv>
  <rv s="0">
    <fb>27.21</fb>
    <v>1</v>
  </rv>
  <rv s="0">
    <fb>156.19</fb>
    <v>1</v>
  </rv>
  <rv s="0">
    <fb>384</fb>
    <v>1</v>
  </rv>
  <rv s="0">
    <fb>44.3</fb>
    <v>1</v>
  </rv>
  <rv s="0">
    <fb>44621</fb>
    <v>0</v>
  </rv>
  <rv s="0">
    <fb>294.95</fb>
    <v>1</v>
  </rv>
  <rv s="0">
    <fb>17.769400000000001</fb>
    <v>1</v>
  </rv>
  <rv s="0">
    <fb>208.97</fb>
    <v>1</v>
  </rv>
  <rv s="0">
    <fb>131.93</fb>
    <v>1</v>
  </rv>
  <rv s="0">
    <fb>27.73</fb>
    <v>1</v>
  </rv>
  <rv s="0">
    <fb>151.25</fb>
    <v>1</v>
  </rv>
  <rv s="0">
    <fb>426.72</fb>
    <v>1</v>
  </rv>
  <rv s="0">
    <fb>46.472999999999999</fb>
    <v>1</v>
  </rv>
  <rv s="0">
    <fb>44622</fb>
    <v>0</v>
  </rv>
  <rv s="0">
    <fb>300.19</fb>
    <v>1</v>
  </rv>
  <rv s="0">
    <fb>17.988399999999999</fb>
    <v>1</v>
  </rv>
  <rv s="0">
    <fb>208.48</fb>
    <v>1</v>
  </rv>
  <rv s="0">
    <fb>133.16</fb>
    <v>1</v>
  </rv>
  <rv s="0">
    <fb>28.82</fb>
    <v>1</v>
  </rv>
  <rv s="0">
    <fb>149.47999999999999</fb>
    <v>1</v>
  </rv>
  <rv s="0">
    <fb>399.36</fb>
    <v>1</v>
  </rv>
  <rv s="0">
    <fb>45.929000000000002</fb>
    <v>1</v>
  </rv>
  <rv s="0">
    <fb>44623</fb>
    <v>0</v>
  </rv>
  <rv s="0">
    <fb>295.92</fb>
    <v>1</v>
  </rv>
  <rv s="0">
    <fb>207.23</fb>
    <v>1</v>
  </rv>
  <rv s="0">
    <fb>137.16999999999999</fb>
    <v>1</v>
  </rv>
  <rv s="0">
    <fb>30.81</fb>
    <v>1</v>
  </rv>
  <rv s="0">
    <fb>139.91999999999999</fb>
    <v>1</v>
  </rv>
  <rv s="0">
    <fb>401.76</fb>
    <v>1</v>
  </rv>
  <rv s="0">
    <fb>42.87</fb>
    <v>1</v>
  </rv>
  <rv s="0">
    <fb>44624</fb>
    <v>0</v>
  </rv>
  <rv s="0">
    <fb>289.86</fb>
    <v>1</v>
  </rv>
  <rv s="0">
    <fb>200.29</fb>
    <v>1</v>
  </rv>
  <rv s="0">
    <fb>133.88999999999999</fb>
    <v>1</v>
  </rv>
  <rv s="0">
    <fb>31.42</fb>
    <v>1</v>
  </rv>
  <rv s="0">
    <fb>135.16999999999999</fb>
    <v>1</v>
  </rv>
  <rv s="0">
    <fb>419.2</fb>
    <v>1</v>
  </rv>
  <rv s="0">
    <fb>41.036000000000001</fb>
    <v>1</v>
  </rv>
  <rv s="0">
    <fb>44627</fb>
    <v>0</v>
  </rv>
  <rv s="0">
    <fb>278.91000000000003</fb>
    <v>1</v>
  </rv>
  <rv s="0">
    <fb>17.799600000000002</fb>
    <v>1</v>
  </rv>
  <rv s="0">
    <fb>190.7</fb>
    <v>1</v>
  </rv>
  <rv s="0">
    <fb>130.34</fb>
    <v>1</v>
  </rv>
  <rv s="0">
    <fb>31.2</fb>
    <v>1</v>
  </rv>
  <rv s="0">
    <fb>130.51</fb>
    <v>1</v>
  </rv>
  <rv s="0">
    <fb>455.84</fb>
    <v>1</v>
  </rv>
  <rv s="0">
    <fb>38.890999999999998</fb>
    <v>1</v>
  </rv>
  <rv s="0">
    <fb>44628</fb>
    <v>0</v>
  </rv>
  <rv s="0">
    <fb>275.85000000000002</fb>
    <v>1</v>
  </rv>
  <rv s="0">
    <fb>17.3691</fb>
    <v>1</v>
  </rv>
  <rv s="0">
    <fb>191.71</fb>
    <v>1</v>
  </rv>
  <rv s="0">
    <fb>129.32</fb>
    <v>1</v>
  </rv>
  <rv s="0">
    <fb>29.31</fb>
    <v>1</v>
  </rv>
  <rv s="0">
    <fb>131.68</fb>
    <v>1</v>
  </rv>
  <rv s="0">
    <fb>450.4</fb>
    <v>1</v>
  </rv>
  <rv s="0">
    <fb>44629</fb>
    <v>0</v>
  </rv>
  <rv s="0">
    <fb>288.5</fb>
    <v>1</v>
  </rv>
  <rv s="0">
    <fb>17.5655</fb>
    <v>1</v>
  </rv>
  <rv s="0">
    <fb>199.76</fb>
    <v>1</v>
  </rv>
  <rv s="0">
    <fb>133.26</fb>
    <v>1</v>
  </rv>
  <rv s="0">
    <fb>31.03</fb>
    <v>1</v>
  </rv>
  <rv s="0">
    <fb>136.41999999999999</fb>
    <v>1</v>
  </rv>
  <rv s="0">
    <fb>432.48</fb>
    <v>1</v>
  </rv>
  <rv s="0">
    <fb>43.674999999999997</fb>
    <v>1</v>
  </rv>
  <rv s="0">
    <fb>44630</fb>
    <v>0</v>
  </rv>
  <rv s="0">
    <fb>285.58999999999997</fb>
    <v>1</v>
  </rv>
  <rv s="0">
    <fb>17.512599999999999</fb>
    <v>1</v>
  </rv>
  <rv s="0">
    <fb>197.97</fb>
    <v>1</v>
  </rv>
  <rv s="0">
    <fb>134.33000000000001</fb>
    <v>1</v>
  </rv>
  <rv s="0">
    <fb>33.299999999999997</fb>
    <v>1</v>
  </rv>
  <rv s="0">
    <fb>132.66999999999999</fb>
    <v>1</v>
  </rv>
  <rv s="0">
    <fb>413.28</fb>
    <v>1</v>
  </rv>
  <rv s="0">
    <fb>42.113</fb>
    <v>1</v>
  </rv>
  <rv s="0">
    <fb>44631</fb>
    <v>0</v>
  </rv>
  <rv s="0">
    <fb>280.07</fb>
    <v>1</v>
  </rv>
  <rv s="0">
    <fb>196.71</fb>
    <v>1</v>
  </rv>
  <rv s="0">
    <fb>130.31</fb>
    <v>1</v>
  </rv>
  <rv s="0">
    <fb>33.340000000000003</fb>
    <v>1</v>
  </rv>
  <rv s="0">
    <fb>124.29</fb>
    <v>1</v>
  </rv>
  <rv s="0">
    <fb>421.44</fb>
    <v>1</v>
  </rv>
  <rv s="0">
    <fb>39.082000000000001</fb>
    <v>1</v>
  </rv>
  <rv s="0">
    <fb>44634</fb>
    <v>0</v>
  </rv>
  <rv s="0">
    <fb>276.44</fb>
    <v>1</v>
  </rv>
  <rv s="0">
    <fb>17.286100000000001</fb>
    <v>1</v>
  </rv>
  <rv s="0">
    <fb>200.33</fb>
    <v>1</v>
  </rv>
  <rv s="0">
    <fb>127.58</fb>
    <v>1</v>
  </rv>
  <rv s="0">
    <fb>32.21</fb>
    <v>1</v>
  </rv>
  <rv s="0">
    <fb>119.47</fb>
    <v>1</v>
  </rv>
  <rv s="0">
    <fb>460.96</fb>
    <v>1</v>
  </rv>
  <rv s="0">
    <fb>36.993000000000002</fb>
    <v>1</v>
  </rv>
  <rv s="0">
    <fb>44635</fb>
    <v>0</v>
  </rv>
  <rv s="0">
    <fb>287.14999999999998</fb>
    <v>1</v>
  </rv>
  <rv s="0">
    <fb>17.437100000000001</fb>
    <v>1</v>
  </rv>
  <rv s="0">
    <fb>206.14</fb>
    <v>1</v>
  </rv>
  <rv s="0">
    <fb>130.28</fb>
    <v>1</v>
  </rv>
  <rv s="0">
    <fb>32.049999999999997</fb>
    <v>1</v>
  </rv>
  <rv s="0">
    <fb>123.84</fb>
    <v>1</v>
  </rv>
  <rv s="0">
    <fb>459.2</fb>
    <v>1</v>
  </rv>
  <rv s="0">
    <fb>39.613999999999997</fb>
    <v>1</v>
  </rv>
  <rv s="0">
    <fb>44636</fb>
    <v>0</v>
  </rv>
  <rv s="0">
    <fb>294.39</fb>
    <v>1</v>
  </rv>
  <rv s="0">
    <fb>211.87</fb>
    <v>1</v>
  </rv>
  <rv s="0">
    <fb>135</fb>
    <v>1</v>
  </rv>
  <rv s="0">
    <fb>32.72</fb>
    <v>1</v>
  </rv>
  <rv s="0">
    <fb>133.58000000000001</fb>
    <v>1</v>
  </rv>
  <rv s="0">
    <fb>415.2</fb>
    <v>1</v>
  </rv>
  <rv s="0">
    <fb>42.878</fb>
    <v>1</v>
  </rv>
  <rv s="0">
    <fb>44637</fb>
    <v>0</v>
  </rv>
  <rv s="0">
    <fb>295.22000000000003</fb>
    <v>1</v>
  </rv>
  <rv s="0">
    <fb>213.45</fb>
    <v>1</v>
  </rv>
  <rv s="0">
    <fb>136.82</fb>
    <v>1</v>
  </rv>
  <rv s="0">
    <fb>34.549999999999997</fb>
    <v>1</v>
  </rv>
  <rv s="0">
    <fb>138.72999999999999</fb>
    <v>1</v>
  </rv>
  <rv s="0">
    <fb>418.4</fb>
    <v>1</v>
  </rv>
  <rv s="0">
    <fb>43.408999999999999</fb>
    <v>1</v>
  </rv>
  <rv s="0">
    <fb>44638</fb>
    <v>0</v>
  </rv>
  <rv s="0">
    <fb>300.43</fb>
    <v>1</v>
  </rv>
  <rv s="0">
    <fb>17.535299999999999</fb>
    <v>1</v>
  </rv>
  <rv s="0">
    <fb>219.11</fb>
    <v>1</v>
  </rv>
  <rv s="0">
    <fb>139.12</fb>
    <v>1</v>
  </rv>
  <rv s="0">
    <fb>32.96</fb>
    <v>1</v>
  </rv>
  <rv s="0">
    <fb>144.78</fb>
    <v>1</v>
  </rv>
  <rv s="0">
    <fb>400</fb>
    <v>1</v>
  </rv>
  <rv s="0">
    <fb>45.427999999999997</fb>
    <v>1</v>
  </rv>
  <rv s="0">
    <fb>44641</fb>
    <v>0</v>
  </rv>
  <rv s="0">
    <fb>299.16000000000003</fb>
    <v>1</v>
  </rv>
  <rv s="0">
    <fb>17.489999999999998</fb>
    <v>1</v>
  </rv>
  <rv s="0">
    <fb>217.04</fb>
    <v>1</v>
  </rv>
  <rv s="0">
    <fb>138.13999999999999</fb>
    <v>1</v>
  </rv>
  <rv s="0">
    <fb>35.46</fb>
    <v>1</v>
  </rv>
  <rv s="0">
    <fb>140.41999999999999</fb>
    <v>1</v>
  </rv>
  <rv s="0">
    <fb>416.16</fb>
    <v>1</v>
  </rv>
  <rv s="0">
    <fb>43.648000000000003</fb>
    <v>1</v>
  </rv>
  <rv s="0">
    <fb>44642</fb>
    <v>0</v>
  </rv>
  <rv s="0">
    <fb>304.06</fb>
    <v>1</v>
  </rv>
  <rv s="0">
    <fb>17.527699999999999</fb>
    <v>1</v>
  </rv>
  <rv s="0">
    <fb>218.47</fb>
    <v>1</v>
  </rv>
  <rv s="0">
    <fb>139.29</fb>
    <v>1</v>
  </rv>
  <rv s="0">
    <fb>35.11</fb>
    <v>1</v>
  </rv>
  <rv s="0">
    <fb>147.47</fb>
    <v>1</v>
  </rv>
  <rv s="0">
    <fb>407.12</fb>
    <v>1</v>
  </rv>
  <rv s="0">
    <fb>45.994999999999997</fb>
    <v>1</v>
  </rv>
  <rv s="0">
    <fb>44643</fb>
    <v>0</v>
  </rv>
  <rv s="0">
    <fb>299.49</fb>
    <v>1</v>
  </rv>
  <rv s="0">
    <fb>134.18</fb>
    <v>1</v>
  </rv>
  <rv s="0">
    <fb>35.869999999999997</fb>
    <v>1</v>
  </rv>
  <rv s="0">
    <fb>148.57</fb>
    <v>1</v>
  </rv>
  <rv s="0">
    <fb>45.069000000000003</fb>
    <v>1</v>
  </rv>
  <rv s="0">
    <fb>44644</fb>
    <v>0</v>
  </rv>
  <rv s="0">
    <fb>304.10000000000002</fb>
    <v>1</v>
  </rv>
  <rv s="0">
    <fb>17.618300000000001</fb>
    <v>1</v>
  </rv>
  <rv s="0">
    <fb>217.31</fb>
    <v>1</v>
  </rv>
  <rv s="0">
    <fb>136.41</fb>
    <v>1</v>
  </rv>
  <rv s="0">
    <fb>38.200000000000003</fb>
    <v>1</v>
  </rv>
  <rv s="0">
    <fb>149.26</fb>
    <v>1</v>
  </rv>
  <rv s="0">
    <fb>403.2</fb>
    <v>1</v>
  </rv>
  <rv s="0">
    <fb>48.392000000000003</fb>
    <v>1</v>
  </rv>
  <rv s="0">
    <fb>44645</fb>
    <v>0</v>
  </rv>
  <rv s="0">
    <fb>303.68</fb>
    <v>1</v>
  </rv>
  <rv s="0">
    <fb>18.003499999999999</fb>
    <v>1</v>
  </rv>
  <rv s="0">
    <fb>218.43</fb>
    <v>1</v>
  </rv>
  <rv s="0">
    <fb>135.71</fb>
    <v>1</v>
  </rv>
  <rv s="0">
    <fb>38.450000000000003</fb>
    <v>1</v>
  </rv>
  <rv s="0">
    <fb>146.04</fb>
    <v>1</v>
  </rv>
  <rv s="0">
    <fb>47.241999999999997</fb>
    <v>1</v>
  </rv>
  <rv s="0">
    <fb>44648</fb>
    <v>0</v>
  </rv>
  <rv s="0">
    <fb>310.7</fb>
    <v>1</v>
  </rv>
  <rv s="0">
    <fb>220.77</fb>
    <v>1</v>
  </rv>
  <rv s="0">
    <fb>135.41999999999999</fb>
    <v>1</v>
  </rv>
  <rv s="0">
    <fb>37.65</fb>
    <v>1</v>
  </rv>
  <rv s="0">
    <fb>150.13</fb>
    <v>1</v>
  </rv>
  <rv s="0">
    <fb>411.68</fb>
    <v>1</v>
  </rv>
  <rv s="0">
    <fb>51</fb>
    <v>1</v>
  </rv>
  <rv s="0">
    <fb>44649</fb>
    <v>0</v>
  </rv>
  <rv s="0">
    <fb>315.41000000000003</fb>
    <v>1</v>
  </rv>
  <rv s="0">
    <fb>18.116800000000001</fb>
    <v>1</v>
  </rv>
  <rv s="0">
    <fb>228.12</fb>
    <v>1</v>
  </rv>
  <rv s="0">
    <fb>138.41999999999999</fb>
    <v>1</v>
  </rv>
  <rv s="0">
    <fb>36.229999999999997</fb>
    <v>1</v>
  </rv>
  <rv s="0">
    <fb>157.31</fb>
    <v>1</v>
  </rv>
  <rv s="0">
    <fb>397.6</fb>
    <v>1</v>
  </rv>
  <rv s="0">
    <fb>52</fb>
    <v>1</v>
  </rv>
  <rv s="0">
    <fb>44650</fb>
    <v>0</v>
  </rv>
  <rv s="0">
    <fb>313.86</fb>
    <v>1</v>
  </rv>
  <rv s="0">
    <fb>18.23</fb>
    <v>1</v>
  </rv>
  <rv s="0">
    <fb>223.95</fb>
    <v>1</v>
  </rv>
  <rv s="0">
    <fb>135.46</fb>
    <v>1</v>
  </rv>
  <rv s="0">
    <fb>37.04</fb>
    <v>1</v>
  </rv>
  <rv s="0">
    <fb>156.16</fb>
    <v>1</v>
  </rv>
  <rv s="0">
    <fb>50.069000000000003</fb>
    <v>1</v>
  </rv>
  <rv s="0">
    <fb>44651</fb>
    <v>0</v>
  </rv>
  <rv s="0">
    <fb>308.31</fb>
    <v>1</v>
  </rv>
  <rv s="0">
    <fb>17.844899999999999</fb>
    <v>1</v>
  </rv>
  <rv s="0">
    <fb>221.77</fb>
    <v>1</v>
  </rv>
  <rv s="0">
    <fb>132.33000000000001</fb>
    <v>1</v>
  </rv>
  <rv s="0">
    <fb>37.74</fb>
    <v>1</v>
  </rv>
  <rv s="0">
    <fb>151.02000000000001</fb>
    <v>1</v>
  </rv>
  <rv s="0">
    <fb>411.2</fb>
    <v>1</v>
  </rv>
  <rv s="0">
    <fb>48.631999999999998</fb>
    <v>1</v>
  </rv>
  <rv s="0">
    <fb>44652</fb>
    <v>0</v>
  </rv>
  <rv s="0">
    <fb>309.42</fb>
    <v>1</v>
  </rv>
  <rv s="0">
    <fb>18.109200000000001</fb>
    <v>1</v>
  </rv>
  <rv s="0">
    <fb>226.36</fb>
    <v>1</v>
  </rv>
  <rv s="0">
    <fb>133.97</fb>
    <v>1</v>
  </rv>
  <rv s="0">
    <fb>37.83</fb>
    <v>1</v>
  </rv>
  <rv s="0">
    <fb>153.69999999999999</fb>
    <v>1</v>
  </rv>
  <rv s="0">
    <fb>400.48</fb>
    <v>1</v>
  </rv>
  <rv s="0">
    <fb>49.097999999999999</fb>
    <v>1</v>
  </rv>
  <rv s="0">
    <fb>44655</fb>
    <v>0</v>
  </rv>
  <rv s="0">
    <fb>314.97000000000003</fb>
    <v>1</v>
  </rv>
  <rv s="0">
    <fb>18.260300000000001</fb>
    <v>1</v>
  </rv>
  <rv s="0">
    <fb>227.74</fb>
    <v>1</v>
  </rv>
  <rv s="0">
    <fb>134.81</fb>
    <v>1</v>
  </rv>
  <rv s="0">
    <fb>37.25</fb>
    <v>1</v>
  </rv>
  <rv s="0">
    <fb>158.84</fb>
    <v>1</v>
  </rv>
  <rv s="0">
    <fb>390.88</fb>
    <v>1</v>
  </rv>
  <rv s="0">
    <fb>50.125999999999998</fb>
    <v>1</v>
  </rv>
  <rv s="0">
    <fb>44656</fb>
    <v>0</v>
  </rv>
  <rv s="0">
    <fb>310.88</fb>
    <v>1</v>
  </rv>
  <rv s="0">
    <fb>226.09</fb>
    <v>1</v>
  </rv>
  <rv s="0">
    <fb>36.78</fb>
    <v>1</v>
  </rv>
  <rv s="0">
    <fb>148.91</fb>
    <v>1</v>
  </rv>
  <rv s="0">
    <fb>396.96</fb>
    <v>1</v>
  </rv>
  <rv s="0">
    <fb>48.728000000000002</fb>
    <v>1</v>
  </rv>
  <rv s="0">
    <fb>44657</fb>
    <v>0</v>
  </rv>
  <rv s="0">
    <fb>18.146999999999998</fb>
    <v>1</v>
  </rv>
  <rv s="0">
    <fb>219.01</fb>
    <v>1</v>
  </rv>
  <rv s="0">
    <fb>132.71</fb>
    <v>1</v>
  </rv>
  <rv s="0">
    <fb>35.83</fb>
    <v>1</v>
  </rv>
  <rv s="0">
    <fb>145.63999999999999</fb>
    <v>1</v>
  </rv>
  <rv s="0">
    <fb>390.08</fb>
    <v>1</v>
  </rv>
  <rv s="0">
    <fb>45.511000000000003</fb>
    <v>1</v>
  </rv>
  <rv s="0">
    <fb>44658</fb>
    <v>0</v>
  </rv>
  <rv s="0">
    <fb>301.37</fb>
    <v>1</v>
  </rv>
  <rv s="0">
    <fb>17.920400000000001</fb>
    <v>1</v>
  </rv>
  <rv s="0">
    <fb>216.15</fb>
    <v>1</v>
  </rv>
  <rv s="0">
    <fb>135.93</fb>
    <v>1</v>
  </rv>
  <rv s="0">
    <fb>36.19</fb>
    <v>1</v>
  </rv>
  <rv s="0">
    <fb>141.38999999999999</fb>
    <v>1</v>
  </rv>
  <rv s="0">
    <fb>384.8</fb>
    <v>1</v>
  </rv>
  <rv s="0">
    <fb>46.360999999999997</fb>
    <v>1</v>
  </rv>
  <rv s="0">
    <fb>44659</fb>
    <v>0</v>
  </rv>
  <rv s="0">
    <fb>296.97000000000003</fb>
    <v>1</v>
  </rv>
  <rv s="0">
    <fb>216.98</fb>
    <v>1</v>
  </rv>
  <rv s="0">
    <fb>134.87</fb>
    <v>1</v>
  </rv>
  <rv s="0">
    <fb>35.950000000000003</fb>
    <v>1</v>
  </rv>
  <rv s="0">
    <fb>141.28</fb>
    <v>1</v>
  </rv>
  <rv s="0">
    <fb>394.72</fb>
    <v>1</v>
  </rv>
  <rv s="0">
    <fb>45.323999999999998</fb>
    <v>1</v>
  </rv>
  <rv s="0">
    <fb>44662</fb>
    <v>0</v>
  </rv>
  <rv s="0">
    <fb>285.26</fb>
    <v>1</v>
  </rv>
  <rv s="0">
    <fb>19.63</fb>
    <v>1</v>
  </rv>
  <rv s="0">
    <fb>214.75</fb>
    <v>1</v>
  </rv>
  <rv s="0">
    <fb>131.26</fb>
    <v>1</v>
  </rv>
  <rv s="0">
    <fb>35.67</fb>
    <v>1</v>
  </rv>
  <rv s="0">
    <fb>139.61000000000001</fb>
    <v>1</v>
  </rv>
  <rv s="0">
    <fb>417.6</fb>
    <v>1</v>
  </rv>
  <rv s="0">
    <fb>43.639000000000003</fb>
    <v>1</v>
  </rv>
  <rv s="0">
    <fb>44663</fb>
    <v>0</v>
  </rv>
  <rv s="0">
    <fb>282.06</fb>
    <v>1</v>
  </rv>
  <rv s="0">
    <fb>19.559999999999999</fb>
    <v>1</v>
  </rv>
  <rv s="0">
    <fb>211.4</fb>
    <v>1</v>
  </rv>
  <rv s="0">
    <fb>125.39</fb>
    <v>1</v>
  </rv>
  <rv s="0">
    <fb>138.9</fb>
    <v>1</v>
  </rv>
  <rv s="0">
    <fb>411.84</fb>
    <v>1</v>
  </rv>
  <rv s="0">
    <fb>44.344999999999999</fb>
    <v>1</v>
  </rv>
  <rv s="0">
    <fb>44664</fb>
    <v>0</v>
  </rv>
  <rv s="0">
    <fb>287.62</fb>
    <v>1</v>
  </rv>
  <rv s="0">
    <fb>213.27</fb>
    <v>1</v>
  </rv>
  <rv s="0">
    <fb>128.29</fb>
    <v>1</v>
  </rv>
  <rv s="0">
    <fb>36.869999999999997</fb>
    <v>1</v>
  </rv>
  <rv s="0">
    <fb>141.34</fb>
    <v>1</v>
  </rv>
  <rv s="0">
    <fb>393.44</fb>
    <v>1</v>
  </rv>
  <rv s="0">
    <fb>46.357999999999997</fb>
    <v>1</v>
  </rv>
  <rv s="0">
    <fb>44665</fb>
    <v>0</v>
  </rv>
  <rv s="0">
    <fb>279.83</fb>
    <v>1</v>
  </rv>
  <rv s="0">
    <fb>212.79</fb>
    <v>1</v>
  </rv>
  <rv s="0">
    <fb>126.44</fb>
    <v>1</v>
  </rv>
  <rv s="0">
    <fb>136.27000000000001</fb>
    <v>1</v>
  </rv>
  <rv s="0">
    <fb>399.84</fb>
    <v>1</v>
  </rv>
  <rv s="0">
    <fb>44.918999999999997</fb>
    <v>1</v>
  </rv>
  <rv s="0">
    <fb>44669</fb>
    <v>0</v>
  </rv>
  <rv s="0">
    <fb>280.52</fb>
    <v>1</v>
  </rv>
  <rv s="0">
    <fb>19.46</fb>
    <v>1</v>
  </rv>
  <rv s="0">
    <fb>213.17</fb>
    <v>1</v>
  </rv>
  <rv s="0">
    <fb>37.159999999999997</fb>
    <v>1</v>
  </rv>
  <rv s="0">
    <fb>134.43</fb>
    <v>1</v>
  </rv>
  <rv s="0">
    <fb>404.96</fb>
    <v>1</v>
  </rv>
  <rv s="0">
    <fb>44.588999999999999</fb>
    <v>1</v>
  </rv>
  <rv s="0">
    <fb>44670</fb>
    <v>0</v>
  </rv>
  <rv s="0">
    <fb>285.3</fb>
    <v>1</v>
  </rv>
  <rv s="0">
    <fb>19.489999999999998</fb>
    <v>1</v>
  </rv>
  <rv s="0">
    <fb>215.7</fb>
    <v>1</v>
  </rv>
  <rv s="0">
    <fb>126.53</fb>
    <v>1</v>
  </rv>
  <rv s="0">
    <fb>37.78</fb>
    <v>1</v>
  </rv>
  <rv s="0">
    <fb>137.41</fb>
    <v>1</v>
  </rv>
  <rv s="0">
    <fb>395.68</fb>
    <v>1</v>
  </rv>
  <rv s="0">
    <fb>47.113999999999997</fb>
    <v>1</v>
  </rv>
  <rv s="0">
    <fb>44671</fb>
    <v>0</v>
  </rv>
  <rv s="0">
    <fb>286.36</fb>
    <v>1</v>
  </rv>
  <rv s="0">
    <fb>19.43</fb>
    <v>1</v>
  </rv>
  <rv s="0">
    <fb>217.79</fb>
    <v>1</v>
  </rv>
  <rv s="0">
    <fb>129.37</fb>
    <v>1</v>
  </rv>
  <rv s="0">
    <fb>36.909999999999997</fb>
    <v>1</v>
  </rv>
  <rv s="0">
    <fb>122.49</fb>
    <v>1</v>
  </rv>
  <rv s="0">
    <fb>390.24</fb>
    <v>1</v>
  </rv>
  <rv s="0">
    <fb>44.902999999999999</fb>
    <v>1</v>
  </rv>
  <rv s="0">
    <fb>44672</fb>
    <v>0</v>
  </rv>
  <rv s="0">
    <fb>280.81</fb>
    <v>1</v>
  </rv>
  <rv s="0">
    <fb>20.21</fb>
    <v>1</v>
  </rv>
  <rv s="0">
    <fb>216.45</fb>
    <v>1</v>
  </rv>
  <rv s="0">
    <fb>125.29</fb>
    <v>1</v>
  </rv>
  <rv s="0">
    <fb>34.67</fb>
    <v>1</v>
  </rv>
  <rv s="0">
    <fb>112.62</fb>
    <v>1</v>
  </rv>
  <rv s="0">
    <fb>397.76</fb>
    <v>1</v>
  </rv>
  <rv s="0">
    <fb>42.786000000000001</fb>
    <v>1</v>
  </rv>
  <rv s="0">
    <fb>44673</fb>
    <v>0</v>
  </rv>
  <rv s="0">
    <fb>274.02999999999997</fb>
    <v>1</v>
  </rv>
  <rv s="0">
    <fb>19.52</fb>
    <v>1</v>
  </rv>
  <rv s="0">
    <fb>208.17</fb>
    <v>1</v>
  </rv>
  <rv s="0">
    <fb>121.32</fb>
    <v>1</v>
  </rv>
  <rv s="0">
    <fb>33.590000000000003</fb>
    <v>1</v>
  </rv>
  <rv s="0">
    <fb>110.21</fb>
    <v>1</v>
  </rv>
  <rv s="0">
    <fb>40.908000000000001</fb>
    <v>1</v>
  </rv>
  <rv s="0">
    <fb>44676</fb>
    <v>0</v>
  </rv>
  <rv s="0">
    <fb>280.72000000000003</fb>
    <v>1</v>
  </rv>
  <rv s="0">
    <fb>19.510000000000002</fb>
    <v>1</v>
  </rv>
  <rv s="0">
    <fb>209.95</fb>
    <v>1</v>
  </rv>
  <rv s="0">
    <fb>121.45</fb>
    <v>1</v>
  </rv>
  <rv s="0">
    <fb>32.630000000000003</fb>
    <v>1</v>
  </rv>
  <rv s="0">
    <fb>112.14</fb>
    <v>1</v>
  </rv>
  <rv s="0">
    <fb>396.8</fb>
    <v>1</v>
  </rv>
  <rv s="0">
    <fb>42.8</fb>
    <v>1</v>
  </rv>
  <rv s="0">
    <fb>44677</fb>
    <v>0</v>
  </rv>
  <rv s="0">
    <fb>270.22000000000003</fb>
    <v>1</v>
  </rv>
  <rv s="0">
    <fb>19.3</fb>
    <v>1</v>
  </rv>
  <rv s="0">
    <fb>201.1</fb>
    <v>1</v>
  </rv>
  <rv s="0">
    <fb>117.94</fb>
    <v>1</v>
  </rv>
  <rv s="0">
    <fb>31.59</fb>
    <v>1</v>
  </rv>
  <rv s="0">
    <fb>110.41</fb>
    <v>1</v>
  </rv>
  <rv s="0">
    <fb>421.6</fb>
    <v>1</v>
  </rv>
  <rv s="0">
    <fb>39.100999999999999</fb>
    <v>1</v>
  </rv>
  <rv s="0">
    <fb>44678</fb>
    <v>0</v>
  </rv>
  <rv s="0">
    <fb>283.22000000000003</fb>
    <v>1</v>
  </rv>
  <rv s="0">
    <fb>19.07</fb>
    <v>1</v>
  </rv>
  <rv s="0">
    <fb>214.11</fb>
    <v>1</v>
  </rv>
  <rv s="0">
    <fb>117.68</fb>
    <v>1</v>
  </rv>
  <rv s="0">
    <fb>31.82</fb>
    <v>1</v>
  </rv>
  <rv s="0">
    <fb>96.67</fb>
    <v>1</v>
  </rv>
  <rv s="0">
    <fb>38.578000000000003</fb>
    <v>1</v>
  </rv>
  <rv s="0">
    <fb>44679</fb>
    <v>0</v>
  </rv>
  <rv s="0">
    <fb>289.63</fb>
    <v>1</v>
  </rv>
  <rv s="0">
    <fb>121.06</fb>
    <v>1</v>
  </rv>
  <rv s="0">
    <fb>32.229999999999997</fb>
    <v>1</v>
  </rv>
  <rv s="0">
    <fb>102.68</fb>
    <v>1</v>
  </rv>
  <rv s="0">
    <fb>416.64</fb>
    <v>1</v>
  </rv>
  <rv s="0">
    <fb>40.048999999999999</fb>
    <v>1</v>
  </rv>
  <rv s="0">
    <fb>44680</fb>
    <v>0</v>
  </rv>
  <rv s="0">
    <fb>277.52</fb>
    <v>1</v>
  </rv>
  <rv s="0">
    <fb>18.86</fb>
    <v>1</v>
  </rv>
  <rv s="0">
    <fb>213.13</fb>
    <v>1</v>
  </rv>
  <rv s="0">
    <fb>119.27</fb>
    <v>1</v>
  </rv>
  <rv s="0">
    <fb>30.49</fb>
    <v>1</v>
  </rv>
  <rv s="0">
    <fb>101.65</fb>
    <v>1</v>
  </rv>
  <rv s="0">
    <fb>443.36</fb>
    <v>1</v>
  </rv>
  <rv s="0">
    <fb>35.417000000000002</fb>
    <v>1</v>
  </rv>
  <rv s="0">
    <fb>44683</fb>
    <v>0</v>
  </rv>
  <rv s="0">
    <fb>284.47000000000003</fb>
    <v>1</v>
  </rv>
  <rv s="0">
    <fb>19.12</fb>
    <v>1</v>
  </rv>
  <rv s="0">
    <fb>211.53</fb>
    <v>1</v>
  </rv>
  <rv s="0">
    <fb>119.57</fb>
    <v>1</v>
  </rv>
  <rv s="0">
    <fb>29.81</fb>
    <v>1</v>
  </rv>
  <rv s="0">
    <fb>108.86</fb>
    <v>1</v>
  </rv>
  <rv s="0">
    <fb>440</fb>
    <v>1</v>
  </rv>
  <rv s="0">
    <fb>36.591000000000001</fb>
    <v>1</v>
  </rv>
  <rv s="0">
    <fb>44684</fb>
    <v>0</v>
  </rv>
  <rv s="0">
    <fb>281.77999999999997</fb>
    <v>1</v>
  </rv>
  <rv s="0">
    <fb>19.329999999999998</fb>
    <v>1</v>
  </rv>
  <rv s="0">
    <fb>208.56</fb>
    <v>1</v>
  </rv>
  <rv s="0">
    <fb>122.4</fb>
    <v>1</v>
  </rv>
  <rv s="0">
    <fb>29.47</fb>
    <v>1</v>
  </rv>
  <rv s="0">
    <fb>109.49</fb>
    <v>1</v>
  </rv>
  <rv s="0">
    <fb>432.8</fb>
    <v>1</v>
  </rv>
  <rv s="0">
    <fb>34.340000000000003</fb>
    <v>1</v>
  </rv>
  <rv s="0">
    <fb>44685</fb>
    <v>0</v>
  </rv>
  <rv s="0">
    <fb>289.98</fb>
    <v>1</v>
  </rv>
  <rv s="0">
    <fb>19.95</fb>
    <v>1</v>
  </rv>
  <rv s="0">
    <fb>214.52</fb>
    <v>1</v>
  </rv>
  <rv s="0">
    <fb>126.3</fb>
    <v>1</v>
  </rv>
  <rv s="0">
    <fb>30.21</fb>
    <v>1</v>
  </rv>
  <rv s="0">
    <fb>112.55</fb>
    <v>1</v>
  </rv>
  <rv s="0">
    <fb>36.643999999999998</fb>
    <v>1</v>
  </rv>
  <rv s="0">
    <fb>44686</fb>
    <v>0</v>
  </rv>
  <rv s="0">
    <fb>277.35000000000002</fb>
    <v>1</v>
  </rv>
  <rv s="0">
    <fb>205.24</fb>
    <v>1</v>
  </rv>
  <rv s="0">
    <fb>105.59</fb>
    <v>1</v>
  </rv>
  <rv s="0">
    <fb>432</fb>
    <v>1</v>
  </rv>
  <rv s="0">
    <fb>31.452000000000002</fb>
    <v>1</v>
  </rv>
  <rv s="0">
    <fb>44687</fb>
    <v>0</v>
  </rv>
  <rv s="0">
    <fb>274.73</fb>
    <v>1</v>
  </rv>
  <rv s="0">
    <fb>20.03</fb>
    <v>1</v>
  </rv>
  <rv s="0">
    <fb>202.82</fb>
    <v>1</v>
  </rv>
  <rv s="0">
    <fb>121.08</fb>
    <v>1</v>
  </rv>
  <rv s="0">
    <fb>27.22</fb>
    <v>1</v>
  </rv>
  <rv s="0">
    <fb>104.68</fb>
    <v>1</v>
  </rv>
  <rv s="0">
    <fb>29.423999999999999</fb>
    <v>1</v>
  </rv>
  <rv s="0">
    <fb>44690</fb>
    <v>0</v>
  </rv>
  <rv s="0">
    <fb>264.58</fb>
    <v>1</v>
  </rv>
  <rv s="0">
    <fb>19.55</fb>
    <v>1</v>
  </rv>
  <rv s="0">
    <fb>193</fb>
    <v>1</v>
  </rv>
  <rv s="0">
    <fb>113.11</fb>
    <v>1</v>
  </rv>
  <rv s="0">
    <fb>25.9</fb>
    <v>1</v>
  </rv>
  <rv s="0">
    <fb>94.44</fb>
    <v>1</v>
  </rv>
  <rv s="0">
    <fb>21.905000000000001</fb>
    <v>1</v>
  </rv>
  <rv s="0">
    <fb>44691</fb>
    <v>0</v>
  </rv>
  <rv s="0">
    <fb>269.5</fb>
    <v>1</v>
  </rv>
  <rv s="0">
    <fb>19.36</fb>
    <v>1</v>
  </rv>
  <rv s="0">
    <fb>193.58</fb>
    <v>1</v>
  </rv>
  <rv s="0">
    <fb>116.64</fb>
    <v>1</v>
  </rv>
  <rv s="0">
    <fb>25.54</fb>
    <v>1</v>
  </rv>
  <rv s="0">
    <fb>99.17</fb>
    <v>1</v>
  </rv>
  <rv s="0">
    <fb>432.88</fb>
    <v>1</v>
  </rv>
  <rv s="0">
    <fb>22.552</fb>
    <v>1</v>
  </rv>
  <rv s="0">
    <fb>44692</fb>
    <v>0</v>
  </rv>
  <rv s="0">
    <fb>260.55</fb>
    <v>1</v>
  </rv>
  <rv s="0">
    <fb>196.72</fb>
    <v>1</v>
  </rv>
  <rv s="0">
    <fb>113.99</fb>
    <v>1</v>
  </rv>
  <rv s="0">
    <fb>24.72</fb>
    <v>1</v>
  </rv>
  <rv s="0">
    <fb>91.94</fb>
    <v>1</v>
  </rv>
  <rv s="0">
    <fb>436.48</fb>
    <v>1</v>
  </rv>
  <rv s="0">
    <fb>16.82</fb>
    <v>1</v>
  </rv>
  <rv s="0">
    <fb>44693</fb>
    <v>0</v>
  </rv>
  <rv s="0">
    <fb>255.35</fb>
    <v>1</v>
  </rv>
  <rv s="0">
    <fb>19.72</fb>
    <v>1</v>
  </rv>
  <rv s="0">
    <fb>193.97</fb>
    <v>1</v>
  </rv>
  <rv s="0">
    <fb>116.13</fb>
    <v>1</v>
  </rv>
  <rv s="0">
    <fb>97.08</fb>
    <v>1</v>
  </rv>
  <rv s="0">
    <fb>430.88</fb>
    <v>1</v>
  </rv>
  <rv s="0">
    <fb>17.117999999999999</fb>
    <v>1</v>
  </rv>
  <rv s="0">
    <fb>44694</fb>
    <v>0</v>
  </rv>
  <rv s="0">
    <fb>261.12</fb>
    <v>1</v>
  </rv>
  <rv s="0">
    <fb>19.84</fb>
    <v>1</v>
  </rv>
  <rv s="0">
    <fb>199.23</fb>
    <v>1</v>
  </rv>
  <rv s="0">
    <fb>119.38</fb>
    <v>1</v>
  </rv>
  <rv s="0">
    <fb>24.4</fb>
    <v>1</v>
  </rv>
  <rv s="0">
    <fb>106.09</fb>
    <v>1</v>
  </rv>
  <rv s="0">
    <fb>415.52</fb>
    <v>1</v>
  </rv>
  <rv s="0">
    <fb>20.457000000000001</fb>
    <v>1</v>
  </rv>
  <rv s="0">
    <fb>44697</fb>
    <v>0</v>
  </rv>
  <rv s="0">
    <fb>261.5</fb>
    <v>1</v>
  </rv>
  <rv s="0">
    <fb>20.28</fb>
    <v>1</v>
  </rv>
  <rv s="0">
    <fb>197.81</fb>
    <v>1</v>
  </rv>
  <rv s="0">
    <fb>120.3</fb>
    <v>1</v>
  </rv>
  <rv s="0">
    <fb>24.3</fb>
    <v>1</v>
  </rv>
  <rv s="0">
    <fb>101.05</fb>
    <v>1</v>
  </rv>
  <rv s="0">
    <fb>395.04</fb>
    <v>1</v>
  </rv>
  <rv s="0">
    <fb>20.151</fb>
    <v>1</v>
  </rv>
  <rv s="0">
    <fb>44698</fb>
    <v>0</v>
  </rv>
  <rv s="0">
    <fb>266.82</fb>
    <v>1</v>
  </rv>
  <rv s="0">
    <fb>20.57</fb>
    <v>1</v>
  </rv>
  <rv s="0">
    <fb>204</fb>
    <v>1</v>
  </rv>
  <rv s="0">
    <fb>123.08</fb>
    <v>1</v>
  </rv>
  <rv s="0">
    <fb>105.06</fb>
    <v>1</v>
  </rv>
  <rv s="0">
    <fb>22.486999999999998</fb>
    <v>1</v>
  </rv>
  <rv s="0">
    <fb>44699</fb>
    <v>0</v>
  </rv>
  <rv s="0">
    <fb>254.08</fb>
    <v>1</v>
  </rv>
  <rv s="0">
    <fb>20.23</fb>
    <v>1</v>
  </rv>
  <rv s="0">
    <fb>199.99</fb>
    <v>1</v>
  </rv>
  <rv s="0">
    <fb>120.79</fb>
    <v>1</v>
  </rv>
  <rv s="0">
    <fb>23.99</fb>
    <v>1</v>
  </rv>
  <rv s="0">
    <fb>104.4</fb>
    <v>1</v>
  </rv>
  <rv s="0">
    <fb>19.744</fb>
    <v>1</v>
  </rv>
  <rv s="0">
    <fb>44700</fb>
    <v>0</v>
  </rv>
  <rv s="0">
    <fb>253.14</fb>
    <v>1</v>
  </rv>
  <rv s="0">
    <fb>197.37</fb>
    <v>1</v>
  </rv>
  <rv s="0">
    <fb>24.25</fb>
    <v>1</v>
  </rv>
  <rv s="0">
    <fb>105.77</fb>
    <v>1</v>
  </rv>
  <rv s="0">
    <fb>405.68</fb>
    <v>1</v>
  </rv>
  <rv s="0">
    <fb>21.077000000000002</fb>
    <v>1</v>
  </rv>
  <rv s="0">
    <fb>44701</fb>
    <v>0</v>
  </rv>
  <rv s="0">
    <fb>252.56</fb>
    <v>1</v>
  </rv>
  <rv s="0">
    <fb>20.399999999999999</fb>
    <v>1</v>
  </rv>
  <rv s="0">
    <fb>199.03</fb>
    <v>1</v>
  </rv>
  <rv s="0">
    <fb>125.13</fb>
    <v>1</v>
  </rv>
  <rv s="0">
    <fb>23.79</fb>
    <v>1</v>
  </rv>
  <rv s="0">
    <fb>107.27</fb>
    <v>1</v>
  </rv>
  <rv s="0">
    <fb>400.8</fb>
    <v>1</v>
  </rv>
  <rv s="0">
    <fb>20.274999999999999</fb>
    <v>1</v>
  </rv>
  <rv s="0">
    <fb>44704</fb>
    <v>0</v>
  </rv>
  <rv s="0">
    <fb>260.64999999999998</fb>
    <v>1</v>
  </rv>
  <rv s="0">
    <fb>20.74</fb>
    <v>1</v>
  </rv>
  <rv s="0">
    <fb>207.56</fb>
    <v>1</v>
  </rv>
  <rv s="0">
    <fb>125.98</fb>
    <v>1</v>
  </rv>
  <rv s="0">
    <fb>25.06</fb>
    <v>1</v>
  </rv>
  <rv s="0">
    <fb>109.07</fb>
    <v>1</v>
  </rv>
  <rv s="0">
    <fb>384.96</fb>
    <v>1</v>
  </rv>
  <rv s="0">
    <fb>20.437000000000001</fb>
    <v>1</v>
  </rv>
  <rv s="0">
    <fb>44705</fb>
    <v>0</v>
  </rv>
  <rv s="0">
    <fb>259.62</fb>
    <v>1</v>
  </rv>
  <rv s="0">
    <fb>21.16</fb>
    <v>1</v>
  </rv>
  <rv s="0">
    <fb>202.63</fb>
    <v>1</v>
  </rv>
  <rv s="0">
    <fb>124.41</fb>
    <v>1</v>
  </rv>
  <rv s="0">
    <fb>103.5</fb>
    <v>1</v>
  </rv>
  <rv s="0">
    <fb>384.48</fb>
    <v>1</v>
  </rv>
  <rv s="0">
    <fb>19.300999999999998</fb>
    <v>1</v>
  </rv>
  <rv s="0">
    <fb>44706</fb>
    <v>0</v>
  </rv>
  <rv s="0">
    <fb>262.52</fb>
    <v>1</v>
  </rv>
  <rv s="0">
    <fb>203.84</fb>
    <v>1</v>
  </rv>
  <rv s="0">
    <fb>120.38</fb>
    <v>1</v>
  </rv>
  <rv s="0">
    <fb>108.79</fb>
    <v>1</v>
  </rv>
  <rv s="0">
    <fb>378.4</fb>
    <v>1</v>
  </rv>
  <rv s="0">
    <fb>19.812000000000001</fb>
    <v>1</v>
  </rv>
  <rv s="0">
    <fb>44707</fb>
    <v>0</v>
  </rv>
  <rv s="0">
    <fb>265.89999999999998</fb>
    <v>1</v>
  </rv>
  <rv s="0">
    <fb>208.55</fb>
    <v>1</v>
  </rv>
  <rv s="0">
    <fb>123.85</fb>
    <v>1</v>
  </rv>
  <rv s="0">
    <fb>25.69</fb>
    <v>1</v>
  </rv>
  <rv s="0">
    <fb>108.62</fb>
    <v>1</v>
  </rv>
  <rv s="0">
    <fb>372.16</fb>
    <v>1</v>
  </rv>
  <rv s="0">
    <fb>21.61</fb>
    <v>1</v>
  </rv>
  <rv s="0">
    <fb>44708</fb>
    <v>0</v>
  </rv>
  <rv s="0">
    <fb>273.24</fb>
    <v>1</v>
  </rv>
  <rv s="0">
    <fb>21.29</fb>
    <v>1</v>
  </rv>
  <rv s="0">
    <fb>212.88</fb>
    <v>1</v>
  </rv>
  <rv s="0">
    <fb>130.55000000000001</fb>
    <v>1</v>
  </rv>
  <rv s="0">
    <fb>26.58</fb>
    <v>1</v>
  </rv>
  <rv s="0">
    <fb>112.97</fb>
    <v>1</v>
  </rv>
  <rv s="0">
    <fb>359.36</fb>
    <v>1</v>
  </rv>
  <rv s="0">
    <fb>21.939</fb>
    <v>1</v>
  </rv>
  <rv s="0">
    <fb>44712</fb>
    <v>0</v>
  </rv>
  <rv s="0">
    <fb>271.87</fb>
    <v>1</v>
  </rv>
  <rv s="0">
    <fb>212.17</fb>
    <v>1</v>
  </rv>
  <rv s="0">
    <fb>127.56</fb>
    <v>1</v>
  </rv>
  <rv s="0">
    <fb>112.77</fb>
    <v>1</v>
  </rv>
  <rv s="0">
    <fb>360.96</fb>
    <v>1</v>
  </rv>
  <rv s="0">
    <fb>26.469000000000001</fb>
    <v>1</v>
  </rv>
  <rv s="0">
    <fb>44713</fb>
    <v>0</v>
  </rv>
  <rv s="0">
    <fb>272.42</fb>
    <v>1</v>
  </rv>
  <rv s="0">
    <fb>21.22</fb>
    <v>1</v>
  </rv>
  <rv s="0">
    <fb>209.93</fb>
    <v>1</v>
  </rv>
  <rv s="0">
    <fb>123.09</fb>
    <v>1</v>
  </rv>
  <rv s="0">
    <fb>110</fb>
    <v>1</v>
  </rv>
  <rv s="0">
    <fb>356.16</fb>
    <v>1</v>
  </rv>
  <rv s="0">
    <fb>23.814</fb>
    <v>1</v>
  </rv>
  <rv s="0">
    <fb>44714</fb>
    <v>0</v>
  </rv>
  <rv s="0">
    <fb>274.58</fb>
    <v>1</v>
  </rv>
  <rv s="0">
    <fb>21.19</fb>
    <v>1</v>
  </rv>
  <rv s="0">
    <fb>215.05</fb>
    <v>1</v>
  </rv>
  <rv s="0">
    <fb>129.1</fb>
    <v>1</v>
  </rv>
  <rv s="0">
    <fb>25.16</fb>
    <v>1</v>
  </rv>
  <rv s="0">
    <fb>116.5</fb>
    <v>1</v>
  </rv>
  <rv s="0">
    <fb>24.446000000000002</fb>
    <v>1</v>
  </rv>
  <rv s="0">
    <fb>44715</fb>
    <v>0</v>
  </rv>
  <rv s="0">
    <fb>270.02</fb>
    <v>1</v>
  </rv>
  <rv s="0">
    <fb>20.9</fb>
    <v>1</v>
  </rv>
  <rv s="0">
    <fb>128.49</fb>
    <v>1</v>
  </rv>
  <rv s="0">
    <fb>24.94</fb>
    <v>1</v>
  </rv>
  <rv s="0">
    <fb>112.23</fb>
    <v>1</v>
  </rv>
  <rv s="0">
    <fb>350.24</fb>
    <v>1</v>
  </rv>
  <rv s="0">
    <fb>22.722000000000001</fb>
    <v>1</v>
  </rv>
  <rv s="0">
    <fb>44718</fb>
    <v>0</v>
  </rv>
  <rv s="0">
    <fb>268.75</fb>
    <v>1</v>
  </rv>
  <rv s="0">
    <fb>20.94</fb>
    <v>1</v>
  </rv>
  <rv s="0">
    <fb>212.94</fb>
    <v>1</v>
  </rv>
  <rv s="0">
    <fb>127.63</fb>
    <v>1</v>
  </rv>
  <rv s="0">
    <fb>111.04</fb>
    <v>1</v>
  </rv>
  <rv s="0">
    <fb>352.48</fb>
    <v>1</v>
  </rv>
  <rv s="0">
    <fb>23.544</fb>
    <v>1</v>
  </rv>
  <rv s="0">
    <fb>44719</fb>
    <v>0</v>
  </rv>
  <rv s="0">
    <fb>272.5</fb>
    <v>1</v>
  </rv>
  <rv s="0">
    <fb>21.14</fb>
    <v>1</v>
  </rv>
  <rv s="0">
    <fb>214.5</fb>
    <v>1</v>
  </rv>
  <rv s="0">
    <fb>128.9</fb>
    <v>1</v>
  </rv>
  <rv s="0">
    <fb>109.43</fb>
    <v>1</v>
  </rv>
  <rv s="0">
    <fb>346.72</fb>
    <v>1</v>
  </rv>
  <rv s="0">
    <fb>44720</fb>
    <v>0</v>
  </rv>
  <rv s="0">
    <fb>270.41000000000003</fb>
    <v>1</v>
  </rv>
  <rv s="0">
    <fb>21.05</fb>
    <v>1</v>
  </rv>
  <rv s="0">
    <fb>213.5</fb>
    <v>1</v>
  </rv>
  <rv s="0">
    <fb>126.84</fb>
    <v>1</v>
  </rv>
  <rv s="0">
    <fb>24.31</fb>
    <v>1</v>
  </rv>
  <rv s="0">
    <fb>116.03</fb>
    <v>1</v>
  </rv>
  <rv s="0">
    <fb>348.8</fb>
    <v>1</v>
  </rv>
  <rv s="0">
    <fb>23.289000000000001</fb>
    <v>1</v>
  </rv>
  <rv s="0">
    <fb>44721</fb>
    <v>0</v>
  </rv>
  <rv s="0">
    <fb>264.79000000000002</fb>
    <v>1</v>
  </rv>
  <rv s="0">
    <fb>206.11</fb>
    <v>1</v>
  </rv>
  <rv s="0">
    <fb>124.14</fb>
    <v>1</v>
  </rv>
  <rv s="0">
    <fb>22.68</fb>
    <v>1</v>
  </rv>
  <rv s="0">
    <fb>111.93</fb>
    <v>1</v>
  </rv>
  <rv s="0">
    <fb>370.08</fb>
    <v>1</v>
  </rv>
  <rv s="0">
    <fb>21.776</fb>
    <v>1</v>
  </rv>
  <rv s="0">
    <fb>44722</fb>
    <v>0</v>
  </rv>
  <rv s="0">
    <fb>252.99</fb>
    <v>1</v>
  </rv>
  <rv s="0">
    <fb>20.69</fb>
    <v>1</v>
  </rv>
  <rv s="0">
    <fb>199.51</fb>
    <v>1</v>
  </rv>
  <rv s="0">
    <fb>120.57</fb>
    <v>1</v>
  </rv>
  <rv s="0">
    <fb>102.23</fb>
    <v>1</v>
  </rv>
  <rv s="0">
    <fb>373.28</fb>
    <v>1</v>
  </rv>
  <rv s="0">
    <fb>20.335999999999999</fb>
    <v>1</v>
  </rv>
  <rv s="0">
    <fb>44725</fb>
    <v>0</v>
  </rv>
  <rv s="0">
    <fb>242.26</fb>
    <v>1</v>
  </rv>
  <rv s="0">
    <fb>19.760000000000002</fb>
    <v>1</v>
  </rv>
  <rv s="0">
    <fb>192.26</fb>
    <v>1</v>
  </rv>
  <rv s="0">
    <fb>116.28</fb>
    <v>1</v>
  </rv>
  <rv s="0">
    <fb>20.239999999999998</fb>
    <v>1</v>
  </rv>
  <rv s="0">
    <fb>98.61</fb>
    <v>1</v>
  </rv>
  <rv s="0">
    <fb>413.44</fb>
    <v>1</v>
  </rv>
  <rv s="0">
    <fb>15.215</fb>
    <v>1</v>
  </rv>
  <rv s="0">
    <fb>44726</fb>
    <v>0</v>
  </rv>
  <rv s="0">
    <fb>19.45</fb>
    <v>1</v>
  </rv>
  <rv s="0">
    <fb>193.52</fb>
    <v>1</v>
  </rv>
  <rv s="0">
    <fb>116.01</fb>
    <v>1</v>
  </rv>
  <rv s="0">
    <fb>20.059999999999999</fb>
    <v>1</v>
  </rv>
  <rv s="0">
    <fb>98.05</fb>
    <v>1</v>
  </rv>
  <rv s="0">
    <fb>405.28</fb>
    <v>1</v>
  </rv>
  <rv s="0">
    <fb>15.686999999999999</fb>
    <v>1</v>
  </rv>
  <rv s="0">
    <fb>44727</fb>
    <v>0</v>
  </rv>
  <rv s="0">
    <fb>251.76</fb>
    <v>1</v>
  </rv>
  <rv s="0">
    <fb>19.440000000000001</fb>
    <v>1</v>
  </rv>
  <rv s="0">
    <fb>196.16</fb>
    <v>1</v>
  </rv>
  <rv s="0">
    <fb>116.47</fb>
    <v>1</v>
  </rv>
  <rv s="0">
    <fb>20.58</fb>
    <v>1</v>
  </rv>
  <rv s="0">
    <fb>105.35</fb>
    <v>1</v>
  </rv>
  <rv s="0">
    <fb>383.52</fb>
    <v>1</v>
  </rv>
  <rv s="0">
    <fb>17.134</fb>
    <v>1</v>
  </rv>
  <rv s="0">
    <fb>44728</fb>
    <v>0</v>
  </rv>
  <rv s="0">
    <fb>244.97</fb>
    <v>1</v>
  </rv>
  <rv s="0">
    <fb>18.96</fb>
    <v>1</v>
  </rv>
  <rv s="0">
    <fb>189.05</fb>
    <v>1</v>
  </rv>
  <rv s="0">
    <fb>114.96</fb>
    <v>1</v>
  </rv>
  <rv s="0">
    <fb>19.579999999999998</fb>
    <v>1</v>
  </rv>
  <rv s="0">
    <fb>97.85</fb>
    <v>1</v>
  </rv>
  <rv s="0">
    <fb>406.4</fb>
    <v>1</v>
  </rv>
  <rv s="0">
    <fb>16.134</fb>
    <v>1</v>
  </rv>
  <rv s="0">
    <fb>44729</fb>
    <v>0</v>
  </rv>
  <rv s="0">
    <fb>247.65</fb>
    <v>1</v>
  </rv>
  <rv s="0">
    <fb>19.38</fb>
    <v>1</v>
  </rv>
  <rv s="0">
    <fb>190.01</fb>
    <v>1</v>
  </rv>
  <rv s="0">
    <fb>112.71</fb>
    <v>1</v>
  </rv>
  <rv s="0">
    <fb>19.89</fb>
    <v>1</v>
  </rv>
  <rv s="0">
    <fb>99.27</fb>
    <v>1</v>
  </rv>
  <rv s="0">
    <fb>394.56</fb>
    <v>1</v>
  </rv>
  <rv s="0">
    <fb>16.760000000000002</fb>
    <v>1</v>
  </rv>
  <rv s="0">
    <fb>44733</fb>
    <v>0</v>
  </rv>
  <rv s="0">
    <fb>253.74</fb>
    <v>1</v>
  </rv>
  <rv s="0">
    <fb>19.96</fb>
    <v>1</v>
  </rv>
  <rv s="0">
    <fb>194.39</fb>
    <v>1</v>
  </rv>
  <rv s="0">
    <fb>113.88</fb>
    <v>1</v>
  </rv>
  <rv s="0">
    <fb>19.600000000000001</fb>
    <v>1</v>
  </rv>
  <rv s="0">
    <fb>101.4</fb>
    <v>1</v>
  </rv>
  <rv s="0">
    <fb>392</fb>
    <v>1</v>
  </rv>
  <rv s="0">
    <fb>17.896000000000001</fb>
    <v>1</v>
  </rv>
  <rv s="0">
    <fb>44734</fb>
    <v>0</v>
  </rv>
  <rv s="0">
    <fb>253.13</fb>
    <v>1</v>
  </rv>
  <rv s="0">
    <fb>20.32</fb>
    <v>1</v>
  </rv>
  <rv s="0">
    <fb>193.82</fb>
    <v>1</v>
  </rv>
  <rv s="0">
    <fb>113.8</fb>
    <v>1</v>
  </rv>
  <rv s="0">
    <fb>99.33</fb>
    <v>1</v>
  </rv>
  <rv s="0">
    <fb>381.44</fb>
    <v>1</v>
  </rv>
  <rv s="0">
    <fb>17.091000000000001</fb>
    <v>1</v>
  </rv>
  <rv s="0">
    <fb>44735</fb>
    <v>0</v>
  </rv>
  <rv s="0">
    <fb>258.86</fb>
    <v>1</v>
  </rv>
  <rv s="0">
    <fb>20.61</fb>
    <v>1</v>
  </rv>
  <rv s="0">
    <fb>196.64</fb>
    <v>1</v>
  </rv>
  <rv s="0">
    <fb>118.6</fb>
    <v>1</v>
  </rv>
  <rv s="0">
    <fb>19.010000000000002</fb>
    <v>1</v>
  </rv>
  <rv s="0">
    <fb>102.19</fb>
    <v>1</v>
  </rv>
  <rv s="0">
    <fb>374.4</fb>
    <v>1</v>
  </rv>
  <rv s="0">
    <fb>18.831</fb>
    <v>1</v>
  </rv>
  <rv s="0">
    <fb>44736</fb>
    <v>0</v>
  </rv>
  <rv s="0">
    <fb>267.7</fb>
    <v>1</v>
  </rv>
  <rv s="0">
    <fb>20.99</fb>
    <v>1</v>
  </rv>
  <rv s="0">
    <fb>205.51</fb>
    <v>1</v>
  </rv>
  <rv s="0">
    <fb>121.29</fb>
    <v>1</v>
  </rv>
  <rv s="0">
    <fb>107</fb>
    <v>1</v>
  </rv>
  <rv s="0">
    <fb>369.92</fb>
    <v>1</v>
  </rv>
  <rv s="0">
    <fb>20.544</fb>
    <v>1</v>
  </rv>
  <rv s="0">
    <fb>44739</fb>
    <v>0</v>
  </rv>
  <rv s="0">
    <fb>264.89</fb>
    <v>1</v>
  </rv>
  <rv s="0">
    <fb>203.56</fb>
    <v>1</v>
  </rv>
  <rv s="0">
    <fb>106.27</fb>
    <v>1</v>
  </rv>
  <rv s="0">
    <fb>361.6</fb>
    <v>1</v>
  </rv>
  <rv s="0">
    <fb>19.672999999999998</fb>
    <v>1</v>
  </rv>
  <rv s="0">
    <fb>44740</fb>
    <v>0</v>
  </rv>
  <rv s="0">
    <fb>256.48</fb>
    <v>1</v>
  </rv>
  <rv s="0">
    <fb>198.12</fb>
    <v>1</v>
  </rv>
  <rv s="0">
    <fb>117.06</fb>
    <v>1</v>
  </rv>
  <rv s="0">
    <fb>19</fb>
    <v>1</v>
  </rv>
  <rv s="0">
    <fb>99</fb>
    <v>1</v>
  </rv>
  <rv s="0">
    <fb>18.611999999999998</fb>
    <v>1</v>
  </rv>
  <rv s="0">
    <fb>44741</fb>
    <v>0</v>
  </rv>
  <rv s="0">
    <fb>260.26</fb>
    <v>1</v>
  </rv>
  <rv s="0">
    <fb>20.95</fb>
    <v>1</v>
  </rv>
  <rv s="0">
    <fb>199.5</fb>
    <v>1</v>
  </rv>
  <rv s="0">
    <fb>117.9</fb>
    <v>1</v>
  </rv>
  <rv s="0">
    <fb>18.54</fb>
    <v>1</v>
  </rv>
  <rv s="0">
    <fb>97.96</fb>
    <v>1</v>
  </rv>
  <rv s="0">
    <fb>365.44</fb>
    <v>1</v>
  </rv>
  <rv s="0">
    <fb>17.969000000000001</fb>
    <v>1</v>
  </rv>
  <rv s="0">
    <fb>44742</fb>
    <v>0</v>
  </rv>
  <rv s="0">
    <fb>256.83</fb>
    <v>1</v>
  </rv>
  <rv s="0">
    <fb>20.96</fb>
    <v>1</v>
  </rv>
  <rv s="0">
    <fb>196.89</fb>
    <v>1</v>
  </rv>
  <rv s="0">
    <fb>118.77</fb>
    <v>1</v>
  </rv>
  <rv s="0">
    <fb>17.91</fb>
    <v>1</v>
  </rv>
  <rv s="0">
    <fb>93.83</fb>
    <v>1</v>
  </rv>
  <rv s="0">
    <fb>369.28</fb>
    <v>1</v>
  </rv>
  <rv s="0">
    <fb>16.43</fb>
    <v>1</v>
  </rv>
  <rv s="0">
    <fb>44743</fb>
    <v>0</v>
  </rv>
  <rv s="0">
    <fb>259.58</fb>
    <v>1</v>
  </rv>
  <rv s="0">
    <fb>199.18</fb>
    <v>1</v>
  </rv>
  <rv s="0">
    <fb>119.21</fb>
    <v>1</v>
  </rv>
  <rv s="0">
    <fb>97.52</fb>
    <v>1</v>
  </rv>
  <rv s="0">
    <fb>360.64</fb>
    <v>1</v>
  </rv>
  <rv s="0">
    <fb>16.677</fb>
    <v>1</v>
  </rv>
  <rv s="0">
    <fb>44747</fb>
    <v>0</v>
  </rv>
  <rv s="0">
    <fb>262.85000000000002</fb>
    <v>1</v>
  </rv>
  <rv s="0">
    <fb>21.17</fb>
    <v>1</v>
  </rv>
  <rv s="0">
    <fb>200.54</fb>
    <v>1</v>
  </rv>
  <rv s="0">
    <fb>120.56</fb>
    <v>1</v>
  </rv>
  <rv s="0">
    <fb>17.02</fb>
    <v>1</v>
  </rv>
  <rv s="0">
    <fb>104.83</fb>
    <v>1</v>
  </rv>
  <rv s="0">
    <fb>360.8</fb>
    <v>1</v>
  </rv>
  <rv s="0">
    <fb>18.768000000000001</fb>
    <v>1</v>
  </rv>
  <rv s="0">
    <fb>44748</fb>
    <v>0</v>
  </rv>
  <rv s="0">
    <fb>266.20999999999998</fb>
    <v>1</v>
  </rv>
  <rv s="0">
    <fb>21.09</fb>
    <v>1</v>
  </rv>
  <rv s="0">
    <fb>201.12</fb>
    <v>1</v>
  </rv>
  <rv s="0">
    <fb>121.18</fb>
    <v>1</v>
  </rv>
  <rv s="0">
    <fb>17.05</fb>
    <v>1</v>
  </rv>
  <rv s="0">
    <fb>102.87</fb>
    <v>1</v>
  </rv>
  <rv s="0">
    <fb>354.56</fb>
    <v>1</v>
  </rv>
  <rv s="0">
    <fb>18.829999999999998</fb>
    <v>1</v>
  </rv>
  <rv s="0">
    <fb>44749</fb>
    <v>0</v>
  </rv>
  <rv s="0">
    <fb>268.39999999999998</fb>
    <v>1</v>
  </rv>
  <rv s="0">
    <fb>21.15</fb>
    <v>1</v>
  </rv>
  <rv s="0">
    <fb>202.8</fb>
    <v>1</v>
  </rv>
  <rv s="0">
    <fb>123.15</fb>
    <v>1</v>
  </rv>
  <rv s="0">
    <fb>17.850000000000001</fb>
    <v>1</v>
  </rv>
  <rv s="0">
    <fb>105.83</fb>
    <v>1</v>
  </rv>
  <rv s="0">
    <fb>357.28</fb>
    <v>1</v>
  </rv>
  <rv s="0">
    <fb>21.951000000000001</fb>
    <v>1</v>
  </rv>
  <rv s="0">
    <fb>44750</fb>
    <v>0</v>
  </rv>
  <rv s="0">
    <fb>267.66000000000003</fb>
    <v>1</v>
  </rv>
  <rv s="0">
    <fb>20.8</fb>
    <v>1</v>
  </rv>
  <rv s="0">
    <fb>203.57</fb>
    <v>1</v>
  </rv>
  <rv s="0">
    <fb>122.51</fb>
    <v>1</v>
  </rv>
  <rv s="0">
    <fb>17.62</fb>
    <v>1</v>
  </rv>
  <rv s="0">
    <fb>104.24</fb>
    <v>1</v>
  </rv>
  <rv s="0">
    <fb>351.84</fb>
    <v>1</v>
  </rv>
  <rv s="0">
    <fb>22.128</fb>
    <v>1</v>
  </rv>
  <rv s="0">
    <fb>44753</fb>
    <v>0</v>
  </rv>
  <rv s="0">
    <fb>264.51</fb>
    <v>1</v>
  </rv>
  <rv s="0">
    <fb>20.66</fb>
    <v>1</v>
  </rv>
  <rv s="0">
    <fb>123.12</fb>
    <v>1</v>
  </rv>
  <rv s="0">
    <fb>17.5</fb>
    <v>1</v>
  </rv>
  <rv s="0">
    <fb>99.15</fb>
    <v>1</v>
  </rv>
  <rv s="0">
    <fb>355.36</fb>
    <v>1</v>
  </rv>
  <rv s="0">
    <fb>20.09</fb>
    <v>1</v>
  </rv>
  <rv s="0">
    <fb>44754</fb>
    <v>0</v>
  </rv>
  <rv s="0">
    <fb>253.67</fb>
    <v>1</v>
  </rv>
  <rv s="0">
    <fb>20.6</fb>
    <v>1</v>
  </rv>
  <rv s="0">
    <fb>204.82</fb>
    <v>1</v>
  </rv>
  <rv s="0">
    <fb>119.24</fb>
    <v>1</v>
  </rv>
  <rv s="0">
    <fb>99.58</fb>
    <v>1</v>
  </rv>
  <rv s="0">
    <fb>359.68</fb>
    <v>1</v>
  </rv>
  <rv s="0">
    <fb>19.251999999999999</fb>
    <v>1</v>
  </rv>
  <rv s="0">
    <fb>44755</fb>
    <v>0</v>
  </rv>
  <rv s="0">
    <fb>252.72</fb>
    <v>1</v>
  </rv>
  <rv s="0">
    <fb>204.15</fb>
    <v>1</v>
  </rv>
  <rv s="0">
    <fb>118.65</fb>
    <v>1</v>
  </rv>
  <rv s="0">
    <fb>18.07</fb>
    <v>1</v>
  </rv>
  <rv s="0">
    <fb>99.21</fb>
    <v>1</v>
  </rv>
  <rv s="0">
    <fb>358.56</fb>
    <v>1</v>
  </rv>
  <rv s="0">
    <fb>19.555</fb>
    <v>1</v>
  </rv>
  <rv s="0">
    <fb>44756</fb>
    <v>0</v>
  </rv>
  <rv s="0">
    <fb>20.329999999999998</fb>
    <v>1</v>
  </rv>
  <rv s="0">
    <fb>205.91</fb>
    <v>1</v>
  </rv>
  <rv s="0">
    <fb>115.88</fb>
    <v>1</v>
  </rv>
  <rv s="0">
    <fb>17.34</fb>
    <v>1</v>
  </rv>
  <rv s="0">
    <fb>96.32</fb>
    <v>1</v>
  </rv>
  <rv s="0">
    <fb>357.12</fb>
    <v>1</v>
  </rv>
  <rv s="0">
    <fb>20.459</fb>
    <v>1</v>
  </rv>
  <rv s="0">
    <fb>44757</fb>
    <v>0</v>
  </rv>
  <rv s="0">
    <fb>256.72000000000003</fb>
    <v>1</v>
  </rv>
  <rv s="0">
    <fb>210.04</fb>
    <v>1</v>
  </rv>
  <rv s="0">
    <fb>118.83</fb>
    <v>1</v>
  </rv>
  <rv s="0">
    <fb>17.73</fb>
    <v>1</v>
  </rv>
  <rv s="0">
    <fb>102.33</fb>
    <v>1</v>
  </rv>
  <rv s="0">
    <fb>344.64</fb>
    <v>1</v>
  </rv>
  <rv s="0">
    <fb>21.398</fb>
    <v>1</v>
  </rv>
  <rv s="0">
    <fb>44760</fb>
    <v>0</v>
  </rv>
  <rv s="0">
    <fb>254.25</fb>
    <v>1</v>
  </rv>
  <rv s="0">
    <fb>20.53</fb>
    <v>1</v>
  </rv>
  <rv s="0">
    <fb>207.21</fb>
    <v>1</v>
  </rv>
  <rv s="0">
    <fb>115.11</fb>
    <v>1</v>
  </rv>
  <rv s="0">
    <fb>18.5</fb>
    <v>1</v>
  </rv>
  <rv s="0">
    <fb>103.57</fb>
    <v>1</v>
  </rv>
  <rv s="0">
    <fb>350.56</fb>
    <v>1</v>
  </rv>
  <rv s="0">
    <fb>22.562999999999999</fb>
    <v>1</v>
  </rv>
  <rv s="0">
    <fb>44761</fb>
    <v>0</v>
  </rv>
  <rv s="0">
    <fb>259.52999999999997</fb>
    <v>1</v>
  </rv>
  <rv s="0">
    <fb>213.66</fb>
    <v>1</v>
  </rv>
  <rv s="0">
    <fb>119.06</fb>
    <v>1</v>
  </rv>
  <rv s="0">
    <fb>19.28</fb>
    <v>1</v>
  </rv>
  <rv s="0">
    <fb>108.68</fb>
    <v>1</v>
  </rv>
  <rv s="0">
    <fb>349.6</fb>
    <v>1</v>
  </rv>
  <rv s="0">
    <fb>26.716999999999999</fb>
    <v>1</v>
  </rv>
  <rv s="0">
    <fb>44762</fb>
    <v>0</v>
  </rv>
  <rv s="0">
    <fb>262.27</fb>
    <v>1</v>
  </rv>
  <rv s="0">
    <fb>20.48</fb>
    <v>1</v>
  </rv>
  <rv s="0">
    <fb>213.37</fb>
    <v>1</v>
  </rv>
  <rv s="0">
    <fb>119.86</fb>
    <v>1</v>
  </rv>
  <rv s="0">
    <fb>19.75</fb>
    <v>1</v>
  </rv>
  <rv s="0">
    <fb>113.25</fb>
    <v>1</v>
  </rv>
  <rv s="0">
    <fb>345.12</fb>
    <v>1</v>
  </rv>
  <rv s="0">
    <fb>28.876999999999999</fb>
    <v>1</v>
  </rv>
  <rv s="0">
    <fb>44763</fb>
    <v>0</v>
  </rv>
  <rv s="0">
    <fb>264.83999999999997</fb>
    <v>1</v>
  </rv>
  <rv s="0">
    <fb>18.920000000000002</fb>
    <v>1</v>
  </rv>
  <rv s="0">
    <fb>216.19</fb>
    <v>1</v>
  </rv>
  <rv s="0">
    <fb>127.19</fb>
    <v>1</v>
  </rv>
  <rv s="0">
    <fb>20.36</fb>
    <v>1</v>
  </rv>
  <rv s="0">
    <fb>115.62</fb>
    <v>1</v>
  </rv>
  <rv s="0">
    <fb>339.2</fb>
    <v>1</v>
  </rv>
  <rv s="0">
    <fb>28.971</fb>
    <v>1</v>
  </rv>
  <rv s="0">
    <fb>44764</fb>
    <v>0</v>
  </rv>
  <rv s="0">
    <fb>260.36</fb>
    <v>1</v>
  </rv>
  <rv s="0">
    <fb>18.399999999999999</fb>
    <v>1</v>
  </rv>
  <rv s="0">
    <fb>213.7</fb>
    <v>1</v>
  </rv>
  <rv s="0">
    <fb>125.04</fb>
    <v>1</v>
  </rv>
  <rv s="0">
    <fb>111.65</fb>
    <v>1</v>
  </rv>
  <rv s="0">
    <fb>342.4</fb>
    <v>1</v>
  </rv>
  <rv s="0">
    <fb>28.192</fb>
    <v>1</v>
  </rv>
  <rv s="0">
    <fb>44767</fb>
    <v>0</v>
  </rv>
  <rv s="0">
    <fb>258.83</fb>
    <v>1</v>
  </rv>
  <rv s="0">
    <fb>18.53</fb>
    <v>1</v>
  </rv>
  <rv s="0">
    <fb>214.27</fb>
    <v>1</v>
  </rv>
  <rv s="0">
    <fb>124.26</fb>
    <v>1</v>
  </rv>
  <rv s="0">
    <fb>20.3</fb>
    <v>1</v>
  </rv>
  <rv s="0">
    <fb>110.42</fb>
    <v>1</v>
  </rv>
  <rv s="0">
    <fb>338.4</fb>
    <v>1</v>
  </rv>
  <rv s="0">
    <fb>26.585999999999999</fb>
    <v>1</v>
  </rv>
  <rv s="0">
    <fb>44768</fb>
    <v>0</v>
  </rv>
  <rv s="0">
    <fb>251.9</fb>
    <v>1</v>
  </rv>
  <rv s="0">
    <fb>212.49</fb>
    <v>1</v>
  </rv>
  <rv s="0">
    <fb>125.17</fb>
    <v>1</v>
  </rv>
  <rv s="0">
    <fb>103.97</fb>
    <v>1</v>
  </rv>
  <rv s="0">
    <fb>23.763999999999999</fb>
    <v>1</v>
  </rv>
  <rv s="0">
    <fb>44769</fb>
    <v>0</v>
  </rv>
  <rv s="0">
    <fb>268.74</fb>
    <v>1</v>
  </rv>
  <rv s="0">
    <fb>18.39</fb>
    <v>1</v>
  </rv>
  <rv s="0">
    <fb>210.47</fb>
    <v>1</v>
  </rv>
  <rv s="0">
    <fb>127.71</fb>
    <v>1</v>
  </rv>
  <rv s="0">
    <fb>21.24</fb>
    <v>1</v>
  </rv>
  <rv s="0">
    <fb>116.61</fb>
    <v>1</v>
  </rv>
  <rv s="0">
    <fb>340.96</fb>
    <v>1</v>
  </rv>
  <rv s="0">
    <fb>26.24</fb>
    <v>1</v>
  </rv>
  <rv s="0">
    <fb>44770</fb>
    <v>0</v>
  </rv>
  <rv s="0">
    <fb>276.41000000000003</fb>
    <v>1</v>
  </rv>
  <rv s="0">
    <fb>18.579999999999998</fb>
    <v>1</v>
  </rv>
  <rv s="0">
    <fb>211.35</fb>
    <v>1</v>
  </rv>
  <rv s="0">
    <fb>131.11000000000001</fb>
    <v>1</v>
  </rv>
  <rv s="0">
    <fb>21.7</fb>
    <v>1</v>
  </rv>
  <rv s="0">
    <fb>114.59</fb>
    <v>1</v>
  </rv>
  <rv s="0">
    <fb>333.12</fb>
    <v>1</v>
  </rv>
  <rv s="0">
    <fb>27.571999999999999</fb>
    <v>1</v>
  </rv>
  <rv s="0">
    <fb>44771</fb>
    <v>0</v>
  </rv>
  <rv s="0">
    <fb>280.74</fb>
    <v>1</v>
  </rv>
  <rv s="0">
    <fb>18.78</fb>
    <v>1</v>
  </rv>
  <rv s="0">
    <fb>134.1</fb>
    <v>1</v>
  </rv>
  <rv s="0">
    <fb>23.65</fb>
    <v>1</v>
  </rv>
  <rv s="0">
    <fb>113.02</fb>
    <v>1</v>
  </rv>
  <rv s="0">
    <fb>335.04</fb>
    <v>1</v>
  </rv>
  <rv s="0">
    <fb>28.606000000000002</fb>
    <v>1</v>
  </rv>
  <rv s="0">
    <fb>44774</fb>
    <v>0</v>
  </rv>
  <rv s="0">
    <fb>278.01</fb>
    <v>1</v>
  </rv>
  <rv s="0">
    <fb>211.36</fb>
    <v>1</v>
  </rv>
  <rv s="0">
    <fb>133.43</fb>
    <v>1</v>
  </rv>
  <rv s="0">
    <fb>23.8</fb>
    <v>1</v>
  </rv>
  <rv s="0">
    <fb>115.35</fb>
    <v>1</v>
  </rv>
  <rv s="0">
    <fb>27.574000000000002</fb>
    <v>1</v>
  </rv>
  <rv s="0">
    <fb>44775</fb>
    <v>0</v>
  </rv>
  <rv s="0">
    <fb>274.82</fb>
    <v>1</v>
  </rv>
  <rv s="0">
    <fb>18.36</fb>
    <v>1</v>
  </rv>
  <rv s="0">
    <fb>206.26</fb>
    <v>1</v>
  </rv>
  <rv s="0">
    <fb>131.28</fb>
    <v>1</v>
  </rv>
  <rv s="0">
    <fb>22.99</fb>
    <v>1</v>
  </rv>
  <rv s="0">
    <fb>116</fb>
    <v>1</v>
  </rv>
  <rv s="0">
    <fb>346.4</fb>
    <v>1</v>
  </rv>
  <rv s="0">
    <fb>27.826000000000001</fb>
    <v>1</v>
  </rv>
  <rv s="0">
    <fb>44776</fb>
    <v>0</v>
  </rv>
  <rv s="0">
    <fb>282.47000000000003</fb>
    <v>1</v>
  </rv>
  <rv s="0">
    <fb>134.56</fb>
    <v>1</v>
  </rv>
  <rv s="0">
    <fb>120.46</fb>
    <v>1</v>
  </rv>
  <rv s="0">
    <fb>31.367999999999999</fb>
    <v>1</v>
  </rv>
  <rv s="0">
    <fb>44777</fb>
    <v>0</v>
  </rv>
  <rv s="0">
    <fb>283.64999999999998</fb>
    <v>1</v>
  </rv>
  <rv s="0">
    <fb>18.27</fb>
    <v>1</v>
  </rv>
  <rv s="0">
    <fb>213.47</fb>
    <v>1</v>
  </rv>
  <rv s="0">
    <fb>133.77000000000001</fb>
    <v>1</v>
  </rv>
  <rv s="0">
    <fb>23.03</fb>
    <v>1</v>
  </rv>
  <rv s="0">
    <fb>341.12</fb>
    <v>1</v>
  </rv>
  <rv s="0">
    <fb>30.931000000000001</fb>
    <v>1</v>
  </rv>
  <rv s="0">
    <fb>44778</fb>
    <v>0</v>
  </rv>
  <rv s="0">
    <fb>282.91000000000003</fb>
    <v>1</v>
  </rv>
  <rv s="0">
    <fb>18.350000000000001</fb>
    <v>1</v>
  </rv>
  <rv s="0">
    <fb>215.87</fb>
    <v>1</v>
  </rv>
  <rv s="0">
    <fb>133.61000000000001</fb>
    <v>1</v>
  </rv>
  <rv s="0">
    <fb>118.73</fb>
    <v>1</v>
  </rv>
  <rv s="0">
    <fb>344</fb>
    <v>1</v>
  </rv>
  <rv s="0">
    <fb>31.914999999999999</fb>
    <v>1</v>
  </rv>
  <rv s="0">
    <fb>44781</fb>
    <v>0</v>
  </rv>
  <rv s="0">
    <fb>280.32</fb>
    <v>1</v>
  </rv>
  <rv s="0">
    <fb>18</fb>
    <v>1</v>
  </rv>
  <rv s="0">
    <fb>213.32</fb>
    <v>1</v>
  </rv>
  <rv s="0">
    <fb>132.52000000000001</fb>
    <v>1</v>
  </rv>
  <rv s="0">
    <fb>119.7</fb>
    <v>1</v>
  </rv>
  <rv s="0">
    <fb>353.12</fb>
    <v>1</v>
  </rv>
  <rv s="0">
    <fb>33.000999999999998</fb>
    <v>1</v>
  </rv>
  <rv s="0">
    <fb>44782</fb>
    <v>0</v>
  </rv>
  <rv s="0">
    <fb>282.3</fb>
    <v>1</v>
  </rv>
  <rv s="0">
    <fb>18.100000000000001</fb>
    <v>1</v>
  </rv>
  <rv s="0">
    <fb>210.26</fb>
    <v>1</v>
  </rv>
  <rv s="0">
    <fb>128.88</fb>
    <v>1</v>
  </rv>
  <rv s="0">
    <fb>24.48</fb>
    <v>1</v>
  </rv>
  <rv s="0">
    <fb>115.56</fb>
    <v>1</v>
  </rv>
  <rv s="0">
    <fb>351.04</fb>
    <v>1</v>
  </rv>
  <rv s="0">
    <fb>31.937999999999999</fb>
    <v>1</v>
  </rv>
  <rv s="0">
    <fb>44783</fb>
    <v>0</v>
  </rv>
  <rv s="0">
    <fb>289.16000000000003</fb>
    <v>1</v>
  </rv>
  <rv s="0">
    <fb>18.010000000000002</fb>
    <v>1</v>
  </rv>
  <rv s="0">
    <fb>212.1</fb>
    <v>1</v>
  </rv>
  <rv s="0">
    <fb>132.58000000000001</fb>
    <v>1</v>
  </rv>
  <rv s="0">
    <fb>120.09</fb>
    <v>1</v>
  </rv>
  <rv s="0">
    <fb>33.58</fb>
    <v>1</v>
  </rv>
  <rv s="0">
    <fb>44784</fb>
    <v>0</v>
  </rv>
  <rv s="0">
    <fb>287.02</fb>
    <v>1</v>
  </rv>
  <rv s="0">
    <fb>18.04</fb>
    <v>1</v>
  </rv>
  <rv s="0">
    <fb>211.08</fb>
    <v>1</v>
  </rv>
  <rv s="0">
    <fb>131.94999999999999</fb>
    <v>1</v>
  </rv>
  <rv s="0">
    <fb>24.82</fb>
    <v>1</v>
  </rv>
  <rv s="0">
    <fb>122.73</fb>
    <v>1</v>
  </rv>
  <rv s="0">
    <fb>347.04</fb>
    <v>1</v>
  </rv>
  <rv s="0">
    <fb>33.698999999999998</fb>
    <v>1</v>
  </rv>
  <rv s="0">
    <fb>44785</fb>
    <v>0</v>
  </rv>
  <rv s="0">
    <fb>291.91000000000003</fb>
    <v>1</v>
  </rv>
  <rv s="0">
    <fb>211.33</fb>
    <v>1</v>
  </rv>
  <rv s="0">
    <fb>133.55000000000001</fb>
    <v>1</v>
  </rv>
  <rv s="0">
    <fb>25.25</fb>
    <v>1</v>
  </rv>
  <rv s="0">
    <fb>123.63</fb>
    <v>1</v>
  </rv>
  <rv s="0">
    <fb>35.283999999999999</fb>
    <v>1</v>
  </rv>
  <rv s="0">
    <fb>44788</fb>
    <v>0</v>
  </rv>
  <rv s="0">
    <fb>293.47000000000003</fb>
    <v>1</v>
  </rv>
  <rv s="0">
    <fb>216.42</fb>
    <v>1</v>
  </rv>
  <rv s="0">
    <fb>24.41</fb>
    <v>1</v>
  </rv>
  <rv s="0">
    <fb>122.6</fb>
    <v>1</v>
  </rv>
  <rv s="0">
    <fb>343.84</fb>
    <v>1</v>
  </rv>
  <rv s="0">
    <fb>34.908000000000001</fb>
    <v>1</v>
  </rv>
  <rv s="0">
    <fb>44789</fb>
    <v>0</v>
  </rv>
  <rv s="0">
    <fb>292.70999999999998</fb>
    <v>1</v>
  </rv>
  <rv s="0">
    <fb>217.14</fb>
    <v>1</v>
  </rv>
  <rv s="0">
    <fb>132.77000000000001</fb>
    <v>1</v>
  </rv>
  <rv s="0">
    <fb>24.89</fb>
    <v>1</v>
  </rv>
  <rv s="0">
    <fb>120.1</fb>
    <v>1</v>
  </rv>
  <rv s="0">
    <fb>34.264000000000003</fb>
    <v>1</v>
  </rv>
  <rv s="0">
    <fb>44790</fb>
    <v>0</v>
  </rv>
  <rv s="0">
    <fb>291.32</fb>
    <v>1</v>
  </rv>
  <rv s="0">
    <fb>18.420000000000002</fb>
    <v>1</v>
  </rv>
  <rv s="0">
    <fb>142.29</fb>
    <v>1</v>
  </rv>
  <rv s="0">
    <fb>114.15</fb>
    <v>1</v>
  </rv>
  <rv s="0">
    <fb>32.520000000000003</fb>
    <v>1</v>
  </rv>
  <rv s="0">
    <fb>44791</fb>
    <v>0</v>
  </rv>
  <rv s="0">
    <fb>290.17</fb>
    <v>1</v>
  </rv>
  <rv s="0">
    <fb>18.43</fb>
    <v>1</v>
  </rv>
  <rv s="0">
    <fb>215.25</fb>
    <v>1</v>
  </rv>
  <rv s="0">
    <fb>139.97</fb>
    <v>1</v>
  </rv>
  <rv s="0">
    <fb>23.67</fb>
    <v>1</v>
  </rv>
  <rv s="0">
    <fb>114.39</fb>
    <v>1</v>
  </rv>
  <rv s="0">
    <fb>32.438000000000002</fb>
    <v>1</v>
  </rv>
  <rv s="0">
    <fb>44792</fb>
    <v>0</v>
  </rv>
  <rv s="0">
    <fb>286.14999999999998</fb>
    <v>1</v>
  </rv>
  <rv s="0">
    <fb>212.82</fb>
    <v>1</v>
  </rv>
  <rv s="0">
    <fb>137.62</fb>
    <v>1</v>
  </rv>
  <rv s="0">
    <fb>111.43</fb>
    <v>1</v>
  </rv>
  <rv s="0">
    <fb>338.56</fb>
    <v>1</v>
  </rv>
  <rv s="0">
    <fb>28.3</fb>
    <v>1</v>
  </rv>
  <rv s="0">
    <fb>44795</fb>
    <v>0</v>
  </rv>
  <rv s="0">
    <fb>277.75</fb>
    <v>1</v>
  </rv>
  <rv s="0">
    <fb>18.13</fb>
    <v>1</v>
  </rv>
  <rv s="0">
    <fb>208.61</fb>
    <v>1</v>
  </rv>
  <rv s="0">
    <fb>133.94</fb>
    <v>1</v>
  </rv>
  <rv s="0">
    <fb>109.6</fb>
    <v>1</v>
  </rv>
  <rv s="0">
    <fb>26.809000000000001</fb>
    <v>1</v>
  </rv>
  <rv s="0">
    <fb>44796</fb>
    <v>0</v>
  </rv>
  <rv s="0">
    <fb>18.059999999999999</fb>
    <v>1</v>
  </rv>
  <rv s="0">
    <fb>206.8</fb>
    <v>1</v>
  </rv>
  <rv s="0">
    <fb>132.63999999999999</fb>
    <v>1</v>
  </rv>
  <rv s="0">
    <fb>108.03</fb>
    <v>1</v>
  </rv>
  <rv s="0">
    <fb>322.24</fb>
    <v>1</v>
  </rv>
  <rv s="0">
    <fb>44797</fb>
    <v>0</v>
  </rv>
  <rv s="0">
    <fb>275.79000000000002</fb>
    <v>1</v>
  </rv>
  <rv s="0">
    <fb>206.67</fb>
    <v>1</v>
  </rv>
  <rv s="0">
    <fb>133.66999999999999</fb>
    <v>1</v>
  </rv>
  <rv s="0">
    <fb>24.05</fb>
    <v>1</v>
  </rv>
  <rv s="0">
    <fb>110.05</fb>
    <v>1</v>
  </rv>
  <rv s="0">
    <fb>316.8</fb>
    <v>1</v>
  </rv>
  <rv s="0">
    <fb>27.440999999999999</fb>
    <v>1</v>
  </rv>
  <rv s="0">
    <fb>44798</fb>
    <v>0</v>
  </rv>
  <rv s="0">
    <fb>278.85000000000002</fb>
    <v>1</v>
  </rv>
  <rv s="0">
    <fb>18.09</fb>
    <v>1</v>
  </rv>
  <rv s="0">
    <fb>209.82</fb>
    <v>1</v>
  </rv>
  <rv s="0">
    <fb>136.01</fb>
    <v>1</v>
  </rv>
  <rv s="0">
    <fb>25.84</fb>
    <v>1</v>
  </rv>
  <rv s="0">
    <fb>113.53</fb>
    <v>1</v>
  </rv>
  <rv s="0">
    <fb>27.280999999999999</fb>
    <v>1</v>
  </rv>
  <rv s="0">
    <fb>44799</fb>
    <v>0</v>
  </rv>
  <rv s="0">
    <fb>268.08999999999997</fb>
    <v>1</v>
  </rv>
  <rv s="0">
    <fb>17.89</fb>
    <v>1</v>
  </rv>
  <rv s="0">
    <fb>202.89</fb>
    <v>1</v>
  </rv>
  <rv s="0">
    <fb>129.87</fb>
    <v>1</v>
  </rv>
  <rv s="0">
    <fb>25.36</fb>
    <v>1</v>
  </rv>
  <rv s="0">
    <fb>109.31</fb>
    <v>1</v>
  </rv>
  <rv s="0">
    <fb>322.39999999999998</fb>
    <v>1</v>
  </rv>
  <rv s="0">
    <fb>24.92</fb>
    <v>1</v>
  </rv>
  <rv s="0">
    <fb>44802</fb>
    <v>0</v>
  </rv>
  <rv s="0">
    <fb>265.23</fb>
    <v>1</v>
  </rv>
  <rv s="0">
    <fb>17.78</fb>
    <v>1</v>
  </rv>
  <rv s="0">
    <fb>202.33</fb>
    <v>1</v>
  </rv>
  <rv s="0">
    <fb>108.56</fb>
    <v>1</v>
  </rv>
  <rv s="0">
    <fb>315.36</fb>
    <v>1</v>
  </rv>
  <rv s="0">
    <fb>24.495999999999999</fb>
    <v>1</v>
  </rv>
  <rv s="0">
    <fb>44803</fb>
    <v>0</v>
  </rv>
  <rv s="0">
    <fb>262.97000000000003</fb>
    <v>1</v>
  </rv>
  <rv s="0">
    <fb>17.82</fb>
    <v>1</v>
  </rv>
  <rv s="0">
    <fb>201.38</fb>
    <v>1</v>
  </rv>
  <rv s="0">
    <fb>128.28</fb>
    <v>1</v>
  </rv>
  <rv s="0">
    <fb>107.23</fb>
    <v>1</v>
  </rv>
  <rv s="0">
    <fb>311.68</fb>
    <v>1</v>
  </rv>
  <rv s="0">
    <fb>24.023</fb>
    <v>1</v>
  </rv>
  <rv s="0">
    <fb>44804</fb>
    <v>0</v>
  </rv>
  <rv s="0">
    <fb>261.47000000000003</fb>
    <v>1</v>
  </rv>
  <rv s="0">
    <fb>17.54</fb>
    <v>1</v>
  </rv>
  <rv s="0">
    <fb>198.71</fb>
    <v>1</v>
  </rv>
  <rv s="0">
    <fb>128.25</fb>
    <v>1</v>
  </rv>
  <rv s="0">
    <fb>108.15</fb>
    <v>1</v>
  </rv>
  <rv s="0">
    <fb>307.83999999999997</fb>
    <v>1</v>
  </rv>
  <rv s="0">
    <fb>23.155999999999999</fb>
    <v>1</v>
  </rv>
  <rv s="0">
    <fb>44805</fb>
    <v>0</v>
  </rv>
  <rv s="0">
    <fb>260.39999999999998</fb>
    <v>1</v>
  </rv>
  <rv s="0">
    <fb>200.13</fb>
    <v>1</v>
  </rv>
  <rv s="0">
    <fb>128.93</fb>
    <v>1</v>
  </rv>
  <rv s="0">
    <fb>106.52</fb>
    <v>1</v>
  </rv>
  <rv s="0">
    <fb>311.04000000000002</fb>
    <v>1</v>
  </rv>
  <rv s="0">
    <fb>22.091999999999999</fb>
    <v>1</v>
  </rv>
  <rv s="0">
    <fb>44806</fb>
    <v>0</v>
  </rv>
  <rv s="0">
    <fb>256.06</fb>
    <v>1</v>
  </rv>
  <rv s="0">
    <fb>197.76</fb>
    <v>1</v>
  </rv>
  <rv s="0">
    <fb>128.01</fb>
    <v>1</v>
  </rv>
  <rv s="0">
    <fb>21.71</fb>
    <v>1</v>
  </rv>
  <rv s="0">
    <fb>104.42</fb>
    <v>1</v>
  </rv>
  <rv s="0">
    <fb>305.44</fb>
    <v>1</v>
  </rv>
  <rv s="0">
    <fb>21.806000000000001</fb>
    <v>1</v>
  </rv>
  <rv s="0">
    <fb>44810</fb>
    <v>0</v>
  </rv>
  <rv s="0">
    <fb>198.64</fb>
    <v>1</v>
  </rv>
  <rv s="0">
    <fb>129.30000000000001</fb>
    <v>1</v>
  </rv>
  <rv s="0">
    <fb>21.98</fb>
    <v>1</v>
  </rv>
  <rv s="0">
    <fb>102.59</fb>
    <v>1</v>
  </rv>
  <rv s="0">
    <fb>308</fb>
    <v>1</v>
  </rv>
  <rv s="0">
    <fb>20.425000000000001</fb>
    <v>1</v>
  </rv>
  <rv s="0">
    <fb>44811</fb>
    <v>0</v>
  </rv>
  <rv s="0">
    <fb>258.08999999999997</fb>
    <v>1</v>
  </rv>
  <rv s="0">
    <fb>200.42</fb>
    <v>1</v>
  </rv>
  <rv s="0">
    <fb>131.43</fb>
    <v>1</v>
  </rv>
  <rv s="0">
    <fb>23.17</fb>
    <v>1</v>
  </rv>
  <rv s="0">
    <fb>105.86</fb>
    <v>1</v>
  </rv>
  <rv s="0">
    <fb>296.8</fb>
    <v>1</v>
  </rv>
  <rv s="0">
    <fb>21.861000000000001</fb>
    <v>1</v>
  </rv>
  <rv s="0">
    <fb>44812</fb>
    <v>0</v>
  </rv>
  <rv s="0">
    <fb>258.52</fb>
    <v>1</v>
  </rv>
  <rv s="0">
    <fb>200.71</fb>
    <v>1</v>
  </rv>
  <rv s="0">
    <fb>135.19</fb>
    <v>1</v>
  </rv>
  <rv s="0">
    <fb>105.18</fb>
    <v>1</v>
  </rv>
  <rv s="0">
    <fb>291.52</fb>
    <v>1</v>
  </rv>
  <rv s="0">
    <fb>44813</fb>
    <v>0</v>
  </rv>
  <rv s="0">
    <fb>264.45999999999998</fb>
    <v>1</v>
  </rv>
  <rv s="0">
    <fb>17.03</fb>
    <v>1</v>
  </rv>
  <rv s="0">
    <fb>205.2</fb>
    <v>1</v>
  </rv>
  <rv s="0">
    <fb>137.63</fb>
    <v>1</v>
  </rv>
  <rv s="0">
    <fb>25.22</fb>
    <v>1</v>
  </rv>
  <rv s="0">
    <fb>110.28</fb>
    <v>1</v>
  </rv>
  <rv s="0">
    <fb>26.196999999999999</fb>
    <v>1</v>
  </rv>
  <rv s="0">
    <fb>44816</fb>
    <v>0</v>
  </rv>
  <rv s="0">
    <fb>266.64999999999998</fb>
    <v>1</v>
  </rv>
  <rv s="0">
    <fb>206.63</fb>
    <v>1</v>
  </rv>
  <rv s="0">
    <fb>139.87</fb>
    <v>1</v>
  </rv>
  <rv s="0">
    <fb>111.34</fb>
    <v>1</v>
  </rv>
  <rv s="0">
    <fb>290.39999999999998</fb>
    <v>1</v>
  </rv>
  <rv s="0">
    <fb>26.297999999999998</fb>
    <v>1</v>
  </rv>
  <rv s="0">
    <fb>44817</fb>
    <v>0</v>
  </rv>
  <rv s="0">
    <fb>251.99</fb>
    <v>1</v>
  </rv>
  <rv s="0">
    <fb>16.829999999999998</fb>
    <v>1</v>
  </rv>
  <rv s="0">
    <fb>199.67</fb>
    <v>1</v>
  </rv>
  <rv s="0">
    <fb>133.54</fb>
    <v>1</v>
  </rv>
  <rv s="0">
    <fb>22.36</fb>
    <v>1</v>
  </rv>
  <rv s="0">
    <fb>101.96</fb>
    <v>1</v>
  </rv>
  <rv s="0">
    <fb>304.16000000000003</fb>
    <v>1</v>
  </rv>
  <rv s="0">
    <fb>23.125</fb>
    <v>1</v>
  </rv>
  <rv s="0">
    <fb>44818</fb>
    <v>0</v>
  </rv>
  <rv s="0">
    <fb>252.22</fb>
    <v>1</v>
  </rv>
  <rv s="0">
    <fb>199.41</fb>
    <v>1</v>
  </rv>
  <rv s="0">
    <fb>133.25</fb>
    <v>1</v>
  </rv>
  <rv s="0">
    <fb>20.43</fb>
    <v>1</v>
  </rv>
  <rv s="0">
    <fb>102.45</fb>
    <v>1</v>
  </rv>
  <rv s="0">
    <fb>22.599</fb>
    <v>1</v>
  </rv>
  <rv s="0">
    <fb>44819</fb>
    <v>0</v>
  </rv>
  <rv s="0">
    <fb>245.38</fb>
    <v>1</v>
  </rv>
  <rv s="0">
    <fb>195.37</fb>
    <v>1</v>
  </rv>
  <rv s="0">
    <fb>103.96</fb>
    <v>1</v>
  </rv>
  <rv s="0">
    <fb>306.39999999999998</fb>
    <v>1</v>
  </rv>
  <rv s="0">
    <fb>21.693999999999999</fb>
    <v>1</v>
  </rv>
  <rv s="0">
    <fb>44820</fb>
    <v>0</v>
  </rv>
  <rv s="0">
    <fb>244.74</fb>
    <v>1</v>
  </rv>
  <rv s="0">
    <fb>16.739999999999998</fb>
    <v>1</v>
  </rv>
  <rv s="0">
    <fb>193.3</fb>
    <v>1</v>
  </rv>
  <rv s="0">
    <fb>129.88999999999999</fb>
    <v>1</v>
  </rv>
  <rv s="0">
    <fb>20.14</fb>
    <v>1</v>
  </rv>
  <rv s="0">
    <fb>100.34</fb>
    <v>1</v>
  </rv>
  <rv s="0">
    <fb>316.95999999999998</fb>
    <v>1</v>
  </rv>
  <rv s="0">
    <fb>20.634</fb>
    <v>1</v>
  </rv>
  <rv s="0">
    <fb>44823</fb>
    <v>0</v>
  </rv>
  <rv s="0">
    <fb>244.52</fb>
    <v>1</v>
  </rv>
  <rv s="0">
    <fb>193.13</fb>
    <v>1</v>
  </rv>
  <rv s="0">
    <fb>130.72</fb>
    <v>1</v>
  </rv>
  <rv s="0">
    <fb>20.49</fb>
    <v>1</v>
  </rv>
  <rv s="0">
    <fb>99.7</fb>
    <v>1</v>
  </rv>
  <rv s="0">
    <fb>287.83999999999997</fb>
    <v>1</v>
  </rv>
  <rv s="0">
    <fb>44824</fb>
    <v>0</v>
  </rv>
  <rv s="0">
    <fb>242.45</fb>
    <v>1</v>
  </rv>
  <rv s="0">
    <fb>16.559999999999999</fb>
    <v>1</v>
  </rv>
  <rv s="0">
    <fb>192.07</fb>
    <v>1</v>
  </rv>
  <rv s="0">
    <fb>128.13999999999999</fb>
    <v>1</v>
  </rv>
  <rv s="0">
    <fb>97.26</fb>
    <v>1</v>
  </rv>
  <rv s="0">
    <fb>294.56</fb>
    <v>1</v>
  </rv>
  <rv s="0">
    <fb>19.66</fb>
    <v>1</v>
  </rv>
  <rv s="0">
    <fb>44825</fb>
    <v>0</v>
  </rv>
  <rv s="0">
    <fb>238.95</fb>
    <v>1</v>
  </rv>
  <rv s="0">
    <fb>16.25</fb>
    <v>1</v>
  </rv>
  <rv s="0">
    <fb>187.02</fb>
    <v>1</v>
  </rv>
  <rv s="0">
    <fb>126.48</fb>
    <v>1</v>
  </rv>
  <rv s="0">
    <fb>19.850000000000001</fb>
    <v>1</v>
  </rv>
  <rv s="0">
    <fb>95.39</fb>
    <v>1</v>
  </rv>
  <rv s="0">
    <fb>301.76</fb>
    <v>1</v>
  </rv>
  <rv s="0">
    <fb>19.591999999999999</fb>
    <v>1</v>
  </rv>
  <rv s="0">
    <fb>44826</fb>
    <v>0</v>
  </rv>
  <rv s="0">
    <fb>240.98</fb>
    <v>1</v>
  </rv>
  <rv s="0">
    <fb>16.239999999999998</fb>
    <v>1</v>
  </rv>
  <rv s="0">
    <fb>185.79</fb>
    <v>1</v>
  </rv>
  <rv s="0">
    <fb>124.39</fb>
    <v>1</v>
  </rv>
  <rv s="0">
    <fb>19.68</fb>
    <v>1</v>
  </rv>
  <rv s="0">
    <fb>92.45</fb>
    <v>1</v>
  </rv>
  <rv s="0">
    <fb>302.56</fb>
    <v>1</v>
  </rv>
  <rv s="0">
    <fb>19.231999999999999</fb>
    <v>1</v>
  </rv>
  <rv s="0">
    <fb>44827</fb>
    <v>0</v>
  </rv>
  <rv s="0">
    <fb>16.010000000000002</fb>
    <v>1</v>
  </rv>
  <rv s="0">
    <fb>183.96</fb>
    <v>1</v>
  </rv>
  <rv s="0">
    <fb>123.48</fb>
    <v>1</v>
  </rv>
  <rv s="0">
    <fb>89.34</fb>
    <v>1</v>
  </rv>
  <rv s="0">
    <fb>19.145</fb>
    <v>1</v>
  </rv>
  <rv s="0">
    <fb>44830</fb>
    <v>0</v>
  </rv>
  <rv s="0">
    <fb>237.45</fb>
    <v>1</v>
  </rv>
  <rv s="0">
    <fb>15.67</fb>
    <v>1</v>
  </rv>
  <rv s="0">
    <fb>180.59</fb>
    <v>1</v>
  </rv>
  <rv s="0">
    <fb>122.31</fb>
    <v>1</v>
  </rv>
  <rv s="0">
    <fb>89.14</fb>
    <v>1</v>
  </rv>
  <rv s="0">
    <fb>328.96</fb>
    <v>1</v>
  </rv>
  <rv s="0">
    <fb>20.018000000000001</fb>
    <v>1</v>
  </rv>
  <rv s="0">
    <fb>44831</fb>
    <v>0</v>
  </rv>
  <rv s="0">
    <fb>236.41</fb>
    <v>1</v>
  </rv>
  <rv s="0">
    <fb>15.73</fb>
    <v>1</v>
  </rv>
  <rv s="0">
    <fb>177.87</fb>
    <v>1</v>
  </rv>
  <rv s="0">
    <fb>121.61</fb>
    <v>1</v>
  </rv>
  <rv s="0">
    <fb>18.64</fb>
    <v>1</v>
  </rv>
  <rv s="0">
    <fb>89.5</fb>
    <v>1</v>
  </rv>
  <rv s="0">
    <fb>335.2</fb>
    <v>1</v>
  </rv>
  <rv s="0">
    <fb>20.606999999999999</fb>
    <v>1</v>
  </rv>
  <rv s="0">
    <fb>44832</fb>
    <v>0</v>
  </rv>
  <rv s="0">
    <fb>241.07</fb>
    <v>1</v>
  </rv>
  <rv s="0">
    <fb>15.83</fb>
    <v>1</v>
  </rv>
  <rv s="0">
    <fb>179.18</fb>
    <v>1</v>
  </rv>
  <rv s="0">
    <fb>123.72</fb>
    <v>1</v>
  </rv>
  <rv s="0">
    <fb>92.88</fb>
    <v>1</v>
  </rv>
  <rv s="0">
    <fb>321.12</fb>
    <v>1</v>
  </rv>
  <rv s="0">
    <fb>22.047000000000001</fb>
    <v>1</v>
  </rv>
  <rv s="0">
    <fb>44833</fb>
    <v>0</v>
  </rv>
  <rv s="0">
    <fb>237.5</fb>
    <v>1</v>
  </rv>
  <rv s="0">
    <fb>15.53</fb>
    <v>1</v>
  </rv>
  <rv s="0">
    <fb>180.06</fb>
    <v>1</v>
  </rv>
  <rv s="0">
    <fb>122.74</fb>
    <v>1</v>
  </rv>
  <rv s="0">
    <fb>86.84</fb>
    <v>1</v>
  </rv>
  <rv s="0">
    <fb>329.92</fb>
    <v>1</v>
  </rv>
  <rv s="0">
    <fb>21.181999999999999</fb>
    <v>1</v>
  </rv>
  <rv s="0">
    <fb>44834</fb>
    <v>0</v>
  </rv>
  <rv s="0">
    <fb>15.34</fb>
    <v>1</v>
  </rv>
  <rv s="0">
    <fb>177.65</fb>
    <v>1</v>
  </rv>
  <rv s="0">
    <fb>121.55</fb>
    <v>1</v>
  </rv>
  <rv s="0">
    <fb>18.12</fb>
    <v>1</v>
  </rv>
  <rv s="0">
    <fb>86.3</fb>
    <v>1</v>
  </rv>
  <rv s="0">
    <fb>21.225999999999999</fb>
    <v>1</v>
  </rv>
  <rv s="0">
    <fb>44837</fb>
    <v>0</v>
  </rv>
  <rv s="0">
    <fb>240.74</fb>
    <v>1</v>
  </rv>
  <rv s="0">
    <fb>15.9</fb>
    <v>1</v>
  </rv>
  <rv s="0">
    <fb>181.65</fb>
    <v>1</v>
  </rv>
  <rv s="0">
    <fb>126.38</fb>
    <v>1</v>
  </rv>
  <rv s="0">
    <fb>19.39</fb>
    <v>1</v>
  </rv>
  <rv s="0">
    <fb>89</fb>
    <v>1</v>
  </rv>
  <rv s="0">
    <fb>22.452000000000002</fb>
    <v>1</v>
  </rv>
  <rv s="0">
    <fb>44838</fb>
    <v>0</v>
  </rv>
  <rv s="0">
    <fb>248.88</fb>
    <v>1</v>
  </rv>
  <rv s="0">
    <fb>16.09</fb>
    <v>1</v>
  </rv>
  <rv s="0">
    <fb>185.65</fb>
    <v>1</v>
  </rv>
  <rv s="0">
    <fb>131.41</fb>
    <v>1</v>
  </rv>
  <rv s="0">
    <fb>94.63</fb>
    <v>1</v>
  </rv>
  <rv s="0">
    <fb>310.24</fb>
    <v>1</v>
  </rv>
  <rv s="0">
    <fb>24.873999999999999</fb>
    <v>1</v>
  </rv>
  <rv s="0">
    <fb>44839</fb>
    <v>0</v>
  </rv>
  <rv s="0">
    <fb>249.2</fb>
    <v>1</v>
  </rv>
  <rv s="0">
    <fb>15.93</fb>
    <v>1</v>
  </rv>
  <rv s="0">
    <fb>187.67</fb>
    <v>1</v>
  </rv>
  <rv s="0">
    <fb>20.190000000000001</fb>
    <v>1</v>
  </rv>
  <rv s="0">
    <fb>91.4</fb>
    <v>1</v>
  </rv>
  <rv s="0">
    <fb>312.32</fb>
    <v>1</v>
  </rv>
  <rv s="0">
    <fb>24.219000000000001</fb>
    <v>1</v>
  </rv>
  <rv s="0">
    <fb>44840</fb>
    <v>0</v>
  </rv>
  <rv s="0">
    <fb>246.79</fb>
    <v>1</v>
  </rv>
  <rv s="0">
    <fb>15.32</fb>
    <v>1</v>
  </rv>
  <rv s="0">
    <fb>185.59</fb>
    <v>1</v>
  </rv>
  <rv s="0">
    <fb>132.18</fb>
    <v>1</v>
  </rv>
  <rv s="0">
    <fb>19.62</fb>
    <v>1</v>
  </rv>
  <rv s="0">
    <fb>92.25</fb>
    <v>1</v>
  </rv>
  <rv s="0">
    <fb>321.44</fb>
    <v>1</v>
  </rv>
  <rv s="0">
    <fb>24.167000000000002</fb>
    <v>1</v>
  </rv>
  <rv s="0">
    <fb>44841</fb>
    <v>0</v>
  </rv>
  <rv s="0">
    <fb>14.94</fb>
    <v>1</v>
  </rv>
  <rv s="0">
    <fb>183.83</fb>
    <v>1</v>
  </rv>
  <rv s="0">
    <fb>127.44</fb>
    <v>1</v>
  </rv>
  <rv s="0">
    <fb>18.809999999999999</fb>
    <v>1</v>
  </rv>
  <rv s="0">
    <fb>88.01</fb>
    <v>1</v>
  </rv>
  <rv s="0">
    <fb>334.56</fb>
    <v>1</v>
  </rv>
  <rv s="0">
    <fb>22.03</fb>
    <v>1</v>
  </rv>
  <rv s="0">
    <fb>44844</fb>
    <v>0</v>
  </rv>
  <rv s="0">
    <fb>229.25</fb>
    <v>1</v>
  </rv>
  <rv s="0">
    <fb>14.9</fb>
    <v>1</v>
  </rv>
  <rv s="0">
    <fb>182.18</fb>
    <v>1</v>
  </rv>
  <rv s="0">
    <fb>125.95</fb>
    <v>1</v>
  </rv>
  <rv s="0">
    <fb>19.32</fb>
    <v>1</v>
  </rv>
  <rv s="0">
    <fb>85.97</fb>
    <v>1</v>
  </rv>
  <rv s="0">
    <fb>342.88</fb>
    <v>1</v>
  </rv>
  <rv s="0">
    <fb>22.065000000000001</fb>
    <v>1</v>
  </rv>
  <rv s="0">
    <fb>44845</fb>
    <v>0</v>
  </rv>
  <rv s="0">
    <fb>225.41</fb>
    <v>1</v>
  </rv>
  <rv s="0">
    <fb>14.81</fb>
    <v>1</v>
  </rv>
  <rv s="0">
    <fb>179.14</fb>
    <v>1</v>
  </rv>
  <rv s="0">
    <fb>82.13</fb>
    <v>1</v>
  </rv>
  <rv s="0">
    <fb>348.16</fb>
    <v>1</v>
  </rv>
  <rv s="0">
    <fb>21.637</fb>
    <v>1</v>
  </rv>
  <rv s="0">
    <fb>44846</fb>
    <v>0</v>
  </rv>
  <rv s="0">
    <fb>225.75</fb>
    <v>1</v>
  </rv>
  <rv s="0">
    <fb>14.63</fb>
    <v>1</v>
  </rv>
  <rv s="0">
    <fb>178.24</fb>
    <v>1</v>
  </rv>
  <rv s="0">
    <fb>125.69</fb>
    <v>1</v>
  </rv>
  <rv s="0">
    <fb>83.18</fb>
    <v>1</v>
  </rv>
  <rv s="0">
    <fb>21.838000000000001</fb>
    <v>1</v>
  </rv>
  <rv s="0">
    <fb>44847</fb>
    <v>0</v>
  </rv>
  <rv s="0">
    <fb>15.12</fb>
    <v>1</v>
  </rv>
  <rv s="0">
    <fb>184.66</fb>
    <v>1</v>
  </rv>
  <rv s="0">
    <fb>127.9</fb>
    <v>1</v>
  </rv>
  <rv s="0">
    <fb>82.65</fb>
    <v>1</v>
  </rv>
  <rv s="0">
    <fb>335.68</fb>
    <v>1</v>
  </rv>
  <rv s="0">
    <fb>22.053999999999998</fb>
    <v>1</v>
  </rv>
  <rv s="0">
    <fb>44848</fb>
    <v>0</v>
  </rv>
  <rv s="0">
    <fb>228.56</fb>
    <v>1</v>
  </rv>
  <rv s="0">
    <fb>14.99</fb>
    <v>1</v>
  </rv>
  <rv s="0">
    <fb>182.62</fb>
    <v>1</v>
  </rv>
  <rv s="0">
    <fb>125.7</fb>
    <v>1</v>
  </rv>
  <rv s="0">
    <fb>81.790000000000006</fb>
    <v>1</v>
  </rv>
  <rv s="0">
    <fb>343.2</fb>
    <v>1</v>
  </rv>
  <rv s="0">
    <fb>20.931000000000001</fb>
    <v>1</v>
  </rv>
  <rv s="0">
    <fb>44851</fb>
    <v>0</v>
  </rv>
  <rv s="0">
    <fb>237.53</fb>
    <v>1</v>
  </rv>
  <rv s="0">
    <fb>15.31</fb>
    <v>1</v>
  </rv>
  <rv s="0">
    <fb>185.25</fb>
    <v>1</v>
  </rv>
  <rv s="0">
    <fb>130.56</fb>
    <v>1</v>
  </rv>
  <rv s="0">
    <fb>19.649999999999999</fb>
    <v>1</v>
  </rv>
  <rv s="0">
    <fb>86.72</fb>
    <v>1</v>
  </rv>
  <rv s="0">
    <fb>333.44</fb>
    <v>1</v>
  </rv>
  <rv s="0">
    <fb>22.113</fb>
    <v>1</v>
  </rv>
  <rv s="0">
    <fb>44852</fb>
    <v>0</v>
  </rv>
  <rv s="0">
    <fb>15.6</fb>
    <v>1</v>
  </rv>
  <rv s="0">
    <fb>187.17</fb>
    <v>1</v>
  </rv>
  <rv s="0">
    <fb>20.07</fb>
    <v>1</v>
  </rv>
  <rv s="0">
    <fb>88.04</fb>
    <v>1</v>
  </rv>
  <rv s="0">
    <fb>327.04000000000002</fb>
    <v>1</v>
  </rv>
  <rv s="0">
    <fb>23.5</fb>
    <v>1</v>
  </rv>
  <rv s="0">
    <fb>44853</fb>
    <v>0</v>
  </rv>
  <rv s="0">
    <fb>15.54</fb>
    <v>1</v>
  </rv>
  <rv s="0">
    <fb>186.41</fb>
    <v>1</v>
  </rv>
  <rv s="0">
    <fb>128.96</fb>
    <v>1</v>
  </rv>
  <rv s="0">
    <fb>88.75</fb>
    <v>1</v>
  </rv>
  <rv s="0">
    <fb>329.6</fb>
    <v>1</v>
  </rv>
  <rv s="0">
    <fb>22.608000000000001</fb>
    <v>1</v>
  </rv>
  <rv s="0">
    <fb>44854</fb>
    <v>0</v>
  </rv>
  <rv s="0">
    <fb>236.15</fb>
    <v>1</v>
  </rv>
  <rv s="0">
    <fb>187.22</fb>
    <v>1</v>
  </rv>
  <rv s="0">
    <fb>125.94</fb>
    <v>1</v>
  </rv>
  <rv s="0">
    <fb>20.04</fb>
    <v>1</v>
  </rv>
  <rv s="0">
    <fb>87.74</fb>
    <v>1</v>
  </rv>
  <rv s="0">
    <fb>325.27999999999997</fb>
    <v>1</v>
  </rv>
  <rv s="0">
    <fb>22.100999999999999</fb>
    <v>1</v>
  </rv>
  <rv s="0">
    <fb>44855</fb>
    <v>0</v>
  </rv>
  <rv s="0">
    <fb>242.12</fb>
    <v>1</v>
  </rv>
  <rv s="0">
    <fb>17.100000000000001</fb>
    <v>1</v>
  </rv>
  <rv s="0">
    <fb>190.37</fb>
    <v>1</v>
  </rv>
  <rv s="0">
    <fb>129.88</fb>
    <v>1</v>
  </rv>
  <rv s="0">
    <fb>21.65</fb>
    <v>1</v>
  </rv>
  <rv s="0">
    <fb>88.7</fb>
    <v>1</v>
  </rv>
  <rv s="0">
    <fb>324</fb>
    <v>1</v>
  </rv>
  <rv s="0">
    <fb>23.262</fb>
    <v>1</v>
  </rv>
  <rv s="0">
    <fb>44858</fb>
    <v>0</v>
  </rv>
  <rv s="0">
    <fb>247.25</fb>
    <v>1</v>
  </rv>
  <rv s="0">
    <fb>17.510000000000002</fb>
    <v>1</v>
  </rv>
  <rv s="0">
    <fb>190.71</fb>
    <v>1</v>
  </rv>
  <rv s="0">
    <fb>21.44</fb>
    <v>1</v>
  </rv>
  <rv s="0">
    <fb>94.66</fb>
    <v>1</v>
  </rv>
  <rv s="0">
    <fb>319.04000000000002</fb>
    <v>1</v>
  </rv>
  <rv s="0">
    <fb>23.76</fb>
    <v>1</v>
  </rv>
  <rv s="0">
    <fb>44859</fb>
    <v>0</v>
  </rv>
  <rv s="0">
    <fb>250.66</fb>
    <v>1</v>
  </rv>
  <rv s="0">
    <fb>17.690000000000001</fb>
    <v>1</v>
  </rv>
  <rv s="0">
    <fb>194.38</fb>
    <v>1</v>
  </rv>
  <rv s="0">
    <fb>134.5</fb>
    <v>1</v>
  </rv>
  <rv s="0">
    <fb>21.43</fb>
    <v>1</v>
  </rv>
  <rv s="0">
    <fb>97.05</fb>
    <v>1</v>
  </rv>
  <rv s="0">
    <fb>306.72000000000003</fb>
    <v>1</v>
  </rv>
  <rv s="0">
    <fb>26.869</fb>
    <v>1</v>
  </rv>
  <rv s="0">
    <fb>44860</fb>
    <v>0</v>
  </rv>
  <rv s="0">
    <fb>137.69</fb>
    <v>1</v>
  </rv>
  <rv s="0">
    <fb>21.95</fb>
    <v>1</v>
  </rv>
  <rv s="0">
    <fb>84.42</fb>
    <v>1</v>
  </rv>
  <rv s="0">
    <fb>299.68</fb>
    <v>1</v>
  </rv>
  <rv s="0">
    <fb>27.271999999999998</fb>
    <v>1</v>
  </rv>
  <rv s="0">
    <fb>44861</fb>
    <v>0</v>
  </rv>
  <rv s="0">
    <fb>226.75</fb>
    <v>1</v>
  </rv>
  <rv s="0">
    <fb>18.03</fb>
    <v>1</v>
  </rv>
  <rv s="0">
    <fb>204.29</fb>
    <v>1</v>
  </rv>
  <rv s="0">
    <fb>136.49</fb>
    <v>1</v>
  </rv>
  <rv s="0">
    <fb>21.41</fb>
    <v>1</v>
  </rv>
  <rv s="0">
    <fb>81.739999999999995</fb>
    <v>1</v>
  </rv>
  <rv s="0">
    <fb>293.76</fb>
    <v>1</v>
  </rv>
  <rv s="0">
    <fb>27.056000000000001</fb>
    <v>1</v>
  </rv>
  <rv s="0">
    <fb>44862</fb>
    <v>0</v>
  </rv>
  <rv s="0">
    <fb>235.87</fb>
    <v>1</v>
  </rv>
  <rv s="0">
    <fb>209.34</fb>
    <v>1</v>
  </rv>
  <rv s="0">
    <fb>138.77000000000001</fb>
    <v>1</v>
  </rv>
  <rv s="0">
    <fb>20.51</fb>
    <v>1</v>
  </rv>
  <rv s="0">
    <fb>83.36</fb>
    <v>1</v>
  </rv>
  <rv s="0">
    <fb>286.88</fb>
    <v>1</v>
  </rv>
  <rv s="0">
    <fb>27.998999999999999</fb>
    <v>1</v>
  </rv>
  <rv s="0">
    <fb>44865</fb>
    <v>0</v>
  </rv>
  <rv s="0">
    <fb>232.13</fb>
    <v>1</v>
  </rv>
  <rv s="0">
    <fb>207.16</fb>
    <v>1</v>
  </rv>
  <rv s="0">
    <fb>138.35</fb>
    <v>1</v>
  </rv>
  <rv s="0">
    <fb>80.58</fb>
    <v>1</v>
  </rv>
  <rv s="0">
    <fb>282.56</fb>
    <v>1</v>
  </rv>
  <rv s="0">
    <fb>26.751000000000001</fb>
    <v>1</v>
  </rv>
  <rv s="0">
    <fb>44866</fb>
    <v>0</v>
  </rv>
  <rv s="0">
    <fb>228.17</fb>
    <v>1</v>
  </rv>
  <rv s="0">
    <fb>206.93</fb>
    <v>1</v>
  </rv>
  <rv s="0">
    <fb>140.88999999999999</fb>
    <v>1</v>
  </rv>
  <rv s="0">
    <fb>80.17</fb>
    <v>1</v>
  </rv>
  <rv s="0">
    <fb>279.83999999999997</fb>
    <v>1</v>
  </rv>
  <rv s="0">
    <fb>44867</fb>
    <v>0</v>
  </rv>
  <rv s="0">
    <fb>220.1</fb>
    <v>1</v>
  </rv>
  <rv s="0">
    <fb>200.95</fb>
    <v>1</v>
  </rv>
  <rv s="0">
    <fb>135.27000000000001</fb>
    <v>1</v>
  </rv>
  <rv s="0">
    <fb>75</fb>
    <v>1</v>
  </rv>
  <rv s="0">
    <fb>287.04000000000002</fb>
    <v>1</v>
  </rv>
  <rv s="0">
    <fb>24.823</fb>
    <v>1</v>
  </rv>
  <rv s="0">
    <fb>44868</fb>
    <v>0</v>
  </rv>
  <rv s="0">
    <fb>214.25</fb>
    <v>1</v>
  </rv>
  <rv s="0">
    <fb>18.170000000000002</fb>
    <v>1</v>
  </rv>
  <rv s="0">
    <fb>194.75</fb>
    <v>1</v>
  </rv>
  <rv s="0">
    <fb>134.46</fb>
    <v>1</v>
  </rv>
  <rv s="0">
    <fb>71.72</fb>
    <v>1</v>
  </rv>
  <rv s="0">
    <fb>281.12</fb>
    <v>1</v>
  </rv>
  <rv s="0">
    <fb>24.844000000000001</fb>
    <v>1</v>
  </rv>
  <rv s="0">
    <fb>44869</fb>
    <v>0</v>
  </rv>
  <rv s="0">
    <fb>221.39</fb>
    <v>1</v>
  </rv>
  <rv s="0">
    <fb>18.32</fb>
    <v>1</v>
  </rv>
  <rv s="0">
    <fb>196.98</fb>
    <v>1</v>
  </rv>
  <rv s="0">
    <fb>136.08000000000001</fb>
    <v>1</v>
  </rv>
  <rv s="0">
    <fb>71.05</fb>
    <v>1</v>
  </rv>
  <rv s="0">
    <fb>277.60000000000002</fb>
    <v>1</v>
  </rv>
  <rv s="0">
    <fb>27.71</fb>
    <v>1</v>
  </rv>
  <rv s="0">
    <fb>44872</fb>
    <v>0</v>
  </rv>
  <rv s="0">
    <fb>227.87</fb>
    <v>1</v>
  </rv>
  <rv s="0">
    <fb>200.1</fb>
    <v>1</v>
  </rv>
  <rv s="0">
    <fb>138.03</fb>
    <v>1</v>
  </rv>
  <rv s="0">
    <fb>21.25</fb>
    <v>1</v>
  </rv>
  <rv s="0">
    <fb>73.44</fb>
    <v>1</v>
  </rv>
  <rv s="0">
    <fb>274.56</fb>
    <v>1</v>
  </rv>
  <rv s="0">
    <fb>26.664000000000001</fb>
    <v>1</v>
  </rv>
  <rv s="0">
    <fb>44873</fb>
    <v>0</v>
  </rv>
  <rv s="0">
    <fb>228.87</fb>
    <v>1</v>
  </rv>
  <rv s="0">
    <fb>201.78</fb>
    <v>1</v>
  </rv>
  <rv s="0">
    <fb>22.13</fb>
    <v>1</v>
  </rv>
  <rv s="0">
    <fb>73.27</fb>
    <v>1</v>
  </rv>
  <rv s="0">
    <fb>21.184000000000001</fb>
    <v>1</v>
  </rv>
  <rv s="0">
    <fb>44874</fb>
    <v>0</v>
  </rv>
  <rv s="0">
    <fb>224.51</fb>
    <v>1</v>
  </rv>
  <rv s="0">
    <fb>193.93</fb>
    <v>1</v>
  </rv>
  <rv s="0">
    <fb>137</fb>
    <v>1</v>
  </rv>
  <rv s="0">
    <fb>71.400000000000006</fb>
    <v>1</v>
  </rv>
  <rv s="0">
    <fb>291.36</fb>
    <v>1</v>
  </rv>
  <rv s="0">
    <fb>17.036000000000001</fb>
    <v>1</v>
  </rv>
  <rv s="0">
    <fb>44875</fb>
    <v>0</v>
  </rv>
  <rv s="0">
    <fb>242.98</fb>
    <v>1</v>
  </rv>
  <rv s="0">
    <fb>18.84</fb>
    <v>1</v>
  </rv>
  <rv s="0">
    <fb>205.57</fb>
    <v>1</v>
  </rv>
  <rv s="0">
    <fb>146.30000000000001</fb>
    <v>1</v>
  </rv>
  <rv s="0">
    <fb>78.44</fb>
    <v>1</v>
  </rv>
  <rv s="0">
    <fb>275.36</fb>
    <v>1</v>
  </rv>
  <rv s="0">
    <fb>44876</fb>
    <v>0</v>
  </rv>
  <rv s="0">
    <fb>19.05</fb>
    <v>1</v>
  </rv>
  <rv s="0">
    <fb>205</fb>
    <v>1</v>
  </rv>
  <rv s="0">
    <fb>148.31</fb>
    <v>1</v>
  </rv>
  <rv s="0">
    <fb>23.87</fb>
    <v>1</v>
  </rv>
  <rv s="0">
    <fb>83.71</fb>
    <v>1</v>
  </rv>
  <rv s="0">
    <fb>271.68</fb>
    <v>1</v>
  </rv>
  <rv s="0">
    <fb>17.518000000000001</fb>
    <v>1</v>
  </rv>
  <rv s="0">
    <fb>44879</fb>
    <v>0</v>
  </rv>
  <rv s="0">
    <fb>241.55</fb>
    <v>1</v>
  </rv>
  <rv s="0">
    <fb>19.059999999999999</fb>
    <v>1</v>
  </rv>
  <rv s="0">
    <fb>206.86</fb>
    <v>1</v>
  </rv>
  <rv s="0">
    <fb>146.38</fb>
    <v>1</v>
  </rv>
  <rv s="0">
    <fb>24.19</fb>
    <v>1</v>
  </rv>
  <rv s="0">
    <fb>82.5</fb>
    <v>1</v>
  </rv>
  <rv s="0">
    <fb>16.59</fb>
    <v>1</v>
  </rv>
  <rv s="0">
    <fb>44880</fb>
    <v>0</v>
  </rv>
  <rv s="0">
    <fb>241.97</fb>
    <v>1</v>
  </rv>
  <rv s="0">
    <fb>19.02</fb>
    <v>1</v>
  </rv>
  <rv s="0">
    <fb>209.99</fb>
    <v>1</v>
  </rv>
  <rv s="0">
    <fb>148</fb>
    <v>1</v>
  </rv>
  <rv s="0">
    <fb>85.11</fb>
    <v>1</v>
  </rv>
  <rv s="0">
    <fb>275.2</fb>
    <v>1</v>
  </rv>
  <rv s="0">
    <fb>17.152999999999999</fb>
    <v>1</v>
  </rv>
  <rv s="0">
    <fb>44881</fb>
    <v>0</v>
  </rv>
  <rv s="0">
    <fb>18.93</fb>
    <v>1</v>
  </rv>
  <rv s="0">
    <fb>210.14</fb>
    <v>1</v>
  </rv>
  <rv s="0">
    <fb>147.12</fb>
    <v>1</v>
  </rv>
  <rv s="0">
    <fb>267.83999999999997</fb>
    <v>1</v>
  </rv>
  <rv s="0">
    <fb>16.943999999999999</fb>
    <v>1</v>
  </rv>
  <rv s="0">
    <fb>44882</fb>
    <v>0</v>
  </rv>
  <rv s="0">
    <fb>241.68</fb>
    <v>1</v>
  </rv>
  <rv s="0">
    <fb>18.95</fb>
    <v>1</v>
  </rv>
  <rv s="0">
    <fb>210.99</fb>
    <v>1</v>
  </rv>
  <rv s="0">
    <fb>23.73</fb>
    <v>1</v>
  </rv>
  <rv s="0">
    <fb>79.45</fb>
    <v>1</v>
  </rv>
  <rv s="0">
    <fb>265.27999999999997</fb>
    <v>1</v>
  </rv>
  <rv s="0">
    <fb>17.388000000000002</fb>
    <v>1</v>
  </rv>
  <rv s="0">
    <fb>44883</fb>
    <v>0</v>
  </rv>
  <rv s="0">
    <fb>241.22</fb>
    <v>1</v>
  </rv>
  <rv s="0">
    <fb>18.97</fb>
    <v>1</v>
  </rv>
  <rv s="0">
    <fb>210.8</fb>
    <v>1</v>
  </rv>
  <rv s="0">
    <fb>146.19</fb>
    <v>1</v>
  </rv>
  <rv s="0">
    <fb>23.57</fb>
    <v>1</v>
  </rv>
  <rv s="0">
    <fb>76.989999999999995</fb>
    <v>1</v>
  </rv>
  <rv s="0">
    <fb>262.56</fb>
    <v>1</v>
  </rv>
  <rv s="0">
    <fb>17.012</fb>
    <v>1</v>
  </rv>
  <rv s="0">
    <fb>44886</fb>
    <v>0</v>
  </rv>
  <rv s="0">
    <fb>242.05</fb>
    <v>1</v>
  </rv>
  <rv s="0">
    <fb>206.32</fb>
    <v>1</v>
  </rv>
  <rv s="0">
    <fb>145.13999999999999</fb>
    <v>1</v>
  </rv>
  <rv s="0">
    <fb>24.46</fb>
    <v>1</v>
  </rv>
  <rv s="0">
    <fb>74.12</fb>
    <v>1</v>
  </rv>
  <rv s="0">
    <fb>255.52</fb>
    <v>1</v>
  </rv>
  <rv s="0">
    <fb>15.722</fb>
    <v>1</v>
  </rv>
  <rv s="0">
    <fb>44887</fb>
    <v>0</v>
  </rv>
  <rv s="0">
    <fb>245.03</fb>
    <v>1</v>
  </rv>
  <rv s="0">
    <fb>210.33</fb>
    <v>1</v>
  </rv>
  <rv s="0">
    <fb>156.86000000000001</fb>
    <v>1</v>
  </rv>
  <rv s="0">
    <fb>25.85</fb>
    <v>1</v>
  </rv>
  <rv s="0">
    <fb>75.25</fb>
    <v>1</v>
  </rv>
  <rv s="0">
    <fb>246.72</fb>
    <v>1</v>
  </rv>
  <rv s="0">
    <fb>16.707999999999998</fb>
    <v>1</v>
  </rv>
  <rv s="0">
    <fb>44888</fb>
    <v>0</v>
  </rv>
  <rv s="0">
    <fb>247.58</fb>
    <v>1</v>
  </rv>
  <rv s="0">
    <fb>19.09</fb>
    <v>1</v>
  </rv>
  <rv s="0">
    <fb>155.35</fb>
    <v>1</v>
  </rv>
  <rv s="0">
    <fb>26.01</fb>
    <v>1</v>
  </rv>
  <rv s="0">
    <fb>78.260000000000005</fb>
    <v>1</v>
  </rv>
  <rv s="0">
    <fb>241.28</fb>
    <v>1</v>
  </rv>
  <rv s="0">
    <fb>17.638999999999999</fb>
    <v>1</v>
  </rv>
  <rv s="0">
    <fb>44890</fb>
    <v>0</v>
  </rv>
  <rv s="0">
    <fb>247.49</fb>
    <v>1</v>
  </rv>
  <rv s="0">
    <fb>213.79</fb>
    <v>1</v>
  </rv>
  <rv s="0">
    <fb>156.96</fb>
    <v>1</v>
  </rv>
  <rv s="0">
    <fb>78.73</fb>
    <v>1</v>
  </rv>
  <rv s="0">
    <fb>242.56</fb>
    <v>1</v>
  </rv>
  <rv s="0">
    <fb>44893</fb>
    <v>0</v>
  </rv>
  <rv s="0">
    <fb>241.76</fb>
    <v>1</v>
  </rv>
  <rv s="0">
    <fb>18.82</fb>
    <v>1</v>
  </rv>
  <rv s="0">
    <fb>211.26</fb>
    <v>1</v>
  </rv>
  <rv s="0">
    <fb>152.30000000000001</fb>
    <v>1</v>
  </rv>
  <rv s="0">
    <fb>25.48</fb>
    <v>1</v>
  </rv>
  <rv s="0">
    <fb>76.73</fb>
    <v>1</v>
  </rv>
  <rv s="0">
    <fb>251.52</fb>
    <v>1</v>
  </rv>
  <rv s="0">
    <fb>17.667000000000002</fb>
    <v>1</v>
  </rv>
  <rv s="0">
    <fb>44894</fb>
    <v>0</v>
  </rv>
  <rv s="0">
    <fb>240.33</fb>
    <v>1</v>
  </rv>
  <rv s="0">
    <fb>209.06</fb>
    <v>1</v>
  </rv>
  <rv s="0">
    <fb>150.94</fb>
    <v>1</v>
  </rv>
  <rv s="0">
    <fb>25.75</fb>
    <v>1</v>
  </rv>
  <rv s="0">
    <fb>75.099999999999994</fb>
    <v>1</v>
  </rv>
  <rv s="0">
    <fb>247.84</fb>
    <v>1</v>
  </rv>
  <rv s="0">
    <fb>44895</fb>
    <v>0</v>
  </rv>
  <rv s="0">
    <fb>255.14</fb>
    <v>1</v>
  </rv>
  <rv s="0">
    <fb>217</fb>
    <v>1</v>
  </rv>
  <rv s="0">
    <fb>154.97999999999999</fb>
    <v>1</v>
  </rv>
  <rv s="0">
    <fb>26.29</fb>
    <v>1</v>
  </rv>
  <rv s="0">
    <fb>79.42</fb>
    <v>1</v>
  </rv>
  <rv s="0">
    <fb>238.72</fb>
    <v>1</v>
  </rv>
  <rv s="0">
    <fb>19.809000000000001</fb>
    <v>1</v>
  </rv>
  <rv s="0">
    <fb>44896</fb>
    <v>0</v>
  </rv>
  <rv s="0">
    <fb>254.69</fb>
    <v>1</v>
  </rv>
  <rv s="0">
    <fb>19.190000000000001</fb>
    <v>1</v>
  </rv>
  <rv s="0">
    <fb>156.12</fb>
    <v>1</v>
  </rv>
  <rv s="0">
    <fb>26.52</fb>
    <v>1</v>
  </rv>
  <rv s="0">
    <fb>19.898</fb>
    <v>1</v>
  </rv>
  <rv s="0">
    <fb>44897</fb>
    <v>0</v>
  </rv>
  <rv s="0">
    <fb>255.02</fb>
    <v>1</v>
  </rv>
  <rv s="0">
    <fb>217.66</fb>
    <v>1</v>
  </rv>
  <rv s="0">
    <fb>155.66999999999999</fb>
    <v>1</v>
  </rv>
  <rv s="0">
    <fb>27.04</fb>
    <v>1</v>
  </rv>
  <rv s="0">
    <fb>80.31</fb>
    <v>1</v>
  </rv>
  <rv s="0">
    <fb>230.08</fb>
    <v>1</v>
  </rv>
  <rv s="0">
    <fb>20.693999999999999</fb>
    <v>1</v>
  </rv>
  <rv s="0">
    <fb>44900</fb>
    <v>0</v>
  </rv>
  <rv s="0">
    <fb>250.2</fb>
    <v>1</v>
  </rv>
  <rv s="0">
    <fb>213.68</fb>
    <v>1</v>
  </rv>
  <rv s="0">
    <fb>152.69999999999999</fb>
    <v>1</v>
  </rv>
  <rv s="0">
    <fb>26.27</fb>
    <v>1</v>
  </rv>
  <rv s="0">
    <fb>78.31</fb>
    <v>1</v>
  </rv>
  <rv s="0">
    <fb>19.567</fb>
    <v>1</v>
  </rv>
  <rv s="0">
    <fb>44901</fb>
    <v>0</v>
  </rv>
  <rv s="0">
    <fb>245.12</fb>
    <v>1</v>
  </rv>
  <rv s="0">
    <fb>19.170000000000002</fb>
    <v>1</v>
  </rv>
  <rv s="0">
    <fb>209.08</fb>
    <v>1</v>
  </rv>
  <rv s="0">
    <fb>151.35</fb>
    <v>1</v>
  </rv>
  <rv s="0">
    <fb>27.2</fb>
    <v>1</v>
  </rv>
  <rv s="0">
    <fb>75.16</fb>
    <v>1</v>
  </rv>
  <rv s="0">
    <fb>241.12</fb>
    <v>1</v>
  </rv>
  <rv s="0">
    <fb>19.552</fb>
    <v>1</v>
  </rv>
  <rv s="0">
    <fb>44902</fb>
    <v>0</v>
  </rv>
  <rv s="0">
    <fb>244.37</fb>
    <v>1</v>
  </rv>
  <rv s="0">
    <fb>207.81</fb>
    <v>1</v>
  </rv>
  <rv s="0">
    <fb>153.72999999999999</fb>
    <v>1</v>
  </rv>
  <rv s="0">
    <fb>26.65</fb>
    <v>1</v>
  </rv>
  <rv s="0">
    <fb>75.72</fb>
    <v>1</v>
  </rv>
  <rv s="0">
    <fb>244.64</fb>
    <v>1</v>
  </rv>
  <rv s="0">
    <fb>19.349</fb>
    <v>1</v>
  </rv>
  <rv s="0">
    <fb>44903</fb>
    <v>0</v>
  </rv>
  <rv s="0">
    <fb>209.1</fb>
    <v>1</v>
  </rv>
  <rv s="0">
    <fb>156.28</fb>
    <v>1</v>
  </rv>
  <rv s="0">
    <fb>77.8</fb>
    <v>1</v>
  </rv>
  <rv s="0">
    <fb>239.68</fb>
    <v>1</v>
  </rv>
  <rv s="0">
    <fb>20.257000000000001</fb>
    <v>1</v>
  </rv>
  <rv s="0">
    <fb>44904</fb>
    <v>0</v>
  </rv>
  <rv s="0">
    <fb>245.42</fb>
    <v>1</v>
  </rv>
  <rv s="0">
    <fb>152.94999999999999</fb>
    <v>1</v>
  </rv>
  <rv s="0">
    <fb>25.41</fb>
    <v>1</v>
  </rv>
  <rv s="0">
    <fb>78.17</fb>
    <v>1</v>
  </rv>
  <rv s="0">
    <fb>244.8</fb>
    <v>1</v>
  </rv>
  <rv s="0">
    <fb>20.324999999999999</fb>
    <v>1</v>
  </rv>
  <rv s="0">
    <fb>44907</fb>
    <v>0</v>
  </rv>
  <rv s="0">
    <fb>214.59</fb>
    <v>1</v>
  </rv>
  <rv s="0">
    <fb>155.33000000000001</fb>
    <v>1</v>
  </rv>
  <rv s="0">
    <fb>25.81</fb>
    <v>1</v>
  </rv>
  <rv s="0">
    <fb>79.73</fb>
    <v>1</v>
  </rv>
  <rv s="0">
    <fb>243.36</fb>
    <v>1</v>
  </rv>
  <rv s="0">
    <fb>19.616</fb>
    <v>1</v>
  </rv>
  <rv s="0">
    <fb>44908</fb>
    <v>0</v>
  </rv>
  <rv s="0">
    <fb>256.92</fb>
    <v>1</v>
  </rv>
  <rv s="0">
    <fb>213.04</fb>
    <v>1</v>
  </rv>
  <rv s="0">
    <fb>157.66</fb>
    <v>1</v>
  </rv>
  <rv s="0">
    <fb>25.77</fb>
    <v>1</v>
  </rv>
  <rv s="0">
    <fb>80.959999999999994</fb>
    <v>1</v>
  </rv>
  <rv s="0">
    <fb>233.28</fb>
    <v>1</v>
  </rv>
  <rv s="0">
    <fb>20.181000000000001</fb>
    <v>1</v>
  </rv>
  <rv s="0">
    <fb>44909</fb>
    <v>0</v>
  </rv>
  <rv s="0">
    <fb>257.22000000000003</fb>
    <v>1</v>
  </rv>
  <rv s="0">
    <fb>18.899999999999999</fb>
    <v>1</v>
  </rv>
  <rv s="0">
    <fb>154.81</fb>
    <v>1</v>
  </rv>
  <rv s="0">
    <fb>24.56</fb>
    <v>1</v>
  </rv>
  <rv s="0">
    <fb>79.319999999999993</fb>
    <v>1</v>
  </rv>
  <rv s="0">
    <fb>225.28</fb>
    <v>1</v>
  </rv>
  <rv s="0">
    <fb>20.273</fb>
    <v>1</v>
  </rv>
  <rv s="0">
    <fb>44910</fb>
    <v>0</v>
  </rv>
  <rv s="0">
    <fb>249.01</fb>
    <v>1</v>
  </rv>
  <rv s="0">
    <fb>18.47</fb>
    <v>1</v>
  </rv>
  <rv s="0">
    <fb>207.91</fb>
    <v>1</v>
  </rv>
  <rv s="0">
    <fb>150.86000000000001</fb>
    <v>1</v>
  </rv>
  <rv s="0">
    <fb>72.36</fb>
    <v>1</v>
  </rv>
  <rv s="0">
    <fb>239.36</fb>
    <v>1</v>
  </rv>
  <rv s="0">
    <fb>18.8</fb>
    <v>1</v>
  </rv>
  <rv s="0">
    <fb>44911</fb>
    <v>0</v>
  </rv>
  <rv s="0">
    <fb>244.69</fb>
    <v>1</v>
  </rv>
  <rv s="0">
    <fb>18.489999999999998</fb>
    <v>1</v>
  </rv>
  <rv s="0">
    <fb>74.739999999999995</fb>
    <v>1</v>
  </rv>
  <rv s="0">
    <fb>240.16</fb>
    <v>1</v>
  </rv>
  <rv s="0">
    <fb>17.375</fb>
    <v>1</v>
  </rv>
  <rv s="0">
    <fb>44914</fb>
    <v>0</v>
  </rv>
  <rv s="0">
    <fb>240.45</fb>
    <v>1</v>
  </rv>
  <rv s="0">
    <fb>17.86</fb>
    <v>1</v>
  </rv>
  <rv s="0">
    <fb>146.94999999999999</fb>
    <v>1</v>
  </rv>
  <rv s="0">
    <fb>73.260000000000005</fb>
    <v>1</v>
  </rv>
  <rv s="0">
    <fb>234.4</fb>
    <v>1</v>
  </rv>
  <rv s="0">
    <fb>17.021000000000001</fb>
    <v>1</v>
  </rv>
  <rv s="0">
    <fb>44915</fb>
    <v>0</v>
  </rv>
  <rv s="0">
    <fb>241.8</fb>
    <v>1</v>
  </rv>
  <rv s="0">
    <fb>205.36</fb>
    <v>1</v>
  </rv>
  <rv s="0">
    <fb>76.510000000000005</fb>
    <v>1</v>
  </rv>
  <rv s="0">
    <fb>232.64</fb>
    <v>1</v>
  </rv>
  <rv s="0">
    <fb>16.885000000000002</fb>
    <v>1</v>
  </rv>
  <rv s="0">
    <fb>44916</fb>
    <v>0</v>
  </rv>
  <rv s="0">
    <fb>244.43</fb>
    <v>1</v>
  </rv>
  <rv s="0">
    <fb>206.81</fb>
    <v>1</v>
  </rv>
  <rv s="0">
    <fb>150.09</fb>
    <v>1</v>
  </rv>
  <rv s="0">
    <fb>26.73</fb>
    <v>1</v>
  </rv>
  <rv s="0">
    <fb>77.489999999999995</fb>
    <v>1</v>
  </rv>
  <rv s="0">
    <fb>223.84</fb>
    <v>1</v>
  </rv>
  <rv s="0">
    <fb>16.882000000000001</fb>
    <v>1</v>
  </rv>
  <rv s="0">
    <fb>44917</fb>
    <v>0</v>
  </rv>
  <rv s="0">
    <fb>238.19</fb>
    <v>1</v>
  </rv>
  <rv s="0">
    <fb>149.01</fb>
    <v>1</v>
  </rv>
  <rv s="0">
    <fb>26.06</fb>
    <v>1</v>
  </rv>
  <rv s="0">
    <fb>77.959999999999994</fb>
    <v>1</v>
  </rv>
  <rv s="0">
    <fb>236</fb>
    <v>1</v>
  </rv>
  <rv s="0">
    <fb>16.623000000000001</fb>
    <v>1</v>
  </rv>
  <rv s="0">
    <fb>44918</fb>
    <v>0</v>
  </rv>
  <rv s="0">
    <fb>238.73</fb>
    <v>1</v>
  </rv>
  <rv s="0">
    <fb>205.83</fb>
    <v>1</v>
  </rv>
  <rv s="0">
    <fb>149.22999999999999</fb>
    <v>1</v>
  </rv>
  <rv s="0">
    <fb>77.7</fb>
    <v>1</v>
  </rv>
  <rv s="0">
    <fb>16.266999999999999</fb>
    <v>1</v>
  </rv>
  <rv s="0">
    <fb>44922</fb>
    <v>0</v>
  </rv>
  <rv s="0">
    <fb>236.96</fb>
    <v>1</v>
  </rv>
  <rv s="0">
    <fb>18.46</fb>
    <v>1</v>
  </rv>
  <rv s="0">
    <fb>206.29</fb>
    <v>1</v>
  </rv>
  <rv s="0">
    <fb>149.55000000000001</fb>
    <v>1</v>
  </rv>
  <rv s="0">
    <fb>76.52</fb>
    <v>1</v>
  </rv>
  <rv s="0">
    <fb>229.44</fb>
    <v>1</v>
  </rv>
  <rv s="0">
    <fb>14.773999999999999</fb>
    <v>1</v>
  </rv>
  <rv s="0">
    <fb>44923</fb>
    <v>0</v>
  </rv>
  <rv s="0">
    <fb>18.22</fb>
    <v>1</v>
  </rv>
  <rv s="0">
    <fb>204.99</fb>
    <v>1</v>
  </rv>
  <rv s="0">
    <fb>148.09</fb>
    <v>1</v>
  </rv>
  <rv s="0">
    <fb>76.61</fb>
    <v>1</v>
  </rv>
  <rv s="0">
    <fb>228.96</fb>
    <v>1</v>
  </rv>
  <rv s="0">
    <fb>13.808999999999999</fb>
    <v>1</v>
  </rv>
  <rv s="0">
    <fb>44924</fb>
    <v>0</v>
  </rv>
  <rv s="0">
    <fb>241.01</fb>
    <v>1</v>
  </rv>
  <rv s="0">
    <fb>18.45</fb>
    <v>1</v>
  </rv>
  <rv s="0">
    <fb>208.06</fb>
    <v>1</v>
  </rv>
  <rv s="0">
    <fb>151.09</fb>
    <v>1</v>
  </rv>
  <rv s="0">
    <fb>79.010000000000005</fb>
    <v>1</v>
  </rv>
  <rv s="0">
    <fb>226.08</fb>
    <v>1</v>
  </rv>
  <rv s="0">
    <fb>13.663</fb>
    <v>1</v>
  </rv>
  <rv s="0">
    <fb>44925</fb>
    <v>0</v>
  </rv>
  <rv s="0">
    <fb>239.82</fb>
    <v>1</v>
  </rv>
  <rv s="0">
    <fb>18.41</fb>
    <v>1</v>
  </rv>
  <rv s="0">
    <fb>207.76</fb>
    <v>1</v>
  </rv>
  <rv s="0">
    <fb>149.65</fb>
    <v>1</v>
  </rv>
  <rv s="0">
    <fb>25.05</fb>
    <v>1</v>
  </rv>
  <rv s="0">
    <fb>78.95</fb>
    <v>1</v>
  </rv>
  <rv s="0">
    <fb>225.92</fb>
    <v>1</v>
  </rv>
  <rv s="0">
    <fb>14.157</fb>
    <v>1</v>
  </rv>
  <rv s="0">
    <fb>44929</fb>
    <v>0</v>
  </rv>
  <rv s="0">
    <fb>239.58</fb>
    <v>1</v>
  </rv>
  <rv s="0">
    <fb>18.739999999999998</fb>
    <v>1</v>
  </rv>
  <rv s="0">
    <fb>207.39</fb>
    <v>1</v>
  </rv>
  <rv s="0">
    <fb>150.04</fb>
    <v>1</v>
  </rv>
  <rv s="0">
    <fb>25.04</fb>
    <v>1</v>
  </rv>
  <rv s="0">
    <fb>81.900000000000006</fb>
    <v>1</v>
  </rv>
  <rv s="0">
    <fb>14.502000000000001</fb>
    <v>1</v>
  </rv>
  <rv s="0">
    <fb>44930</fb>
    <v>0</v>
  </rv>
  <rv s="0">
    <fb>19.14</fb>
    <v>1</v>
  </rv>
  <rv s="0">
    <fb>212.61</fb>
    <v>1</v>
  </rv>
  <rv s="0">
    <fb>151.66999999999999</fb>
    <v>1</v>
  </rv>
  <rv s="0">
    <fb>81.33</fb>
    <v>1</v>
  </rv>
  <rv s="0">
    <fb>16.506</fb>
    <v>1</v>
  </rv>
  <rv s="0">
    <fb>44931</fb>
    <v>0</v>
  </rv>
  <rv s="0">
    <fb>222.31</fb>
    <v>1</v>
  </rv>
  <rv s="0">
    <fb>19.21</fb>
    <v>1</v>
  </rv>
  <rv s="0">
    <fb>211.11</fb>
    <v>1</v>
  </rv>
  <rv s="0">
    <fb>152.11000000000001</fb>
    <v>1</v>
  </rv>
  <rv s="0">
    <fb>25.45</fb>
    <v>1</v>
  </rv>
  <rv s="0">
    <fb>81.58</fb>
    <v>1</v>
  </rv>
  <rv s="0">
    <fb>219.52</fb>
    <v>1</v>
  </rv>
  <rv s="0">
    <fb>15.656000000000001</fb>
    <v>1</v>
  </rv>
  <rv s="0">
    <fb>44932</fb>
    <v>0</v>
  </rv>
  <rv s="0">
    <fb>224.93</fb>
    <v>1</v>
  </rv>
  <rv s="0">
    <fb>19.53</fb>
    <v>1</v>
  </rv>
  <rv s="0">
    <fb>217.75</fb>
    <v>1</v>
  </rv>
  <rv s="0">
    <fb>147.66999999999999</fb>
    <v>1</v>
  </rv>
  <rv s="0">
    <fb>26.9</fb>
    <v>1</v>
  </rv>
  <rv s="0">
    <fb>83.54</fb>
    <v>1</v>
  </rv>
  <rv s="0">
    <fb>214.4</fb>
    <v>1</v>
  </rv>
  <rv s="0">
    <fb>16.045000000000002</fb>
    <v>1</v>
  </rv>
  <rv s="0">
    <fb>44935</fb>
    <v>0</v>
  </rv>
  <rv s="0">
    <fb>227.12</fb>
    <v>1</v>
  </rv>
  <rv s="0">
    <fb>19.04</fb>
    <v>1</v>
  </rv>
  <rv s="0">
    <fb>218.6</fb>
    <v>1</v>
  </rv>
  <rv s="0">
    <fb>26.47</fb>
    <v>1</v>
  </rv>
  <rv s="0">
    <fb>85.04</fb>
    <v>1</v>
  </rv>
  <rv s="0">
    <fb>215.52</fb>
    <v>1</v>
  </rv>
  <rv s="0">
    <fb>17.501000000000001</fb>
    <v>1</v>
  </rv>
  <rv s="0">
    <fb>44936</fb>
    <v>0</v>
  </rv>
  <rv s="0">
    <fb>228.85</fb>
    <v>1</v>
  </rv>
  <rv s="0">
    <fb>221.09</fb>
    <v>1</v>
  </rv>
  <rv s="0">
    <fb>155.22999999999999</fb>
    <v>1</v>
  </rv>
  <rv s="0">
    <fb>27.69</fb>
    <v>1</v>
  </rv>
  <rv s="0">
    <fb>90.79</fb>
    <v>1</v>
  </rv>
  <rv s="0">
    <fb>206.56</fb>
    <v>1</v>
  </rv>
  <rv s="0">
    <fb>44937</fb>
    <v>0</v>
  </rv>
  <rv s="0">
    <fb>19.41</fb>
    <v>1</v>
  </rv>
  <rv s="0">
    <fb>222.1</fb>
    <v>1</v>
  </rv>
  <rv s="0">
    <fb>158.16999999999999</fb>
    <v>1</v>
  </rv>
  <rv s="0">
    <fb>27.56</fb>
    <v>1</v>
  </rv>
  <rv s="0">
    <fb>91.75</fb>
    <v>1</v>
  </rv>
  <rv s="0">
    <fb>207.52</fb>
    <v>1</v>
  </rv>
  <rv s="0">
    <fb>19.475999999999999</fb>
    <v>1</v>
  </rv>
  <rv s="0">
    <fb>44938</fb>
    <v>0</v>
  </rv>
  <rv s="0">
    <fb>223.62</fb>
    <v>1</v>
  </rv>
  <rv s="0">
    <fb>156.49</fb>
    <v>1</v>
  </rv>
  <rv s="0">
    <fb>28.77</fb>
    <v>1</v>
  </rv>
  <rv s="0">
    <fb>91.2</fb>
    <v>1</v>
  </rv>
  <rv s="0">
    <fb>197.28</fb>
    <v>1</v>
  </rv>
  <rv s="0">
    <fb>21.016999999999999</fb>
    <v>1</v>
  </rv>
  <rv s="0">
    <fb>44939</fb>
    <v>0</v>
  </rv>
  <rv s="0">
    <fb>239.23</fb>
    <v>1</v>
  </rv>
  <rv s="0">
    <fb>223.06</fb>
    <v>1</v>
  </rv>
  <rv s="0">
    <fb>156.91999999999999</fb>
    <v>1</v>
  </rv>
  <rv s="0">
    <fb>92.06</fb>
    <v>1</v>
  </rv>
  <rv s="0">
    <fb>192.32</fb>
    <v>1</v>
  </rv>
  <rv s="0">
    <fb>21.696999999999999</fb>
    <v>1</v>
  </rv>
  <rv s="0">
    <fb>44943</fb>
    <v>0</v>
  </rv>
  <rv s="0">
    <fb>240.35</fb>
    <v>1</v>
  </rv>
  <rv s="0">
    <fb>223</fb>
    <v>1</v>
  </rv>
  <rv s="0">
    <fb>155.4</fb>
    <v>1</v>
  </rv>
  <rv s="0">
    <fb>28.11</fb>
    <v>1</v>
  </rv>
  <rv s="0">
    <fb>193.92</fb>
    <v>1</v>
  </rv>
  <rv s="0">
    <fb>23.591999999999999</fb>
    <v>1</v>
  </rv>
  <rv s="0">
    <fb>44944</fb>
    <v>0</v>
  </rv>
  <rv s="0">
    <fb>235.81</fb>
    <v>1</v>
  </rv>
  <rv s="0">
    <fb>219.46</fb>
    <v>1</v>
  </rv>
  <rv s="0">
    <fb>154.07</fb>
    <v>1</v>
  </rv>
  <rv s="0">
    <fb>27.84</fb>
    <v>1</v>
  </rv>
  <rv s="0">
    <fb>92.73</fb>
    <v>1</v>
  </rv>
  <rv s="0">
    <fb>200.8</fb>
    <v>1</v>
  </rv>
  <rv s="0">
    <fb>22.119</fb>
    <v>1</v>
  </rv>
  <rv s="0">
    <fb>44945</fb>
    <v>0</v>
  </rv>
  <rv s="0">
    <fb>231.93</fb>
    <v>1</v>
  </rv>
  <rv s="0">
    <fb>18.940000000000001</fb>
    <v>1</v>
  </rv>
  <rv s="0">
    <fb>220.41</fb>
    <v>1</v>
  </rv>
  <rv s="0">
    <fb>152.87</fb>
    <v>1</v>
  </rv>
  <rv s="0">
    <fb>27.64</fb>
    <v>1</v>
  </rv>
  <rv s="0">
    <fb>93.58</fb>
    <v>1</v>
  </rv>
  <rv s="0">
    <fb>201.92</fb>
    <v>1</v>
  </rv>
  <rv s="0">
    <fb>22.145</fb>
    <v>1</v>
  </rv>
  <rv s="0">
    <fb>44946</fb>
    <v>0</v>
  </rv>
  <rv s="0">
    <fb>240.22</fb>
    <v>1</v>
  </rv>
  <rv s="0">
    <fb>224.31</fb>
    <v>1</v>
  </rv>
  <rv s="0">
    <fb>155.91999999999999</fb>
    <v>1</v>
  </rv>
  <rv s="0">
    <fb>28.21</fb>
    <v>1</v>
  </rv>
  <rv s="0">
    <fb>97.91</fb>
    <v>1</v>
  </rv>
  <rv s="0">
    <fb>194.72</fb>
    <v>1</v>
  </rv>
  <rv s="0">
    <fb>24.003</fb>
    <v>1</v>
  </rv>
  <rv s="0">
    <fb>44949</fb>
    <v>0</v>
  </rv>
  <rv s="0">
    <fb>242.58</fb>
    <v>1</v>
  </rv>
  <rv s="0">
    <fb>19.100000000000001</fb>
    <v>1</v>
  </rv>
  <rv s="0">
    <fb>159.06</fb>
    <v>1</v>
  </rv>
  <rv s="0">
    <fb>28.2</fb>
    <v>1</v>
  </rv>
  <rv s="0">
    <fb>99.94</fb>
    <v>1</v>
  </rv>
  <rv s="0">
    <fb>193.28</fb>
    <v>1</v>
  </rv>
  <rv s="0">
    <fb>25.0215</fb>
    <v>1</v>
  </rv>
  <rv s="0">
    <fb>44950</fb>
    <v>0</v>
  </rv>
  <rv s="0">
    <fb>242.04</fb>
    <v>1</v>
  </rv>
  <rv s="0">
    <fb>19.16</fb>
    <v>1</v>
  </rv>
  <rv s="0">
    <fb>223.89</fb>
    <v>1</v>
  </rv>
  <rv s="0">
    <fb>155.69</fb>
    <v>1</v>
  </rv>
  <rv s="0">
    <fb>27.93</fb>
    <v>1</v>
  </rv>
  <rv s="0">
    <fb>99.29</fb>
    <v>1</v>
  </rv>
  <rv s="0">
    <fb>185.76</fb>
    <v>1</v>
  </rv>
  <rv s="0">
    <fb>44951</fb>
    <v>0</v>
  </rv>
  <rv s="0">
    <fb>240.61</fb>
    <v>1</v>
  </rv>
  <rv s="0">
    <fb>20.420000000000002</fb>
    <v>1</v>
  </rv>
  <rv s="0">
    <fb>224.9</fb>
    <v>1</v>
  </rv>
  <rv s="0">
    <fb>28.79</fb>
    <v>1</v>
  </rv>
  <rv s="0">
    <fb>100.03</fb>
    <v>1</v>
  </rv>
  <rv s="0">
    <fb>186.08</fb>
    <v>1</v>
  </rv>
  <rv s="0">
    <fb>24.584</fb>
    <v>1</v>
  </rv>
  <rv s="0">
    <fb>44952</fb>
    <v>0</v>
  </rv>
  <rv s="0">
    <fb>248</fb>
    <v>1</v>
  </rv>
  <rv s="0">
    <fb>20</fb>
    <v>1</v>
  </rv>
  <rv s="0">
    <fb>224.71</fb>
    <v>1</v>
  </rv>
  <rv s="0">
    <fb>156.22999999999999</fb>
    <v>1</v>
  </rv>
  <rv s="0">
    <fb>29.26</fb>
    <v>1</v>
  </rv>
  <rv s="0">
    <fb>101.3</fb>
    <v>1</v>
  </rv>
  <rv s="0">
    <fb>183.2</fb>
    <v>1</v>
  </rv>
  <rv s="0">
    <fb>24.532</fb>
    <v>1</v>
  </rv>
  <rv s="0">
    <fb>44953</fb>
    <v>0</v>
  </rv>
  <rv s="0">
    <fb>248.16</fb>
    <v>1</v>
  </rv>
  <rv s="0">
    <fb>231.44</fb>
    <v>1</v>
  </rv>
  <rv s="0">
    <fb>28.83</fb>
    <v>1</v>
  </rv>
  <rv s="0">
    <fb>102.24</fb>
    <v>1</v>
  </rv>
  <rv s="0">
    <fb>180.8</fb>
    <v>1</v>
  </rv>
  <rv s="0">
    <fb>25.835999999999999</fb>
    <v>1</v>
  </rv>
  <rv s="0">
    <fb>44956</fb>
    <v>0</v>
  </rv>
  <rv s="0">
    <fb>242.71</fb>
    <v>1</v>
  </rv>
  <rv s="0">
    <fb>20.16</fb>
    <v>1</v>
  </rv>
  <rv s="0">
    <fb>151.74</fb>
    <v>1</v>
  </rv>
  <rv s="0">
    <fb>100</fb>
    <v>1</v>
  </rv>
  <rv s="0">
    <fb>185.28</fb>
    <v>1</v>
  </rv>
  <rv s="0">
    <fb>24.568999999999999</fb>
    <v>1</v>
  </rv>
  <rv s="0">
    <fb>44957</fb>
    <v>0</v>
  </rv>
  <rv s="0">
    <fb>247.81</fb>
    <v>1</v>
  </rv>
  <rv s="0">
    <fb>230.21</fb>
    <v>1</v>
  </rv>
  <rv s="0">
    <fb>152.08000000000001</fb>
    <v>1</v>
  </rv>
  <rv s="0">
    <fb>28.49</fb>
    <v>1</v>
  </rv>
  <rv s="0">
    <fb>112.72</fb>
    <v>1</v>
  </rv>
  <rv s="0">
    <fb>181.12</fb>
    <v>1</v>
  </rv>
  <rv s="0">
    <fb>25.172999999999998</fb>
    <v>1</v>
  </rv>
  <rv s="0">
    <fb>44958</fb>
    <v>0</v>
  </rv>
  <rv s="0">
    <fb>252.75</fb>
    <v>1</v>
  </rv>
  <rv s="0">
    <fb>20.18</fb>
    <v>1</v>
  </rv>
  <rv s="0">
    <fb>230.9</fb>
    <v>1</v>
  </rv>
  <rv s="0">
    <fb>155.44999999999999</fb>
    <v>1</v>
  </rv>
  <rv s="0">
    <fb>29.34</fb>
    <v>1</v>
  </rv>
  <rv s="0">
    <fb>118.14</fb>
    <v>1</v>
  </rv>
  <rv s="0">
    <fb>175.68</fb>
    <v>1</v>
  </rv>
  <rv s="0">
    <fb>26.792000000000002</fb>
    <v>1</v>
  </rv>
  <rv s="0">
    <fb>44959</fb>
    <v>0</v>
  </rv>
  <rv s="0">
    <fb>264.60000000000002</fb>
    <v>1</v>
  </rv>
  <rv s="0">
    <fb>229.56</fb>
    <v>1</v>
  </rv>
  <rv s="0">
    <fb>155.5</fb>
    <v>1</v>
  </rv>
  <rv s="0">
    <fb>29.23</fb>
    <v>1</v>
  </rv>
  <rv s="0">
    <fb>122.57</fb>
    <v>1</v>
  </rv>
  <rv s="0">
    <fb>179.36</fb>
    <v>1</v>
  </rv>
  <rv s="0">
    <fb>29.213000000000001</fb>
    <v>1</v>
  </rv>
  <rv s="0">
    <fb>44960</fb>
    <v>0</v>
  </rv>
  <rv s="0">
    <fb>258.35000000000002</fb>
    <v>1</v>
  </rv>
  <rv s="0">
    <fb>19.829999999999998</fb>
    <v>1</v>
  </rv>
  <rv s="0">
    <fb>230.13</fb>
    <v>1</v>
  </rv>
  <rv s="0">
    <fb>154.55000000000001</fb>
    <v>1</v>
  </rv>
  <rv s="0">
    <fb>30.05</fb>
    <v>1</v>
  </rv>
  <rv s="0">
    <fb>121.17</fb>
    <v>1</v>
  </rv>
  <rv s="0">
    <fb>28.475999999999999</fb>
    <v>1</v>
  </rv>
  <rv s="0">
    <fb>44963</fb>
    <v>0</v>
  </rv>
  <rv s="0">
    <fb>256.77</fb>
    <v>1</v>
  </rv>
  <rv s="0">
    <fb>152.24</fb>
    <v>1</v>
  </rv>
  <rv s="0">
    <fb>30.08</fb>
    <v>1</v>
  </rv>
  <rv s="0">
    <fb>122.92</fb>
    <v>1</v>
  </rv>
  <rv s="0">
    <fb>185.6</fb>
    <v>1</v>
  </rv>
  <rv s="0">
    <fb>28.204999999999998</fb>
    <v>1</v>
  </rv>
  <rv s="0">
    <fb>44964</fb>
    <v>0</v>
  </rv>
  <rv s="0">
    <fb>267.56</fb>
    <v>1</v>
  </rv>
  <rv s="0">
    <fb>154.51</fb>
    <v>1</v>
  </rv>
  <rv s="0">
    <fb>28.1</fb>
    <v>1</v>
  </rv>
  <rv s="0">
    <fb>125.38</fb>
    <v>1</v>
  </rv>
  <rv s="0">
    <fb>179.84</fb>
    <v>1</v>
  </rv>
  <rv s="0">
    <fb>28.387</fb>
    <v>1</v>
  </rv>
  <rv s="0">
    <fb>44965</fb>
    <v>0</v>
  </rv>
  <rv s="0">
    <fb>266.73</fb>
    <v>1</v>
  </rv>
  <rv s="0">
    <fb>154.41999999999999</fb>
    <v>1</v>
  </rv>
  <rv s="0">
    <fb>28.67</fb>
    <v>1</v>
  </rv>
  <rv s="0">
    <fb>123.68</fb>
    <v>1</v>
  </rv>
  <rv s="0">
    <fb>186.56</fb>
    <v>1</v>
  </rv>
  <rv s="0">
    <fb>27.596</fb>
    <v>1</v>
  </rv>
  <rv s="0">
    <fb>44966</fb>
    <v>0</v>
  </rv>
  <rv s="0">
    <fb>263.62</fb>
    <v>1</v>
  </rv>
  <rv s="0">
    <fb>229.35</fb>
    <v>1</v>
  </rv>
  <rv s="0">
    <fb>152.38</fb>
    <v>1</v>
  </rv>
  <rv s="0">
    <fb>192.48</fb>
    <v>1</v>
  </rv>
  <rv s="0">
    <fb>24.904</fb>
    <v>1</v>
  </rv>
  <rv s="0">
    <fb>44967</fb>
    <v>0</v>
  </rv>
  <rv s="0">
    <fb>263.10000000000002</fb>
    <v>1</v>
  </rv>
  <rv s="0">
    <fb>227.2</fb>
    <v>1</v>
  </rv>
  <rv s="0">
    <fb>152.55000000000001</fb>
    <v>1</v>
  </rv>
  <rv s="0">
    <fb>27.95</fb>
    <v>1</v>
  </rv>
  <rv s="0">
    <fb>125.16</fb>
    <v>1</v>
  </rv>
  <rv s="0">
    <fb>24.337</fb>
    <v>1</v>
  </rv>
  <rv s="0">
    <fb>44970</fb>
    <v>0</v>
  </rv>
  <rv s="0">
    <fb>271.32</fb>
    <v>1</v>
  </rv>
  <rv s="0">
    <fb>19.260000000000002</fb>
    <v>1</v>
  </rv>
  <rv s="0">
    <fb>228.88</fb>
    <v>1</v>
  </rv>
  <rv s="0">
    <fb>154.6</fb>
    <v>1</v>
  </rv>
  <rv s="0">
    <fb>28.24</fb>
    <v>1</v>
  </rv>
  <rv s="0">
    <fb>122.32</fb>
    <v>1</v>
  </rv>
  <rv s="0">
    <fb>187.04</fb>
    <v>1</v>
  </rv>
  <rv s="0">
    <fb>24.925000000000001</fb>
    <v>1</v>
  </rv>
  <rv s="0">
    <fb>44971</fb>
    <v>0</v>
  </rv>
  <rv s="0">
    <fb>272.17</fb>
    <v>1</v>
  </rv>
  <rv s="0">
    <fb>19.149999999999999</fb>
    <v>1</v>
  </rv>
  <rv s="0">
    <fb>229.39</fb>
    <v>1</v>
  </rv>
  <rv s="0">
    <fb>153.04</fb>
    <v>1</v>
  </rv>
  <rv s="0">
    <fb>29.21</fb>
    <v>1</v>
  </rv>
  <rv s="0">
    <fb>126.1</fb>
    <v>1</v>
  </rv>
  <rv s="0">
    <fb>27.114000000000001</fb>
    <v>1</v>
  </rv>
  <rv s="0">
    <fb>44972</fb>
    <v>0</v>
  </rv>
  <rv s="0">
    <fb>269.32</fb>
    <v>1</v>
  </rv>
  <rv s="0">
    <fb>228.92</fb>
    <v>1</v>
  </rv>
  <rv s="0">
    <fb>151.75</fb>
    <v>1</v>
  </rv>
  <rv s="0">
    <fb>29.92</fb>
    <v>1</v>
  </rv>
  <rv s="0">
    <fb>128.27000000000001</fb>
    <v>1</v>
  </rv>
  <rv s="0">
    <fb>177.12</fb>
    <v>1</v>
  </rv>
  <rv s="0">
    <fb>29.84</fb>
    <v>1</v>
  </rv>
  <rv s="0">
    <fb>44973</fb>
    <v>0</v>
  </rv>
  <rv s="0">
    <fb>225.83</fb>
    <v>1</v>
  </rv>
  <rv s="0">
    <fb>148.28</fb>
    <v>1</v>
  </rv>
  <rv s="0">
    <fb>29.79</fb>
    <v>1</v>
  </rv>
  <rv s="0">
    <fb>125.57</fb>
    <v>1</v>
  </rv>
  <rv s="0">
    <fb>186.88</fb>
    <v>1</v>
  </rv>
  <rv s="0">
    <fb>28.402999999999999</fb>
    <v>1</v>
  </rv>
  <rv s="0">
    <fb>44974</fb>
    <v>0</v>
  </rv>
  <rv s="0">
    <fb>258.06</fb>
    <v>1</v>
  </rv>
  <rv s="0">
    <fb>223.56</fb>
    <v>1</v>
  </rv>
  <rv s="0">
    <fb>148.26</fb>
    <v>1</v>
  </rv>
  <rv s="0">
    <fb>28.02</fb>
    <v>1</v>
  </rv>
  <rv s="0">
    <fb>125.33</fb>
    <v>1</v>
  </rv>
  <rv s="0">
    <fb>186.72</fb>
    <v>1</v>
  </rv>
  <rv s="0">
    <fb>29.405000000000001</fb>
    <v>1</v>
  </rv>
  <rv s="0">
    <fb>44978</fb>
    <v>0</v>
  </rv>
  <rv s="0">
    <fb>252.67</fb>
    <v>1</v>
  </rv>
  <rv s="0">
    <fb>220.62</fb>
    <v>1</v>
  </rv>
  <rv s="0">
    <fb>143.41999999999999</fb>
    <v>1</v>
  </rv>
  <rv s="0">
    <fb>28.34</fb>
    <v>1</v>
  </rv>
  <rv s="0">
    <fb>120.35</fb>
    <v>1</v>
  </rv>
  <rv s="0">
    <fb>201.28</fb>
    <v>1</v>
  </rv>
  <rv s="0">
    <fb>26.992000000000001</fb>
    <v>1</v>
  </rv>
  <rv s="0">
    <fb>44979</fb>
    <v>0</v>
  </rv>
  <rv s="0">
    <fb>220.02</fb>
    <v>1</v>
  </rv>
  <rv s="0">
    <fb>142.08000000000001</fb>
    <v>1</v>
  </rv>
  <rv s="0">
    <fb>28.39</fb>
    <v>1</v>
  </rv>
  <rv s="0">
    <fb>120.07</fb>
    <v>1</v>
  </rv>
  <rv s="0">
    <fb>195.52</fb>
    <v>1</v>
  </rv>
  <rv s="0">
    <fb>26.858000000000001</fb>
    <v>1</v>
  </rv>
  <rv s="0">
    <fb>44980</fb>
    <v>0</v>
  </rv>
  <rv s="0">
    <fb>254.77</fb>
    <v>1</v>
  </rv>
  <rv s="0">
    <fb>19.350000000000001</fb>
    <v>1</v>
  </rv>
  <rv s="0">
    <fb>143.19999999999999</fb>
    <v>1</v>
  </rv>
  <rv s="0">
    <fb>118.86</fb>
    <v>1</v>
  </rv>
  <rv s="0">
    <fb>188.64</fb>
    <v>1</v>
  </rv>
  <rv s="0">
    <fb>26.574999999999999</fb>
    <v>1</v>
  </rv>
  <rv s="0">
    <fb>44981</fb>
    <v>0</v>
  </rv>
  <rv s="0">
    <fb>249.22</fb>
    <v>1</v>
  </rv>
  <rv s="0">
    <fb>19.239999999999998</fb>
    <v>1</v>
  </rv>
  <rv s="0">
    <fb>219.55</fb>
    <v>1</v>
  </rv>
  <rv s="0">
    <fb>141.19999999999999</fb>
    <v>1</v>
  </rv>
  <rv s="0">
    <fb>28.27</fb>
    <v>1</v>
  </rv>
  <rv s="0">
    <fb>117.14</fb>
    <v>1</v>
  </rv>
  <rv s="0">
    <fb>196</fb>
    <v>1</v>
  </rv>
  <rv s="0">
    <fb>25.58</fb>
    <v>1</v>
  </rv>
  <rv s="0">
    <fb>44984</fb>
    <v>0</v>
  </rv>
  <rv s="0">
    <fb>250.16</fb>
    <v>1</v>
  </rv>
  <rv s="0">
    <fb>220.35</fb>
    <v>1</v>
  </rv>
  <rv s="0">
    <fb>142.18</fb>
    <v>1</v>
  </rv>
  <rv s="0">
    <fb>28.91</fb>
    <v>1</v>
  </rv>
  <rv s="0">
    <fb>116.84</fb>
    <v>1</v>
  </rv>
  <rv s="0">
    <fb>188.48</fb>
    <v>1</v>
  </rv>
  <rv s="0">
    <fb>25.864999999999998</fb>
    <v>1</v>
  </rv>
  <rv s="0">
    <fb>44985</fb>
    <v>0</v>
  </rv>
  <rv s="0">
    <fb>249.42</fb>
    <v>1</v>
  </rv>
  <rv s="0">
    <fb>219.94</fb>
    <v>1</v>
  </rv>
  <rv s="0">
    <fb>141.97</fb>
    <v>1</v>
  </rv>
  <rv s="0">
    <fb>30.63</fb>
    <v>1</v>
  </rv>
  <rv s="0">
    <fb>116.3</fb>
    <v>1</v>
  </rv>
  <rv s="0">
    <fb>184.64</fb>
    <v>1</v>
  </rv>
  <rv s="0">
    <fb>26.227</fb>
    <v>1</v>
  </rv>
  <rv s="0">
    <fb>44986</fb>
    <v>0</v>
  </rv>
  <rv s="0">
    <fb>246.27</fb>
    <v>1</v>
  </rv>
  <rv s="0">
    <fb>18.66</fb>
    <v>1</v>
  </rv>
  <rv s="0">
    <fb>30.64</fb>
    <v>1</v>
  </rv>
  <rv s="0">
    <fb>117.2</fb>
    <v>1</v>
  </rv>
  <rv s="0">
    <fb>186.4</fb>
    <v>1</v>
  </rv>
  <rv s="0">
    <fb>25.791</fb>
    <v>1</v>
  </rv>
  <rv s="0">
    <fb>44987</fb>
    <v>0</v>
  </rv>
  <rv s="0">
    <fb>251.11</fb>
    <v>1</v>
  </rv>
  <rv s="0">
    <fb>219.06</fb>
    <v>1</v>
  </rv>
  <rv s="0">
    <fb>141.66999999999999</fb>
    <v>1</v>
  </rv>
  <rv s="0">
    <fb>31.02</fb>
    <v>1</v>
  </rv>
  <rv s="0">
    <fb>179.52</fb>
    <v>1</v>
  </rv>
  <rv s="0">
    <fb>25.289000000000001</fb>
    <v>1</v>
  </rv>
  <rv s="0">
    <fb>44988</fb>
    <v>0</v>
  </rv>
  <rv s="0">
    <fb>255.29</fb>
    <v>1</v>
  </rv>
  <rv s="0">
    <fb>223.77</fb>
    <v>1</v>
  </rv>
  <rv s="0">
    <fb>143.93</fb>
    <v>1</v>
  </rv>
  <rv s="0">
    <fb>31.37</fb>
    <v>1</v>
  </rv>
  <rv s="0">
    <fb>123.74</fb>
    <v>1</v>
  </rv>
  <rv s="0">
    <fb>174.4</fb>
    <v>1</v>
  </rv>
  <rv s="0">
    <fb>24.690999999999999</fb>
    <v>1</v>
  </rv>
  <rv s="0">
    <fb>44991</fb>
    <v>0</v>
  </rv>
  <rv s="0">
    <fb>256.87</fb>
    <v>1</v>
  </rv>
  <rv s="0">
    <fb>18.77</fb>
    <v>1</v>
  </rv>
  <rv s="0">
    <fb>143.22999999999999</fb>
    <v>1</v>
  </rv>
  <rv s="0">
    <fb>29.99</fb>
    <v>1</v>
  </rv>
  <rv s="0">
    <fb>171.36</fb>
    <v>1</v>
  </rv>
  <rv s="0">
    <fb>23.745000000000001</fb>
    <v>1</v>
  </rv>
  <rv s="0">
    <fb>44992</fb>
    <v>0</v>
  </rv>
  <rv s="0">
    <fb>254.15</fb>
    <v>1</v>
  </rv>
  <rv s="0">
    <fb>18.71</fb>
    <v>1</v>
  </rv>
  <rv s="0">
    <fb>140.33000000000001</fb>
    <v>1</v>
  </rv>
  <rv s="0">
    <fb>28.97</fb>
    <v>1</v>
  </rv>
  <rv s="0">
    <fb>175.08</fb>
    <v>1</v>
  </rv>
  <rv s="0">
    <fb>23.143999999999998</fb>
    <v>1</v>
  </rv>
  <rv s="0">
    <fb>44993</fb>
    <v>0</v>
  </rv>
  <rv s="0">
    <fb>253.7</fb>
    <v>1</v>
  </rv>
  <rv s="0">
    <fb>222.19</fb>
    <v>1</v>
  </rv>
  <rv s="0">
    <fb>140.9</fb>
    <v>1</v>
  </rv>
  <rv s="0">
    <fb>29.6</fb>
    <v>1</v>
  </rv>
  <rv s="0">
    <fb>126.99</fb>
    <v>1</v>
  </rv>
  <rv s="0">
    <fb>172.2</fb>
    <v>1</v>
  </rv>
  <rv s="0">
    <fb>23.271999999999998</fb>
    <v>1</v>
  </rv>
  <rv s="0">
    <fb>44994</fb>
    <v>0</v>
  </rv>
  <rv s="0">
    <fb>252.32</fb>
    <v>1</v>
  </rv>
  <rv s="0">
    <fb>220.01</fb>
    <v>1</v>
  </rv>
  <rv s="0">
    <fb>138.93</fb>
    <v>1</v>
  </rv>
  <rv s="0">
    <fb>123.93</fb>
    <v>1</v>
  </rv>
  <rv s="0">
    <fb>190.04</fb>
    <v>1</v>
  </rv>
  <rv s="0">
    <fb>21.082000000000001</fb>
    <v>1</v>
  </rv>
  <rv s="0">
    <fb>44995</fb>
    <v>0</v>
  </rv>
  <rv s="0">
    <fb>248.59</fb>
    <v>1</v>
  </rv>
  <rv s="0">
    <fb>216.14</fb>
    <v>1</v>
  </rv>
  <rv s="0">
    <fb>135.72</fb>
    <v>1</v>
  </rv>
  <rv s="0">
    <fb>121.66</fb>
    <v>1</v>
  </rv>
  <rv s="0">
    <fb>211.72</fb>
    <v>1</v>
  </rv>
  <rv s="0">
    <fb>19.201000000000001</fb>
    <v>1</v>
  </rv>
  <rv s="0">
    <fb>44998</fb>
    <v>0</v>
  </rv>
  <rv s="0">
    <fb>253.92</fb>
    <v>1</v>
  </rv>
  <rv s="0">
    <fb>214.47</fb>
    <v>1</v>
  </rv>
  <rv s="0">
    <fb>136.69</fb>
    <v>1</v>
  </rv>
  <rv s="0">
    <fb>26.8</fb>
    <v>1</v>
  </rv>
  <rv s="0">
    <fb>123.39</fb>
    <v>1</v>
  </rv>
  <rv s="0">
    <fb>218.16</fb>
    <v>1</v>
  </rv>
  <rv s="0">
    <fb>22.315999999999999</fb>
    <v>1</v>
  </rv>
  <rv s="0">
    <fb>44999</fb>
    <v>0</v>
  </rv>
  <rv s="0">
    <fb>260.79000000000002</fb>
    <v>1</v>
  </rv>
  <rv s="0">
    <fb>18.440000000000001</fb>
    <v>1</v>
  </rv>
  <rv s="0">
    <fb>218.66</fb>
    <v>1</v>
  </rv>
  <rv s="0">
    <fb>138.4</fb>
    <v>1</v>
  </rv>
  <rv s="0">
    <fb>27.05</fb>
    <v>1</v>
  </rv>
  <rv s="0">
    <fb>125.54</fb>
    <v>1</v>
  </rv>
  <rv s="0">
    <fb>206.64</fb>
    <v>1</v>
  </rv>
  <rv s="0">
    <fb>22.946999999999999</fb>
    <v>1</v>
  </rv>
  <rv s="0">
    <fb>45000</fb>
    <v>0</v>
  </rv>
  <rv s="0">
    <fb>265.44</fb>
    <v>1</v>
  </rv>
  <rv s="0">
    <fb>216.37</fb>
    <v>1</v>
  </rv>
  <rv s="0">
    <fb>134.03</fb>
    <v>1</v>
  </rv>
  <rv s="0">
    <fb>24.44</fb>
    <v>1</v>
  </rv>
  <rv s="0">
    <fb>125.65</fb>
    <v>1</v>
  </rv>
  <rv s="0">
    <fb>219.84</fb>
    <v>1</v>
  </rv>
  <rv s="0">
    <fb>22.754999999999999</fb>
    <v>1</v>
  </rv>
  <rv s="0">
    <fb>45001</fb>
    <v>0</v>
  </rv>
  <rv s="0">
    <fb>276.2</fb>
    <v>1</v>
  </rv>
  <rv s="0">
    <fb>217.45</fb>
    <v>1</v>
  </rv>
  <rv s="0">
    <fb>129.21</fb>
    <v>1</v>
  </rv>
  <rv s="0">
    <fb>201.84</fb>
    <v>1</v>
  </rv>
  <rv s="0">
    <fb>24.108000000000001</fb>
    <v>1</v>
  </rv>
  <rv s="0">
    <fb>45002</fb>
    <v>0</v>
  </rv>
  <rv s="0">
    <fb>279.43</fb>
    <v>1</v>
  </rv>
  <rv s="0">
    <fb>217.39</fb>
    <v>1</v>
  </rv>
  <rv s="0">
    <fb>133.18</fb>
    <v>1</v>
  </rv>
  <rv s="0">
    <fb>23.97</fb>
    <v>1</v>
  </rv>
  <rv s="0">
    <fb>127.09</fb>
    <v>1</v>
  </rv>
  <rv s="0">
    <fb>26.765999999999998</fb>
    <v>1</v>
  </rv>
  <rv s="0">
    <fb>45005</fb>
    <v>0</v>
  </rv>
  <rv s="0">
    <fb>272.23</fb>
    <v>1</v>
  </rv>
  <rv s="0">
    <fb>218.15</fb>
    <v>1</v>
  </rv>
  <rv s="0">
    <fb>134.54</fb>
    <v>1</v>
  </rv>
  <rv s="0">
    <fb>24.91</fb>
    <v>1</v>
  </rv>
  <rv s="0">
    <fb>126.41</fb>
    <v>1</v>
  </rv>
  <rv s="0">
    <fb>212.4</fb>
    <v>1</v>
  </rv>
  <rv s="0">
    <fb>26.396000000000001</fb>
    <v>1</v>
  </rv>
  <rv s="0">
    <fb>45006</fb>
    <v>0</v>
  </rv>
  <rv s="0">
    <fb>273.77999999999997</fb>
    <v>1</v>
  </rv>
  <rv s="0">
    <fb>221.95</fb>
    <v>1</v>
  </rv>
  <rv s="0">
    <fb>137.01</fb>
    <v>1</v>
  </rv>
  <rv s="0">
    <fb>128.81</fb>
    <v>1</v>
  </rv>
  <rv s="0">
    <fb>193.84</fb>
    <v>1</v>
  </rv>
  <rv s="0">
    <fb>27.338000000000001</fb>
    <v>1</v>
  </rv>
  <rv s="0">
    <fb>45007</fb>
    <v>0</v>
  </rv>
  <rv s="0">
    <fb>272.29000000000002</fb>
    <v>1</v>
  </rv>
  <rv s="0">
    <fb>220.04</fb>
    <v>1</v>
  </rv>
  <rv s="0">
    <fb>25.2</fb>
    <v>1</v>
  </rv>
  <rv s="0">
    <fb>128.19999999999999</fb>
    <v>1</v>
  </rv>
  <rv s="0">
    <fb>202.16</fb>
    <v>1</v>
  </rv>
  <rv s="0">
    <fb>24.686</fb>
    <v>1</v>
  </rv>
  <rv s="0">
    <fb>45008</fb>
    <v>0</v>
  </rv>
  <rv s="0">
    <fb>131.13</fb>
    <v>1</v>
  </rv>
  <rv s="0">
    <fb>131.05000000000001</fb>
    <v>1</v>
  </rv>
  <rv s="0">
    <fb>26.332999999999998</fb>
    <v>1</v>
  </rv>
  <rv s="0">
    <fb>45009</fb>
    <v>0</v>
  </rv>
  <rv s="0">
    <fb>280.57</fb>
    <v>1</v>
  </rv>
  <rv s="0">
    <fb>221.04</fb>
    <v>1</v>
  </rv>
  <rv s="0">
    <fb>131.96</fb>
    <v>1</v>
  </rv>
  <rv s="0">
    <fb>128.30000000000001</fb>
    <v>1</v>
  </rv>
  <rv s="0">
    <fb>198.96</fb>
    <v>1</v>
  </rv>
  <rv s="0">
    <fb>25.667000000000002</fb>
    <v>1</v>
  </rv>
  <rv s="0">
    <fb>45012</fb>
    <v>0</v>
  </rv>
  <rv s="0">
    <fb>276.38</fb>
    <v>1</v>
  </rv>
  <rv s="0">
    <fb>221.81</fb>
    <v>1</v>
  </rv>
  <rv s="0">
    <fb>133.07</fb>
    <v>1</v>
  </rv>
  <rv s="0">
    <fb>129.47999999999999</fb>
    <v>1</v>
  </rv>
  <rv s="0">
    <fb>191.88</fb>
    <v>1</v>
  </rv>
  <rv s="0">
    <fb>23.896000000000001</fb>
    <v>1</v>
  </rv>
  <rv s="0">
    <fb>45013</fb>
    <v>0</v>
  </rv>
  <rv s="0">
    <fb>275.23</fb>
    <v>1</v>
  </rv>
  <rv s="0">
    <fb>18.72</fb>
    <v>1</v>
  </rv>
  <rv s="0">
    <fb>220.33</fb>
    <v>1</v>
  </rv>
  <rv s="0">
    <fb>132.63</fb>
    <v>1</v>
  </rv>
  <rv s="0">
    <fb>25.76</fb>
    <v>1</v>
  </rv>
  <rv s="0">
    <fb>128.12</fb>
    <v>1</v>
  </rv>
  <rv s="0">
    <fb>24.826000000000001</fb>
    <v>1</v>
  </rv>
  <rv s="0">
    <fb>45014</fb>
    <v>0</v>
  </rv>
  <rv s="0">
    <fb>280.51</fb>
    <v>1</v>
  </rv>
  <rv s="0">
    <fb>223.3</fb>
    <v>1</v>
  </rv>
  <rv s="0">
    <fb>133.85</fb>
    <v>1</v>
  </rv>
  <rv s="0">
    <fb>180.44</fb>
    <v>1</v>
  </rv>
  <rv s="0">
    <fb>45015</fb>
    <v>0</v>
  </rv>
  <rv s="0">
    <fb>284.05</fb>
    <v>1</v>
  </rv>
  <rv s="0">
    <fb>19.079999999999998</fb>
    <v>1</v>
  </rv>
  <rv s="0">
    <fb>222.36</fb>
    <v>1</v>
  </rv>
  <rv s="0">
    <fb>134.49</fb>
    <v>1</v>
  </rv>
  <rv s="0">
    <fb>130.83000000000001</fb>
    <v>1</v>
  </rv>
  <rv s="0">
    <fb>27.922999999999998</fb>
    <v>1</v>
  </rv>
  <rv s="0">
    <fb>45016</fb>
    <v>0</v>
  </rv>
  <rv s="0">
    <fb>288.3</fb>
    <v>1</v>
  </rv>
  <rv s="0">
    <fb>225.46</fb>
    <v>1</v>
  </rv>
  <rv s="0">
    <fb>138.34</fb>
    <v>1</v>
  </rv>
  <rv s="0">
    <fb>26.1</fb>
    <v>1</v>
  </rv>
  <rv s="0">
    <fb>133.62</fb>
    <v>1</v>
  </rv>
  <rv s="0">
    <fb>179.64</fb>
    <v>1</v>
  </rv>
  <rv s="0">
    <fb>29.231999999999999</fb>
    <v>1</v>
  </rv>
  <rv s="0">
    <fb>45019</fb>
    <v>0</v>
  </rv>
  <rv s="0">
    <fb>287.23</fb>
    <v>1</v>
  </rv>
  <rv s="0">
    <fb>229</fb>
    <v>1</v>
  </rv>
  <rv s="0">
    <fb>137.86000000000001</fb>
    <v>1</v>
  </rv>
  <rv s="0">
    <fb>26.33</fb>
    <v>1</v>
  </rv>
  <rv s="0">
    <fb>136.44</fb>
    <v>1</v>
  </rv>
  <rv s="0">
    <fb>175.64</fb>
    <v>1</v>
  </rv>
  <rv s="0">
    <fb>29.739000000000001</fb>
    <v>1</v>
  </rv>
  <rv s="0">
    <fb>45020</fb>
    <v>0</v>
  </rv>
  <rv s="0">
    <fb>287.18</fb>
    <v>1</v>
  </rv>
  <rv s="0">
    <fb>19.64</fb>
    <v>1</v>
  </rv>
  <rv s="0">
    <fb>227.66</fb>
    <v>1</v>
  </rv>
  <rv s="0">
    <fb>138.21</fb>
    <v>1</v>
  </rv>
  <rv s="0">
    <fb>134.88</fb>
    <v>1</v>
  </rv>
  <rv s="0">
    <fb>178.68</fb>
    <v>1</v>
  </rv>
  <rv s="0">
    <fb>29.898</fb>
    <v>1</v>
  </rv>
  <rv s="0">
    <fb>45021</fb>
    <v>0</v>
  </rv>
  <rv s="0">
    <fb>284.33999999999997</fb>
    <v>1</v>
  </rv>
  <rv s="0">
    <fb>19.88</fb>
    <v>1</v>
  </rv>
  <rv s="0">
    <fb>138.09</fb>
    <v>1</v>
  </rv>
  <rv s="0">
    <fb>24.53</fb>
    <v>1</v>
  </rv>
  <rv s="0">
    <fb>131.25</fb>
    <v>1</v>
  </rv>
  <rv s="0">
    <fb>177.04</fb>
    <v>1</v>
  </rv>
  <rv s="0">
    <fb>29.084</fb>
    <v>1</v>
  </rv>
  <rv s="0">
    <fb>45022</fb>
    <v>0</v>
  </rv>
  <rv s="0">
    <fb>291.60000000000002</fb>
    <v>1</v>
  </rv>
  <rv s="0">
    <fb>225.99</fb>
    <v>1</v>
  </rv>
  <rv s="0">
    <fb>24.8</fb>
    <v>1</v>
  </rv>
  <rv s="0">
    <fb>132.47999999999999</fb>
    <v>1</v>
  </rv>
  <rv s="0">
    <fb>173.92</fb>
    <v>1</v>
  </rv>
  <rv s="0">
    <fb>29.01</fb>
    <v>1</v>
  </rv>
  <rv s="0">
    <fb>45026</fb>
    <v>0</v>
  </rv>
  <rv s="0">
    <fb>289.39</fb>
    <v>1</v>
  </rv>
  <rv s="0">
    <fb>226.43</fb>
    <v>1</v>
  </rv>
  <rv s="0">
    <fb>138.02000000000001</fb>
    <v>1</v>
  </rv>
  <rv s="0">
    <fb>132.25</fb>
    <v>1</v>
  </rv>
  <rv s="0">
    <fb>172.24</fb>
    <v>1</v>
  </rv>
  <rv s="0">
    <fb>31.277999999999999</fb>
    <v>1</v>
  </rv>
  <rv s="0">
    <fb>45027</fb>
    <v>0</v>
  </rv>
  <rv s="0">
    <fb>282.83</fb>
    <v>1</v>
  </rv>
  <rv s="0">
    <fb>19.690000000000001</fb>
    <v>1</v>
  </rv>
  <rv s="0">
    <fb>228.45</fb>
    <v>1</v>
  </rv>
  <rv s="0">
    <fb>138.52000000000001</fb>
    <v>1</v>
  </rv>
  <rv s="0">
    <fb>26.02</fb>
    <v>1</v>
  </rv>
  <rv s="0">
    <fb>170.56</fb>
    <v>1</v>
  </rv>
  <rv s="0">
    <fb>33.234999999999999</fb>
    <v>1</v>
  </rv>
  <rv s="0">
    <fb>45028</fb>
    <v>0</v>
  </rv>
  <rv s="0">
    <fb>283.49</fb>
    <v>1</v>
  </rv>
  <rv s="0">
    <fb>19.77</fb>
    <v>1</v>
  </rv>
  <rv s="0">
    <fb>227.81</fb>
    <v>1</v>
  </rv>
  <rv s="0">
    <fb>138.36000000000001</fb>
    <v>1</v>
  </rv>
  <rv s="0">
    <fb>130.91999999999999</fb>
    <v>1</v>
  </rv>
  <rv s="0">
    <fb>171.6</fb>
    <v>1</v>
  </rv>
  <rv s="0">
    <fb>32.283000000000001</fb>
    <v>1</v>
  </rv>
  <rv s="0">
    <fb>45029</fb>
    <v>0</v>
  </rv>
  <rv s="0">
    <fb>289.83999999999997</fb>
    <v>1</v>
  </rv>
  <rv s="0">
    <fb>26.28</fb>
    <v>1</v>
  </rv>
  <rv s="0">
    <fb>134.96</fb>
    <v>1</v>
  </rv>
  <rv s="0">
    <fb>165.36</fb>
    <v>1</v>
  </rv>
  <rv s="0">
    <fb>34.072000000000003</fb>
    <v>1</v>
  </rv>
  <rv s="0">
    <fb>45030</fb>
    <v>0</v>
  </rv>
  <rv s="0">
    <fb>19.93</fb>
    <v>1</v>
  </rv>
  <rv s="0">
    <fb>234.02</fb>
    <v>1</v>
  </rv>
  <rv s="0">
    <fb>139.19999999999999</fb>
    <v>1</v>
  </rv>
  <rv s="0">
    <fb>25.78</fb>
    <v>1</v>
  </rv>
  <rv s="0">
    <fb>134.74</fb>
    <v>1</v>
  </rv>
  <rv s="0">
    <fb>162.44</fb>
    <v>1</v>
  </rv>
  <rv s="0">
    <fb>33.375</fb>
    <v>1</v>
  </rv>
  <rv s="0">
    <fb>45033</fb>
    <v>0</v>
  </rv>
  <rv s="0">
    <fb>288.8</fb>
    <v>1</v>
  </rv>
  <rv s="0">
    <fb>19.79</fb>
    <v>1</v>
  </rv>
  <rv s="0">
    <fb>233.48</fb>
    <v>1</v>
  </rv>
  <rv s="0">
    <fb>140.19</fb>
    <v>1</v>
  </rv>
  <rv s="0">
    <fb>133.78</fb>
    <v>1</v>
  </rv>
  <rv s="0">
    <fb>158</fb>
    <v>1</v>
  </rv>
  <rv s="0">
    <fb>31.303000000000001</fb>
    <v>1</v>
  </rv>
  <rv s="0">
    <fb>45034</fb>
    <v>0</v>
  </rv>
  <rv s="0">
    <fb>288.37</fb>
    <v>1</v>
  </rv>
  <rv s="0">
    <fb>19.82</fb>
    <v>1</v>
  </rv>
  <rv s="0">
    <fb>233.6</fb>
    <v>1</v>
  </rv>
  <rv s="0">
    <fb>139</fb>
    <v>1</v>
  </rv>
  <rv s="0">
    <fb>26.66</fb>
    <v>1</v>
  </rv>
  <rv s="0">
    <fb>32.984999999999999</fb>
    <v>1</v>
  </rv>
  <rv s="0">
    <fb>45035</fb>
    <v>0</v>
  </rv>
  <rv s="0">
    <fb>288.45</fb>
    <v>1</v>
  </rv>
  <rv s="0">
    <fb>19.7</fb>
    <v>1</v>
  </rv>
  <rv s="0">
    <fb>232.57</fb>
    <v>1</v>
  </rv>
  <rv s="0">
    <fb>133.56</fb>
    <v>1</v>
  </rv>
  <rv s="0">
    <fb>156.36000000000001</fb>
    <v>1</v>
  </rv>
  <rv s="0">
    <fb>31.472000000000001</fb>
    <v>1</v>
  </rv>
  <rv s="0">
    <fb>45036</fb>
    <v>0</v>
  </rv>
  <rv s="0">
    <fb>286.11</fb>
    <v>1</v>
  </rv>
  <rv s="0">
    <fb>17.649999999999999</fb>
    <v>1</v>
  </rv>
  <rv s="0">
    <fb>234.6</fb>
    <v>1</v>
  </rv>
  <rv s="0">
    <fb>135.53</fb>
    <v>1</v>
  </rv>
  <rv s="0">
    <fb>133.33000000000001</fb>
    <v>1</v>
  </rv>
  <rv s="0">
    <fb>159.80000000000001</fb>
    <v>1</v>
  </rv>
  <rv s="0">
    <fb>29.471</fb>
    <v>1</v>
  </rv>
  <rv s="0">
    <fb>45037</fb>
    <v>0</v>
  </rv>
  <rv s="0">
    <fb>285.76</fb>
    <v>1</v>
  </rv>
  <rv s="0">
    <fb>234.05</fb>
    <v>1</v>
  </rv>
  <rv s="0">
    <fb>138.5</fb>
    <v>1</v>
  </rv>
  <rv s="0">
    <fb>25.01</fb>
    <v>1</v>
  </rv>
  <rv s="0">
    <fb>133.76</fb>
    <v>1</v>
  </rv>
  <rv s="0">
    <fb>156.80000000000001</fb>
    <v>1</v>
  </rv>
  <rv s="0">
    <fb>29.102</fb>
    <v>1</v>
  </rv>
  <rv s="0">
    <fb>45040</fb>
    <v>0</v>
  </rv>
  <rv s="0">
    <fb>281.77</fb>
    <v>1</v>
  </rv>
  <rv s="0">
    <fb>17.53</fb>
    <v>1</v>
  </rv>
  <rv s="0">
    <fb>232.76</fb>
    <v>1</v>
  </rv>
  <rv s="0">
    <fb>138.47999999999999</fb>
    <v>1</v>
  </rv>
  <rv s="0">
    <fb>131.44999999999999</fb>
    <v>1</v>
  </rv>
  <rv s="0">
    <fb>155.96</fb>
    <v>1</v>
  </rv>
  <rv s="0">
    <fb>28.533000000000001</fb>
    <v>1</v>
  </rv>
  <rv s="0">
    <fb>45041</fb>
    <v>0</v>
  </rv>
  <rv s="0">
    <fb>275.42</fb>
    <v>1</v>
  </rv>
  <rv s="0">
    <fb>229.59</fb>
    <v>1</v>
  </rv>
  <rv s="0">
    <fb>130.37</fb>
    <v>1</v>
  </rv>
  <rv s="0">
    <fb>24.18</fb>
    <v>1</v>
  </rv>
  <rv s="0">
    <fb>138.19999999999999</fb>
    <v>1</v>
  </rv>
  <rv s="0">
    <fb>169.16</fb>
    <v>1</v>
  </rv>
  <rv s="0">
    <fb>29.091000000000001</fb>
    <v>1</v>
  </rv>
  <rv s="0">
    <fb>45042</fb>
    <v>0</v>
  </rv>
  <rv s="0">
    <fb>295.37</fb>
    <v>1</v>
  </rv>
  <rv s="0">
    <fb>17.2</fb>
    <v>1</v>
  </rv>
  <rv s="0">
    <fb>228.15</fb>
    <v>1</v>
  </rv>
  <rv s="0">
    <fb>133.12</fb>
    <v>1</v>
  </rv>
  <rv s="0">
    <fb>23.48</fb>
    <v>1</v>
  </rv>
  <rv s="0">
    <fb>164.88</fb>
    <v>1</v>
  </rv>
  <rv s="0">
    <fb>29.946000000000002</fb>
    <v>1</v>
  </rv>
  <rv s="0">
    <fb>45043</fb>
    <v>0</v>
  </rv>
  <rv s="0">
    <fb>304.83</fb>
    <v>1</v>
  </rv>
  <rv s="0">
    <fb>17.61</fb>
    <v>1</v>
  </rv>
  <rv s="0">
    <fb>229.01</fb>
    <v>1</v>
  </rv>
  <rv s="0">
    <fb>132.16999999999999</fb>
    <v>1</v>
  </rv>
  <rv s="0">
    <fb>157.72</fb>
    <v>1</v>
  </rv>
  <rv s="0">
    <fb>31.864000000000001</fb>
    <v>1</v>
  </rv>
  <rv s="0">
    <fb>45044</fb>
    <v>0</v>
  </rv>
  <rv s="0">
    <fb>307.26</fb>
    <v>1</v>
  </rv>
  <rv s="0">
    <fb>17.670000000000002</fb>
    <v>1</v>
  </rv>
  <rv s="0">
    <fb>232.73</fb>
    <v>1</v>
  </rv>
  <rv s="0">
    <fb>135.43</fb>
    <v>1</v>
  </rv>
  <rv s="0">
    <fb>133.6</fb>
    <v>1</v>
  </rv>
  <rv s="0">
    <fb>151.44</fb>
    <v>1</v>
  </rv>
  <rv s="0">
    <fb>32.838000000000001</fb>
    <v>1</v>
  </rv>
  <rv s="0">
    <fb>45047</fb>
    <v>0</v>
  </rv>
  <rv s="0">
    <fb>305.56</fb>
    <v>1</v>
  </rv>
  <rv s="0">
    <fb>232.51</fb>
    <v>1</v>
  </rv>
  <rv s="0">
    <fb>22.89</fb>
    <v>1</v>
  </rv>
  <rv s="0">
    <fb>138.43</fb>
    <v>1</v>
  </rv>
  <rv s="0">
    <fb>30.747</fb>
    <v>1</v>
  </rv>
  <rv s="0">
    <fb>45048</fb>
    <v>0</v>
  </rv>
  <rv s="0">
    <fb>305.41000000000003</fb>
    <v>1</v>
  </rv>
  <rv s="0">
    <fb>17.07</fb>
    <v>1</v>
  </rv>
  <rv s="0">
    <fb>226.98</fb>
    <v>1</v>
  </rv>
  <rv s="0">
    <fb>134.52000000000001</fb>
    <v>1</v>
  </rv>
  <rv s="0">
    <fb>136.38999999999999</fb>
    <v>1</v>
  </rv>
  <rv s="0">
    <fb>155.56</fb>
    <v>1</v>
  </rv>
  <rv s="0">
    <fb>32.801000000000002</fb>
    <v>1</v>
  </rv>
  <rv s="0">
    <fb>45049</fb>
    <v>0</v>
  </rv>
  <rv s="0">
    <fb>304.39999999999998</fb>
    <v>1</v>
  </rv>
  <rv s="0">
    <fb>17.09</fb>
    <v>1</v>
  </rv>
  <rv s="0">
    <fb>225.98</fb>
    <v>1</v>
  </rv>
  <rv s="0">
    <fb>134.77000000000001</fb>
    <v>1</v>
  </rv>
  <rv s="0">
    <fb>21.75</fb>
    <v>1</v>
  </rv>
  <rv s="0">
    <fb>138.06</fb>
    <v>1</v>
  </rv>
  <rv s="0">
    <fb>160.4</fb>
    <v>1</v>
  </rv>
  <rv s="0">
    <fb>30.425000000000001</fb>
    <v>1</v>
  </rv>
  <rv s="0">
    <fb>45050</fb>
    <v>0</v>
  </rv>
  <rv s="0">
    <fb>16.91</fb>
    <v>1</v>
  </rv>
  <rv s="0">
    <fb>133.88</fb>
    <v>1</v>
  </rv>
  <rv s="0">
    <fb>140.47999999999999</fb>
    <v>1</v>
  </rv>
  <rv s="0">
    <fb>168.24</fb>
    <v>1</v>
  </rv>
  <rv s="0">
    <fb>31.223500000000001</fb>
    <v>1</v>
  </rv>
  <rv s="0">
    <fb>45051</fb>
    <v>0</v>
  </rv>
  <rv s="0">
    <fb>310.64999999999998</fb>
    <v>1</v>
  </rv>
  <rv s="0">
    <fb>17.13</fb>
    <v>1</v>
  </rv>
  <rv s="0">
    <fb>231.78</fb>
    <v>1</v>
  </rv>
  <rv s="0">
    <fb>133.30000000000001</fb>
    <v>1</v>
  </rv>
  <rv s="0">
    <fb>21.68</fb>
    <v>1</v>
  </rv>
  <rv s="0">
    <fb>141.75</fb>
    <v>1</v>
  </rv>
  <rv s="0">
    <fb>155</fb>
    <v>1</v>
  </rv>
  <rv s="0">
    <fb>32.671999999999997</fb>
    <v>1</v>
  </rv>
  <rv s="0">
    <fb>45054</fb>
    <v>0</v>
  </rv>
  <rv s="0">
    <fb>308.64999999999998</fb>
    <v>1</v>
  </rv>
  <rv s="0">
    <fb>17.12</fb>
    <v>1</v>
  </rv>
  <rv s="0">
    <fb>232.23</fb>
    <v>1</v>
  </rv>
  <rv s="0">
    <fb>132.44999999999999</fb>
    <v>1</v>
  </rv>
  <rv s="0">
    <fb>21.59</fb>
    <v>1</v>
  </rv>
  <rv s="0">
    <fb>144.53</fb>
    <v>1</v>
  </rv>
  <rv s="0">
    <fb>152.44</fb>
    <v>1</v>
  </rv>
  <rv s="0">
    <fb>29.466999999999999</fb>
    <v>1</v>
  </rv>
  <rv s="0">
    <fb>45055</fb>
    <v>0</v>
  </rv>
  <rv s="0">
    <fb>307</fb>
    <v>1</v>
  </rv>
  <rv s="0">
    <fb>143.69999999999999</fb>
    <v>1</v>
  </rv>
  <rv s="0">
    <fb>30.343</fb>
    <v>1</v>
  </rv>
  <rv s="0">
    <fb>45056</fb>
    <v>0</v>
  </rv>
  <rv s="0">
    <fb>312.31</fb>
    <v>1</v>
  </rv>
  <rv s="0">
    <fb>17.04</fb>
    <v>1</v>
  </rv>
  <rv s="0">
    <fb>231.27</fb>
    <v>1</v>
  </rv>
  <rv s="0">
    <fb>128.06</fb>
    <v>1</v>
  </rv>
  <rv s="0">
    <fb>21.36</fb>
    <v>1</v>
  </rv>
  <rv s="0">
    <fb>147.74</fb>
    <v>1</v>
  </rv>
  <rv s="0">
    <fb>151.36000000000001</fb>
    <v>1</v>
  </rv>
  <rv s="0">
    <fb>31.510999999999999</fb>
    <v>1</v>
  </rv>
  <rv s="0">
    <fb>45057</fb>
    <v>0</v>
  </rv>
  <rv s="0">
    <fb>16.96</fb>
    <v>1</v>
  </rv>
  <rv s="0">
    <fb>231.01</fb>
    <v>1</v>
  </rv>
  <rv s="0">
    <fb>127.66</fb>
    <v>1</v>
  </rv>
  <rv s="0">
    <fb>21.21</fb>
    <v>1</v>
  </rv>
  <rv s="0">
    <fb>147.06</fb>
    <v>1</v>
  </rv>
  <rv s="0">
    <fb>149.88</fb>
    <v>1</v>
  </rv>
  <rv s="0">
    <fb>28.736999999999998</fb>
    <v>1</v>
  </rv>
  <rv s="0">
    <fb>45058</fb>
    <v>0</v>
  </rv>
  <rv s="0">
    <fb>308.97000000000003</fb>
    <v>1</v>
  </rv>
  <rv s="0">
    <fb>231.38</fb>
    <v>1</v>
  </rv>
  <rv s="0">
    <fb>127.49</fb>
    <v>1</v>
  </rv>
  <rv s="0">
    <fb>21.13</fb>
    <v>1</v>
  </rv>
  <rv s="0">
    <fb>142.53</fb>
    <v>1</v>
  </rv>
  <rv s="0">
    <fb>27.1</fb>
    <v>1</v>
  </rv>
  <rv s="0">
    <fb>45061</fb>
    <v>0</v>
  </rv>
  <rv s="0">
    <fb>309.45999999999998</fb>
    <v>1</v>
  </rv>
  <rv s="0">
    <fb>16.95</fb>
    <v>1</v>
  </rv>
  <rv s="0">
    <fb>232.81</fb>
    <v>1</v>
  </rv>
  <rv s="0">
    <fb>127.99</fb>
    <v>1</v>
  </rv>
  <rv s="0">
    <fb>144.22</fb>
    <v>1</v>
  </rv>
  <rv s="0">
    <fb>146</fb>
    <v>1</v>
  </rv>
  <rv s="0">
    <fb>28.25</fb>
    <v>1</v>
  </rv>
  <rv s="0">
    <fb>45062</fb>
    <v>0</v>
  </rv>
  <rv s="0">
    <fb>311.74</fb>
    <v>1</v>
  </rv>
  <rv s="0">
    <fb>16.53</fb>
    <v>1</v>
  </rv>
  <rv s="0">
    <fb>230.47</fb>
    <v>1</v>
  </rv>
  <rv s="0">
    <fb>126.29</fb>
    <v>1</v>
  </rv>
  <rv s="0">
    <fb>20.98</fb>
    <v>1</v>
  </rv>
  <rv s="0">
    <fb>146.32</fb>
    <v>1</v>
  </rv>
  <rv s="0">
    <fb>150.44</fb>
    <v>1</v>
  </rv>
  <rv s="0">
    <fb>27.344000000000001</fb>
    <v>1</v>
  </rv>
  <rv s="0">
    <fb>45063</fb>
    <v>0</v>
  </rv>
  <rv s="0">
    <fb>314</fb>
    <v>1</v>
  </rv>
  <rv s="0">
    <fb>16.66</fb>
    <v>1</v>
  </rv>
  <rv s="0">
    <fb>127.77</fb>
    <v>1</v>
  </rv>
  <rv s="0">
    <fb>145.44</fb>
    <v>1</v>
  </rv>
  <rv s="0">
    <fb>29.056999999999999</fb>
    <v>1</v>
  </rv>
  <rv s="0">
    <fb>45064</fb>
    <v>0</v>
  </rv>
  <rv s="0">
    <fb>318.52</fb>
    <v>1</v>
  </rv>
  <rv s="0">
    <fb>129.13999999999999</fb>
    <v>1</v>
  </rv>
  <rv s="0">
    <fb>22.17</fb>
    <v>1</v>
  </rv>
  <rv s="0">
    <fb>151.47999999999999</fb>
    <v>1</v>
  </rv>
  <rv s="0">
    <fb>139.6</fb>
    <v>1</v>
  </rv>
  <rv s="0">
    <fb>28.757999999999999</fb>
    <v>1</v>
  </rv>
  <rv s="0">
    <fb>45065</fb>
    <v>0</v>
  </rv>
  <rv s="0">
    <fb>318.33999999999997</fb>
    <v>1</v>
  </rv>
  <rv s="0">
    <fb>233.31</fb>
    <v>1</v>
  </rv>
  <rv s="0">
    <fb>128.87</fb>
    <v>1</v>
  </rv>
  <rv s="0">
    <fb>21.82</fb>
    <v>1</v>
  </rv>
  <rv s="0">
    <fb>149.43</fb>
    <v>1</v>
  </rv>
  <rv s="0">
    <fb>143.08000000000001</fb>
    <v>1</v>
  </rv>
  <rv s="0">
    <fb>28.827999999999999</fb>
    <v>1</v>
  </rv>
  <rv s="0">
    <fb>45068</fb>
    <v>0</v>
  </rv>
  <rv s="0">
    <fb>321.18</fb>
    <v>1</v>
  </rv>
  <rv s="0">
    <fb>16.38</fb>
    <v>1</v>
  </rv>
  <rv s="0">
    <fb>231.28</fb>
    <v>1</v>
  </rv>
  <rv s="0">
    <fb>129.09</fb>
    <v>1</v>
  </rv>
  <rv s="0">
    <fb>143.24</fb>
    <v>1</v>
  </rv>
  <rv s="0">
    <fb>29.411999999999999</fb>
    <v>1</v>
  </rv>
  <rv s="0">
    <fb>45069</fb>
    <v>0</v>
  </rv>
  <rv s="0">
    <fb>315.26</fb>
    <v>1</v>
  </rv>
  <rv s="0">
    <fb>16.100000000000001</fb>
    <v>1</v>
  </rv>
  <rv s="0">
    <fb>224.58</fb>
    <v>1</v>
  </rv>
  <rv s="0">
    <fb>145.96</fb>
    <v>1</v>
  </rv>
  <rv s="0">
    <fb>28.933</fb>
    <v>1</v>
  </rv>
  <rv s="0">
    <fb>45070</fb>
    <v>0</v>
  </rv>
  <rv s="0">
    <fb>313.85000000000002</fb>
    <v>1</v>
  </rv>
  <rv s="0">
    <fb>15.95</fb>
    <v>1</v>
  </rv>
  <rv s="0">
    <fb>222.25</fb>
    <v>1</v>
  </rv>
  <rv s="0">
    <fb>120.99</fb>
    <v>1</v>
  </rv>
  <rv s="0">
    <fb>147.04</fb>
    <v>1</v>
  </rv>
  <rv s="0">
    <fb>151.84</fb>
    <v>1</v>
  </rv>
  <rv s="0">
    <fb>28.443000000000001</fb>
    <v>1</v>
  </rv>
  <rv s="0">
    <fb>45071</fb>
    <v>0</v>
  </rv>
  <rv s="0">
    <fb>325.92</fb>
    <v>1</v>
  </rv>
  <rv s="0">
    <fb>15.15</fb>
    <v>1</v>
  </rv>
  <rv s="0">
    <fb>223.38</fb>
    <v>1</v>
  </rv>
  <rv s="0">
    <fb>119.49</fb>
    <v>1</v>
  </rv>
  <rv s="0">
    <fb>147.65</fb>
    <v>1</v>
  </rv>
  <rv s="0">
    <fb>28.099</fb>
    <v>1</v>
  </rv>
  <rv s="0">
    <fb>45072</fb>
    <v>0</v>
  </rv>
  <rv s="0">
    <fb>332.89</fb>
    <v>1</v>
  </rv>
  <rv s="0">
    <fb>15.5</fb>
    <v>1</v>
  </rv>
  <rv s="0">
    <fb>225.01</fb>
    <v>1</v>
  </rv>
  <rv s="0">
    <fb>120.42</fb>
    <v>1</v>
  </rv>
  <rv s="0">
    <fb>150.31</fb>
    <v>1</v>
  </rv>
  <rv s="0">
    <fb>142.6</fb>
    <v>1</v>
  </rv>
  <rv s="0">
    <fb>28.51</fb>
    <v>1</v>
  </rv>
  <rv s="0">
    <fb>45076</fb>
    <v>0</v>
  </rv>
  <rv s="0">
    <fb>331.21</fb>
    <v>1</v>
  </rv>
  <rv s="0">
    <fb>15.64</fb>
    <v>1</v>
  </rv>
  <rv s="0">
    <fb>221.64</fb>
    <v>1</v>
  </rv>
  <rv s="0">
    <fb>117.73</fb>
    <v>1</v>
  </rv>
  <rv s="0">
    <fb>21.28</fb>
    <v>1</v>
  </rv>
  <rv s="0">
    <fb>148.01</fb>
    <v>1</v>
  </rv>
  <rv s="0">
    <fb>138.91999999999999</fb>
    <v>1</v>
  </rv>
  <rv s="0">
    <fb>29.927</fb>
    <v>1</v>
  </rv>
  <rv s="0">
    <fb>45077</fb>
    <v>0</v>
  </rv>
  <rv s="0">
    <fb>221.03</fb>
    <v>1</v>
  </rv>
  <rv s="0">
    <fb>115.67</fb>
    <v>1</v>
  </rv>
  <rv s="0">
    <fb>20.92</fb>
    <v>1</v>
  </rv>
  <rv s="0">
    <fb>148.9</fb>
    <v>1</v>
  </rv>
  <rv s="0">
    <fb>137.84</fb>
    <v>1</v>
  </rv>
  <rv s="0">
    <fb>30.163</fb>
    <v>1</v>
  </rv>
  <rv s="0">
    <fb>45078</fb>
    <v>0</v>
  </rv>
  <rv s="0">
    <fb>332.58</fb>
    <v>1</v>
  </rv>
  <rv s="0">
    <fb>15.81</fb>
    <v>1</v>
  </rv>
  <rv s="0">
    <fb>226.5</fb>
    <v>1</v>
  </rv>
  <rv s="0">
    <fb>116.26</fb>
    <v>1</v>
  </rv>
  <rv s="0">
    <fb>153.91999999999999</fb>
    <v>1</v>
  </rv>
  <rv s="0">
    <fb>129.96</fb>
    <v>1</v>
  </rv>
  <rv s="0">
    <fb>29.994</fb>
    <v>1</v>
  </rv>
  <rv s="0">
    <fb>45079</fb>
    <v>0</v>
  </rv>
  <rv s="0">
    <fb>335.4</fb>
    <v>1</v>
  </rv>
  <rv s="0">
    <fb>15.21</fb>
    <v>1</v>
  </rv>
  <rv s="0">
    <fb>228.79</fb>
    <v>1</v>
  </rv>
  <rv s="0">
    <fb>118.22</fb>
    <v>1</v>
  </rv>
  <rv s="0">
    <fb>124.72</fb>
    <v>1</v>
  </rv>
  <rv s="0">
    <fb>30.213000000000001</fb>
    <v>1</v>
  </rv>
  <rv s="0">
    <fb>45082</fb>
    <v>0</v>
  </rv>
  <rv s="0">
    <fb>335.94</fb>
    <v>1</v>
  </rv>
  <rv s="0">
    <fb>15.39</fb>
    <v>1</v>
  </rv>
  <rv s="0">
    <fb>118.35</fb>
    <v>1</v>
  </rv>
  <rv s="0">
    <fb>21.92</fb>
    <v>1</v>
  </rv>
  <rv s="0">
    <fb>156.34</fb>
    <v>1</v>
  </rv>
  <rv s="0">
    <fb>122.44</fb>
    <v>1</v>
  </rv>
  <rv s="0">
    <fb>27.635999999999999</fb>
    <v>1</v>
  </rv>
  <rv s="0">
    <fb>45083</fb>
    <v>0</v>
  </rv>
  <rv s="0">
    <fb>333.68</fb>
    <v>1</v>
  </rv>
  <rv s="0">
    <fb>228.22</fb>
    <v>1</v>
  </rv>
  <rv s="0">
    <fb>117.44</fb>
    <v>1</v>
  </rv>
  <rv s="0">
    <fb>115.12</fb>
    <v>1</v>
  </rv>
  <rv s="0">
    <fb>29.882000000000001</fb>
    <v>1</v>
  </rv>
  <rv s="0">
    <fb>45084</fb>
    <v>0</v>
  </rv>
  <rv s="0">
    <fb>323.38</fb>
    <v>1</v>
  </rv>
  <rv s="0">
    <fb>116.59</fb>
    <v>1</v>
  </rv>
  <rv s="0">
    <fb>115.64</fb>
    <v>1</v>
  </rv>
  <rv s="0">
    <fb>29.081</fb>
    <v>1</v>
  </rv>
  <rv s="0">
    <fb>45085</fb>
    <v>0</v>
  </rv>
  <rv s="0">
    <fb>325.26</fb>
    <v>1</v>
  </rv>
  <rv s="0">
    <fb>16.07</fb>
    <v>1</v>
  </rv>
  <rv s="0">
    <fb>223.05</fb>
    <v>1</v>
  </rv>
  <rv s="0">
    <fb>114.69</fb>
    <v>1</v>
  </rv>
  <rv s="0">
    <fb>149.47</fb>
    <v>1</v>
  </rv>
  <rv s="0">
    <fb>112.84</fb>
    <v>1</v>
  </rv>
  <rv s="0">
    <fb>29.093</fb>
    <v>1</v>
  </rv>
  <rv s="0">
    <fb>45086</fb>
    <v>0</v>
  </rv>
  <rv s="0">
    <fb>326.79000000000002</fb>
    <v>1</v>
  </rv>
  <rv s="0">
    <fb>115.79</fb>
    <v>1</v>
  </rv>
  <rv s="0">
    <fb>22.35</fb>
    <v>1</v>
  </rv>
  <rv s="0">
    <fb>150.47999999999999</fb>
    <v>1</v>
  </rv>
  <rv s="0">
    <fb>113.44</fb>
    <v>1</v>
  </rv>
  <rv s="0">
    <fb>28.233000000000001</fb>
    <v>1</v>
  </rv>
  <rv s="0">
    <fb>45089</fb>
    <v>0</v>
  </rv>
  <rv s="0">
    <fb>331.85</fb>
    <v>1</v>
  </rv>
  <rv s="0">
    <fb>118.54</fb>
    <v>1</v>
  </rv>
  <rv s="0">
    <fb>22.52</fb>
    <v>1</v>
  </rv>
  <rv s="0">
    <fb>150.6</fb>
    <v>1</v>
  </rv>
  <rv s="0">
    <fb>113.96</fb>
    <v>1</v>
  </rv>
  <rv s="0">
    <fb>27.77</fb>
    <v>1</v>
  </rv>
  <rv s="0">
    <fb>45090</fb>
    <v>0</v>
  </rv>
  <rv s="0">
    <fb>334.29</fb>
    <v>1</v>
  </rv>
  <rv s="0">
    <fb>15.82</fb>
    <v>1</v>
  </rv>
  <rv s="0">
    <fb>223.4</fb>
    <v>1</v>
  </rv>
  <rv s="0">
    <fb>119.5</fb>
    <v>1</v>
  </rv>
  <rv s="0">
    <fb>23.88</fb>
    <v>1</v>
  </rv>
  <rv s="0">
    <fb>151.54</fb>
    <v>1</v>
  </rv>
  <rv s="0">
    <fb>113.68</fb>
    <v>1</v>
  </rv>
  <rv s="0">
    <fb>28.382000000000001</fb>
    <v>1</v>
  </rv>
  <rv s="0">
    <fb>45091</fb>
    <v>0</v>
  </rv>
  <rv s="0">
    <fb>337.34</fb>
    <v>1</v>
  </rv>
  <rv s="0">
    <fb>15.84</fb>
    <v>1</v>
  </rv>
  <rv s="0">
    <fb>223.44</fb>
    <v>1</v>
  </rv>
  <rv s="0">
    <fb>119.4</fb>
    <v>1</v>
  </rv>
  <rv s="0">
    <fb>23.56</fb>
    <v>1</v>
  </rv>
  <rv s="0">
    <fb>151.65</fb>
    <v>1</v>
  </rv>
  <rv s="0">
    <fb>28.288</fb>
    <v>1</v>
  </rv>
  <rv s="0">
    <fb>45092</fb>
    <v>0</v>
  </rv>
  <rv s="0">
    <fb>348.1</fb>
    <v>1</v>
  </rv>
  <rv s="0">
    <fb>16.03</fb>
    <v>1</v>
  </rv>
  <rv s="0">
    <fb>121.23</fb>
    <v>1</v>
  </rv>
  <rv s="0">
    <fb>152.18</fb>
    <v>1</v>
  </rv>
  <rv s="0">
    <fb>113.2</fb>
    <v>1</v>
  </rv>
  <rv s="0">
    <fb>27.792000000000002</fb>
    <v>1</v>
  </rv>
  <rv s="0">
    <fb>45093</fb>
    <v>0</v>
  </rv>
  <rv s="0">
    <fb>342.33</fb>
    <v>1</v>
  </rv>
  <rv s="0">
    <fb>16.059999999999999</fb>
    <v>1</v>
  </rv>
  <rv s="0">
    <fb>228.91</fb>
    <v>1</v>
  </rv>
  <rv s="0">
    <fb>121.13</fb>
    <v>1</v>
  </rv>
  <rv s="0">
    <fb>159.99</fb>
    <v>1</v>
  </rv>
  <rv s="0">
    <fb>109.2</fb>
    <v>1</v>
  </rv>
  <rv s="0">
    <fb>29.338999999999999</fb>
    <v>1</v>
  </rv>
  <rv s="0">
    <fb>45097</fb>
    <v>0</v>
  </rv>
  <rv s="0">
    <fb>338.05</fb>
    <v>1</v>
  </rv>
  <rv s="0">
    <fb>15.78</fb>
    <v>1</v>
  </rv>
  <rv s="0">
    <fb>226.47</fb>
    <v>1</v>
  </rv>
  <rv s="0">
    <fb>118.16</fb>
    <v>1</v>
  </rv>
  <rv s="0">
    <fb>23.47</fb>
    <v>1</v>
  </rv>
  <rv s="0">
    <fb>156.82</fb>
    <v>1</v>
  </rv>
  <rv s="0">
    <fb>109.4</fb>
    <v>1</v>
  </rv>
  <rv s="0">
    <fb>31.34</fb>
    <v>1</v>
  </rv>
  <rv s="0">
    <fb>45098</fb>
    <v>0</v>
  </rv>
  <rv s="0">
    <fb>333.56</fb>
    <v>1</v>
  </rv>
  <rv s="0">
    <fb>15.61</fb>
    <v>1</v>
  </rv>
  <rv s="0">
    <fb>227.25</fb>
    <v>1</v>
  </rv>
  <rv s="0">
    <fb>118.33</fb>
    <v>1</v>
  </rv>
  <rv s="0">
    <fb>23.39</fb>
    <v>1</v>
  </rv>
  <rv s="0">
    <fb>155.93</fb>
    <v>1</v>
  </rv>
  <rv s="0">
    <fb>107.16</fb>
    <v>1</v>
  </rv>
  <rv s="0">
    <fb>33.131</fb>
    <v>1</v>
  </rv>
  <rv s="0">
    <fb>45099</fb>
    <v>0</v>
  </rv>
  <rv s="0">
    <fb>339.71</fb>
    <v>1</v>
  </rv>
  <rv s="0">
    <fb>15.58</fb>
    <v>1</v>
  </rv>
  <rv s="0">
    <fb>118.68</fb>
    <v>1</v>
  </rv>
  <rv s="0">
    <fb>23.42</fb>
    <v>1</v>
  </rv>
  <rv s="0">
    <fb>159.09</fb>
    <v>1</v>
  </rv>
  <rv s="0">
    <fb>104.6</fb>
    <v>1</v>
  </rv>
  <rv s="0">
    <fb>32.722999999999999</fb>
    <v>1</v>
  </rv>
  <rv s="0">
    <fb>45100</fb>
    <v>0</v>
  </rv>
  <rv s="0">
    <fb>335.02</fb>
    <v>1</v>
  </rv>
  <rv s="0">
    <fb>15.45</fb>
    <v>1</v>
  </rv>
  <rv s="0">
    <fb>229.55</fb>
    <v>1</v>
  </rv>
  <rv s="0">
    <fb>119.42</fb>
    <v>1</v>
  </rv>
  <rv s="0">
    <fb>23.33</fb>
    <v>1</v>
  </rv>
  <rv s="0">
    <fb>105.92</fb>
    <v>1</v>
  </rv>
  <rv s="0">
    <fb>32.911000000000001</fb>
    <v>1</v>
  </rv>
  <rv s="0">
    <fb>45103</fb>
    <v>0</v>
  </rv>
  <rv s="0">
    <fb>328.6</fb>
    <v>1</v>
  </rv>
  <rv s="0">
    <fb>15.63</fb>
    <v>1</v>
  </rv>
  <rv s="0">
    <fb>226.3</fb>
    <v>1</v>
  </rv>
  <rv s="0">
    <fb>118.37</fb>
    <v>1</v>
  </rv>
  <rv s="0">
    <fb>23.89</fb>
    <v>1</v>
  </rv>
  <rv s="0">
    <fb>153.78</fb>
    <v>1</v>
  </rv>
  <rv s="0">
    <fb>105.72</fb>
    <v>1</v>
  </rv>
  <rv s="0">
    <fb>30.574000000000002</fb>
    <v>1</v>
  </rv>
  <rv s="0">
    <fb>45104</fb>
    <v>0</v>
  </rv>
  <rv s="0">
    <fb>334.57</fb>
    <v>1</v>
  </rv>
  <rv s="0">
    <fb>117.04</fb>
    <v>1</v>
  </rv>
  <rv s="0">
    <fb>24.7</fb>
    <v>1</v>
  </rv>
  <rv s="0">
    <fb>158.62</fb>
    <v>1</v>
  </rv>
  <rv s="0">
    <fb>103.08</fb>
    <v>1</v>
  </rv>
  <rv s="0">
    <fb>32.488</fb>
    <v>1</v>
  </rv>
  <rv s="0">
    <fb>45105</fb>
    <v>0</v>
  </rv>
  <rv s="0">
    <fb>335.85</fb>
    <v>1</v>
  </rv>
  <rv s="0">
    <fb>227.96</fb>
    <v>1</v>
  </rv>
  <rv s="0">
    <fb>116.37</fb>
    <v>1</v>
  </rv>
  <rv s="0">
    <fb>160.57</fb>
    <v>1</v>
  </rv>
  <rv s="0">
    <fb>99.32</fb>
    <v>1</v>
  </rv>
  <rv s="0">
    <fb>32.561</fb>
    <v>1</v>
  </rv>
  <rv s="0">
    <fb>45106</fb>
    <v>0</v>
  </rv>
  <rv s="0">
    <fb>335.05</fb>
    <v>1</v>
  </rv>
  <rv s="0">
    <fb>15.98</fb>
    <v>1</v>
  </rv>
  <rv s="0">
    <fb>118.05</fb>
    <v>1</v>
  </rv>
  <rv s="0">
    <fb>24.99</fb>
    <v>1</v>
  </rv>
  <rv s="0">
    <fb>159.26</fb>
    <v>1</v>
  </rv>
  <rv s="0">
    <fb>101.48</fb>
    <v>1</v>
  </rv>
  <rv s="0">
    <fb>34.025500000000001</fb>
    <v>1</v>
  </rv>
  <rv s="0">
    <fb>45107</fb>
    <v>0</v>
  </rv>
  <rv s="0">
    <fb>340.54</fb>
    <v>1</v>
  </rv>
  <rv s="0">
    <fb>237.48</fb>
    <v>1</v>
  </rv>
  <rv s="0">
    <fb>120.25</fb>
    <v>1</v>
  </rv>
  <rv s="0">
    <fb>160.55000000000001</fb>
    <v>1</v>
  </rv>
  <rv s="0">
    <fb>34.241999999999997</fb>
    <v>1</v>
  </rv>
  <rv s="0">
    <fb>45110</fb>
    <v>0</v>
  </rv>
  <rv s="0">
    <fb>337.99</fb>
    <v>1</v>
  </rv>
  <rv s="0">
    <fb>16.12</fb>
    <v>1</v>
  </rv>
  <rv s="0">
    <fb>237.97</fb>
    <v>1</v>
  </rv>
  <rv s="0">
    <fb>119.32</fb>
    <v>1</v>
  </rv>
  <rv s="0">
    <fb>160.56</fb>
    <v>1</v>
  </rv>
  <rv s="0">
    <fb>98.96</fb>
    <v>1</v>
  </rv>
  <rv s="0">
    <fb>37.783999999999999</fb>
    <v>1</v>
  </rv>
  <rv s="0">
    <fb>45112</fb>
    <v>0</v>
  </rv>
  <rv s="0">
    <fb>338.15</fb>
    <v>1</v>
  </rv>
  <rv s="0">
    <fb>239.45</fb>
    <v>1</v>
  </rv>
  <rv s="0">
    <fb>23.96</fb>
    <v>1</v>
  </rv>
  <rv s="0">
    <fb>160.72999999999999</fb>
    <v>1</v>
  </rv>
  <rv s="0">
    <fb>100.28</fb>
    <v>1</v>
  </rv>
  <rv s="0">
    <fb>37.811</fb>
    <v>1</v>
  </rv>
  <rv s="0">
    <fb>45113</fb>
    <v>0</v>
  </rv>
  <rv s="0">
    <fb>15.87</fb>
    <v>1</v>
  </rv>
  <rv s="0">
    <fb>238.88</fb>
    <v>1</v>
  </rv>
  <rv s="0">
    <fb>118.43</fb>
    <v>1</v>
  </rv>
  <rv s="0">
    <fb>156.62</fb>
    <v>1</v>
  </rv>
  <rv s="0">
    <fb>106.04</fb>
    <v>1</v>
  </rv>
  <rv s="0">
    <fb>37.655000000000001</fb>
    <v>1</v>
  </rv>
  <rv s="0">
    <fb>45114</fb>
    <v>0</v>
  </rv>
  <rv s="0">
    <fb>337.22</fb>
    <v>1</v>
  </rv>
  <rv s="0">
    <fb>236.45</fb>
    <v>1</v>
  </rv>
  <rv s="0">
    <fb>117</fb>
    <v>1</v>
  </rv>
  <rv s="0">
    <fb>156.97</fb>
    <v>1</v>
  </rv>
  <rv s="0">
    <fb>103.32</fb>
    <v>1</v>
  </rv>
  <rv s="0">
    <fb>38.073999999999998</fb>
    <v>1</v>
  </rv>
  <rv s="0">
    <fb>45117</fb>
    <v>0</v>
  </rv>
  <rv s="0">
    <fb>331.83</fb>
    <v>1</v>
  </rv>
  <rv s="0">
    <fb>15.27</fb>
    <v>1</v>
  </rv>
  <rv s="0">
    <fb>238.16</fb>
    <v>1</v>
  </rv>
  <rv s="0">
    <fb>118.36</fb>
    <v>1</v>
  </rv>
  <rv s="0">
    <fb>24.24</fb>
    <v>1</v>
  </rv>
  <rv s="0">
    <fb>157.38999999999999</fb>
    <v>1</v>
  </rv>
  <rv s="0">
    <fb>102.64</fb>
    <v>1</v>
  </rv>
  <rv s="0">
    <fb>40.771000000000001</fb>
    <v>1</v>
  </rv>
  <rv s="0">
    <fb>45118</fb>
    <v>0</v>
  </rv>
  <rv s="0">
    <fb>332.47</fb>
    <v>1</v>
  </rv>
  <rv s="0">
    <fb>15.23</fb>
    <v>1</v>
  </rv>
  <rv s="0">
    <fb>240.55</fb>
    <v>1</v>
  </rv>
  <rv s="0">
    <fb>160.58000000000001</fb>
    <v>1</v>
  </rv>
  <rv s="0">
    <fb>101.88</fb>
    <v>1</v>
  </rv>
  <rv s="0">
    <fb>41.23</fb>
    <v>1</v>
  </rv>
  <rv s="0">
    <fb>45119</fb>
    <v>0</v>
  </rv>
  <rv s="0">
    <fb>337.2</fb>
    <v>1</v>
  </rv>
  <rv s="0">
    <fb>242.21</fb>
    <v>1</v>
  </rv>
  <rv s="0">
    <fb>120</fb>
    <v>1</v>
  </rv>
  <rv s="0">
    <fb>165.79</fb>
    <v>1</v>
  </rv>
  <rv s="0">
    <fb>96.28</fb>
    <v>1</v>
  </rv>
  <rv s="0">
    <fb>41.348999999999997</fb>
    <v>1</v>
  </rv>
  <rv s="0">
    <fb>45120</fb>
    <v>0</v>
  </rv>
  <rv s="0">
    <fb>342.66</fb>
    <v>1</v>
  </rv>
  <rv s="0">
    <fb>243.31</fb>
    <v>1</v>
  </rv>
  <rv s="0">
    <fb>119.35</fb>
    <v>1</v>
  </rv>
  <rv s="0">
    <fb>25.02</fb>
    <v>1</v>
  </rv>
  <rv s="0">
    <fb>171.1</fb>
    <v>1</v>
  </rv>
  <rv s="0">
    <fb>96.84</fb>
    <v>1</v>
  </rv>
  <rv s="0">
    <fb>46.183</fb>
    <v>1</v>
  </rv>
  <rv s="0">
    <fb>45121</fb>
    <v>0</v>
  </rv>
  <rv s="0">
    <fb>345.24</fb>
    <v>1</v>
  </rv>
  <rv s="0">
    <fb>14.5</fb>
    <v>1</v>
  </rv>
  <rv s="0">
    <fb>243.16</fb>
    <v>1</v>
  </rv>
  <rv s="0">
    <fb>119.75</fb>
    <v>1</v>
  </rv>
  <rv s="0">
    <fb>24.51</fb>
    <v>1</v>
  </rv>
  <rv s="0">
    <fb>172.03</fb>
    <v>1</v>
  </rv>
  <rv s="0">
    <fb>95.68</fb>
    <v>1</v>
  </rv>
  <rv s="0">
    <fb>45.886000000000003</fb>
    <v>1</v>
  </rv>
  <rv s="0">
    <fb>45124</fb>
    <v>0</v>
  </rv>
  <rv s="0">
    <fb>345.73</fb>
    <v>1</v>
  </rv>
  <rv s="0">
    <fb>13.53</fb>
    <v>1</v>
  </rv>
  <rv s="0">
    <fb>243.99</fb>
    <v>1</v>
  </rv>
  <rv s="0">
    <fb>118.25</fb>
    <v>1</v>
  </rv>
  <rv s="0">
    <fb>24.61</fb>
    <v>1</v>
  </rv>
  <rv s="0">
    <fb>179.17</fb>
    <v>1</v>
  </rv>
  <rv s="0">
    <fb>95.48</fb>
    <v>1</v>
  </rv>
  <rv s="0">
    <fb>44.988</fb>
    <v>1</v>
  </rv>
  <rv s="0">
    <fb>45125</fb>
    <v>0</v>
  </rv>
  <rv s="0">
    <fb>359.49</fb>
    <v>1</v>
  </rv>
  <rv s="0">
    <fb>13.45</fb>
    <v>1</v>
  </rv>
  <rv s="0">
    <fb>240.77</fb>
    <v>1</v>
  </rv>
  <rv s="0">
    <fb>119.56</fb>
    <v>1</v>
  </rv>
  <rv s="0">
    <fb>179.58</fb>
    <v>1</v>
  </rv>
  <rv s="0">
    <fb>93.92</fb>
    <v>1</v>
  </rv>
  <rv s="0">
    <fb>44.579500000000003</fb>
    <v>1</v>
  </rv>
  <rv s="0">
    <fb>45126</fb>
    <v>0</v>
  </rv>
  <rv s="0">
    <fb>355.08</fb>
    <v>1</v>
  </rv>
  <rv s="0">
    <fb>14.59</fb>
    <v>1</v>
  </rv>
  <rv s="0">
    <fb>241.42</fb>
    <v>1</v>
  </rv>
  <rv s="0">
    <fb>24.64</fb>
    <v>1</v>
  </rv>
  <rv s="0">
    <fb>95.6</fb>
    <v>1</v>
  </rv>
  <rv s="0">
    <fb>45.31</fb>
    <v>1</v>
  </rv>
  <rv s="0">
    <fb>45127</fb>
    <v>0</v>
  </rv>
  <rv s="0">
    <fb>346.87</fb>
    <v>1</v>
  </rv>
  <rv s="0">
    <fb>14.66</fb>
    <v>1</v>
  </rv>
  <rv s="0">
    <fb>239.62</fb>
    <v>1</v>
  </rv>
  <rv s="0">
    <fb>124.55</fb>
    <v>1</v>
  </rv>
  <rv s="0">
    <fb>172.48</fb>
    <v>1</v>
  </rv>
  <rv s="0">
    <fb>95.96</fb>
    <v>1</v>
  </rv>
  <rv s="0">
    <fb>44.082999999999998</fb>
    <v>1</v>
  </rv>
  <rv s="0">
    <fb>45128</fb>
    <v>0</v>
  </rv>
  <rv s="0">
    <fb>343.77</fb>
    <v>1</v>
  </rv>
  <rv s="0">
    <fb>14.76</fb>
    <v>1</v>
  </rv>
  <rv s="0">
    <fb>239.25</fb>
    <v>1</v>
  </rv>
  <rv s="0">
    <fb>127.62</fb>
    <v>1</v>
  </rv>
  <rv s="0">
    <fb>171.71</fb>
    <v>1</v>
  </rv>
  <rv s="0">
    <fb>94.8</fb>
    <v>1</v>
  </rv>
  <rv s="0">
    <fb>43.664999999999999</fb>
    <v>1</v>
  </rv>
  <rv s="0">
    <fb>45131</fb>
    <v>0</v>
  </rv>
  <rv s="0">
    <fb>345.11</fb>
    <v>1</v>
  </rv>
  <rv s="0">
    <fb>14.95</fb>
    <v>1</v>
  </rv>
  <rv s="0">
    <fb>127.72</fb>
    <v>1</v>
  </rv>
  <rv s="0">
    <fb>24.71</fb>
    <v>1</v>
  </rv>
  <rv s="0">
    <fb>163.72</fb>
    <v>1</v>
  </rv>
  <rv s="0">
    <fb>93.2</fb>
    <v>1</v>
  </rv>
  <rv s="0">
    <fb>43.093499999999999</fb>
    <v>1</v>
  </rv>
  <rv s="0">
    <fb>45132</fb>
    <v>0</v>
  </rv>
  <rv s="0">
    <fb>350.98</fb>
    <v>1</v>
  </rv>
  <rv s="0">
    <fb>14.8</fb>
    <v>1</v>
  </rv>
  <rv s="0">
    <fb>238.69</fb>
    <v>1</v>
  </rv>
  <rv s="0">
    <fb>127.31</fb>
    <v>1</v>
  </rv>
  <rv s="0">
    <fb>140.38</fb>
    <v>1</v>
  </rv>
  <rv s="0">
    <fb>93.16</fb>
    <v>1</v>
  </rv>
  <rv s="0">
    <fb>43.682000000000002</fb>
    <v>1</v>
  </rv>
  <rv s="0">
    <fb>45133</fb>
    <v>0</v>
  </rv>
  <rv s="0">
    <fb>337.77</fb>
    <v>1</v>
  </rv>
  <rv s="0">
    <fb>14.89</fb>
    <v>1</v>
  </rv>
  <rv s="0">
    <fb>237.1</fb>
    <v>1</v>
  </rv>
  <rv s="0">
    <fb>128.47</fb>
    <v>1</v>
  </rv>
  <rv s="0">
    <fb>25.68</fb>
    <v>1</v>
  </rv>
  <rv s="0">
    <fb>149.13</fb>
    <v>1</v>
  </rv>
  <rv s="0">
    <fb>90.68</fb>
    <v>1</v>
  </rv>
  <rv s="0">
    <fb>44.345999999999997</fb>
    <v>1</v>
  </rv>
  <rv s="0">
    <fb>45134</fb>
    <v>0</v>
  </rv>
  <rv s="0">
    <fb>330.72</fb>
    <v>1</v>
  </rv>
  <rv s="0">
    <fb>14.51</fb>
    <v>1</v>
  </rv>
  <rv s="0">
    <fb>234.44</fb>
    <v>1</v>
  </rv>
  <rv s="0">
    <fb>126.66</fb>
    <v>1</v>
  </rv>
  <rv s="0">
    <fb>25.03</fb>
    <v>1</v>
  </rv>
  <rv s="0">
    <fb>144.52000000000001</fb>
    <v>1</v>
  </rv>
  <rv s="0">
    <fb>95.2</fb>
    <v>1</v>
  </rv>
  <rv s="0">
    <fb>42.615000000000002</fb>
    <v>1</v>
  </rv>
  <rv s="0">
    <fb>45135</fb>
    <v>0</v>
  </rv>
  <rv s="0">
    <fb>338.37</fb>
    <v>1</v>
  </rv>
  <rv s="0">
    <fb>14.45</fb>
    <v>1</v>
  </rv>
  <rv s="0">
    <fb>126.05</fb>
    <v>1</v>
  </rv>
  <rv s="0">
    <fb>91.6</fb>
    <v>1</v>
  </rv>
  <rv s="0">
    <fb>43.460999999999999</fb>
    <v>1</v>
  </rv>
  <rv s="0">
    <fb>45138</fb>
    <v>0</v>
  </rv>
  <rv s="0">
    <fb>335.92</fb>
    <v>1</v>
  </rv>
  <rv s="0">
    <fb>14.52</fb>
    <v>1</v>
  </rv>
  <rv s="0">
    <fb>237.73</fb>
    <v>1</v>
  </rv>
  <rv s="0">
    <fb>121.77</fb>
    <v>1</v>
  </rv>
  <rv s="0">
    <fb>149.41</fb>
    <v>1</v>
  </rv>
  <rv s="0">
    <fb>90.4</fb>
    <v>1</v>
  </rv>
  <rv s="0">
    <fb>43.787999999999997</fb>
    <v>1</v>
  </rv>
  <rv s="0">
    <fb>45139</fb>
    <v>0</v>
  </rv>
  <rv s="0">
    <fb>336.34</fb>
    <v>1</v>
  </rv>
  <rv s="0">
    <fb>14.3</fb>
    <v>1</v>
  </rv>
  <rv s="0">
    <fb>122.48</fb>
    <v>1</v>
  </rv>
  <rv s="0">
    <fb>150.84</fb>
    <v>1</v>
  </rv>
  <rv s="0">
    <fb>91.8</fb>
    <v>1</v>
  </rv>
  <rv s="0">
    <fb>45140</fb>
    <v>0</v>
  </rv>
  <rv s="0">
    <fb>327.5</fb>
    <v>1</v>
  </rv>
  <rv s="0">
    <fb>14.35</fb>
    <v>1</v>
  </rv>
  <rv s="0">
    <fb>237.56</fb>
    <v>1</v>
  </rv>
  <rv s="0">
    <fb>24.49</fb>
    <v>1</v>
  </rv>
  <rv s="0">
    <fb>146.51</fb>
    <v>1</v>
  </rv>
  <rv s="0">
    <fb>100.08</fb>
    <v>1</v>
  </rv>
  <rv s="0">
    <fb>40.732999999999997</fb>
    <v>1</v>
  </rv>
  <rv s="0">
    <fb>45141</fb>
    <v>0</v>
  </rv>
  <rv s="0">
    <fb>326.66000000000003</fb>
    <v>1</v>
  </rv>
  <rv s="0">
    <fb>14.09</fb>
    <v>1</v>
  </rv>
  <rv s="0">
    <fb>238.76</fb>
    <v>1</v>
  </rv>
  <rv s="0">
    <fb>125.05</fb>
    <v>1</v>
  </rv>
  <rv s="0">
    <fb>24.26</fb>
    <v>1</v>
  </rv>
  <rv s="0">
    <fb>145.41999999999999</fb>
    <v>1</v>
  </rv>
  <rv s="0">
    <fb>99.76</fb>
    <v>1</v>
  </rv>
  <rv s="0">
    <fb>38.991</fb>
    <v>1</v>
  </rv>
  <rv s="0">
    <fb>45142</fb>
    <v>0</v>
  </rv>
  <rv s="0">
    <fb>327.78</fb>
    <v>1</v>
  </rv>
  <rv s="0">
    <fb>14</fb>
    <v>1</v>
  </rv>
  <rv s="0">
    <fb>238.99</fb>
    <v>1</v>
  </rv>
  <rv s="0">
    <fb>24.11</fb>
    <v>1</v>
  </rv>
  <rv s="0">
    <fb>144.12</fb>
    <v>1</v>
  </rv>
  <rv s="0">
    <fb>37.697000000000003</fb>
    <v>1</v>
  </rv>
  <rv s="0">
    <fb>45145</fb>
    <v>0</v>
  </rv>
  <rv s="0">
    <fb>330.11</fb>
    <v>1</v>
  </rv>
  <rv s="0">
    <fb>14.01</fb>
    <v>1</v>
  </rv>
  <rv s="0">
    <fb>241.51</fb>
    <v>1</v>
  </rv>
  <rv s="0">
    <fb>126.51</fb>
    <v>1</v>
  </rv>
  <rv s="0">
    <fb>24.33</fb>
    <v>1</v>
  </rv>
  <rv s="0">
    <fb>141.99</fb>
    <v>1</v>
  </rv>
  <rv s="0">
    <fb>97.92</fb>
    <v>1</v>
  </rv>
  <rv s="0">
    <fb>37.082000000000001</fb>
    <v>1</v>
  </rv>
  <rv s="0">
    <fb>45146</fb>
    <v>0</v>
  </rv>
  <rv s="0">
    <fb>326.05</fb>
    <v>1</v>
  </rv>
  <rv s="0">
    <fb>14.18</fb>
    <v>1</v>
  </rv>
  <rv s="0">
    <fb>239.29</fb>
    <v>1</v>
  </rv>
  <rv s="0">
    <fb>128.35</fb>
    <v>1</v>
  </rv>
  <rv s="0">
    <fb>23.9</fb>
    <v>1</v>
  </rv>
  <rv s="0">
    <fb>138.37</fb>
    <v>1</v>
  </rv>
  <rv s="0">
    <fb>99.64</fb>
    <v>1</v>
  </rv>
  <rv s="0">
    <fb>38.948</fb>
    <v>1</v>
  </rv>
  <rv s="0">
    <fb>45147</fb>
    <v>0</v>
  </rv>
  <rv s="0">
    <fb>322.23</fb>
    <v>1</v>
  </rv>
  <rv s="0">
    <fb>14.27</fb>
    <v>1</v>
  </rv>
  <rv s="0">
    <fb>239.76</fb>
    <v>1</v>
  </rv>
  <rv s="0">
    <fb>139.09</fb>
    <v>1</v>
  </rv>
  <rv s="0">
    <fb>98.76</fb>
    <v>1</v>
  </rv>
  <rv s="0">
    <fb>45148</fb>
    <v>0</v>
  </rv>
  <rv s="0">
    <fb>322.93</fb>
    <v>1</v>
  </rv>
  <rv s="0">
    <fb>14.17</fb>
    <v>1</v>
  </rv>
  <rv s="0">
    <fb>127.65</fb>
    <v>1</v>
  </rv>
  <rv s="0">
    <fb>136.43</fb>
    <v>1</v>
  </rv>
  <rv s="0">
    <fb>99.2</fb>
    <v>1</v>
  </rv>
  <rv s="0">
    <fb>37.801000000000002</fb>
    <v>1</v>
  </rv>
  <rv s="0">
    <fb>45149</fb>
    <v>0</v>
  </rv>
  <rv s="0">
    <fb>321.01</fb>
    <v>1</v>
  </rv>
  <rv s="0">
    <fb>14.37</fb>
    <v>1</v>
  </rv>
  <rv s="0">
    <fb>240.04</fb>
    <v>1</v>
  </rv>
  <rv s="0">
    <fb>126.86</fb>
    <v>1</v>
  </rv>
  <rv s="0">
    <fb>138.68</fb>
    <v>1</v>
  </rv>
  <rv s="0">
    <fb>95.32</fb>
    <v>1</v>
  </rv>
  <rv s="0">
    <fb>38.430999999999997</fb>
    <v>1</v>
  </rv>
  <rv s="0">
    <fb>45152</fb>
    <v>0</v>
  </rv>
  <rv s="0">
    <fb>324.04000000000002</fb>
    <v>1</v>
  </rv>
  <rv s="0">
    <fb>14.26</fb>
    <v>1</v>
  </rv>
  <rv s="0">
    <fb>242.9</fb>
    <v>1</v>
  </rv>
  <rv s="0">
    <fb>126.65</fb>
    <v>1</v>
  </rv>
  <rv s="0">
    <fb>31.08</fb>
    <v>1</v>
  </rv>
  <rv s="0">
    <fb>139.38</fb>
    <v>1</v>
  </rv>
  <rv s="0">
    <fb>93.68</fb>
    <v>1</v>
  </rv>
  <rv s="0">
    <fb>38.883000000000003</fb>
    <v>1</v>
  </rv>
  <rv s="0">
    <fb>45153</fb>
    <v>0</v>
  </rv>
  <rv s="0">
    <fb>321.86</fb>
    <v>1</v>
  </rv>
  <rv s="0">
    <fb>14.14</fb>
    <v>1</v>
  </rv>
  <rv s="0">
    <fb>239.83</fb>
    <v>1</v>
  </rv>
  <rv s="0">
    <fb>30.23</fb>
    <v>1</v>
  </rv>
  <rv s="0">
    <fb>99.08</fb>
    <v>1</v>
  </rv>
  <rv s="0">
    <fb>37.615000000000002</fb>
    <v>1</v>
  </rv>
  <rv s="0">
    <fb>45154</fb>
    <v>0</v>
  </rv>
  <rv s="0">
    <fb>320.39999999999998</fb>
    <v>1</v>
  </rv>
  <rv s="0">
    <fb>14.1</fb>
    <v>1</v>
  </rv>
  <rv s="0">
    <fb>121.36</fb>
    <v>1</v>
  </rv>
  <rv s="0">
    <fb>30.65</fb>
    <v>1</v>
  </rv>
  <rv s="0">
    <fb>134.35</fb>
    <v>1</v>
  </rv>
  <rv s="0">
    <fb>100.68</fb>
    <v>1</v>
  </rv>
  <rv s="0">
    <fb>36.966999999999999</fb>
    <v>1</v>
  </rv>
  <rv s="0">
    <fb>45155</fb>
    <v>0</v>
  </rv>
  <rv s="0">
    <fb>316.88</fb>
    <v>1</v>
  </rv>
  <rv s="0">
    <fb>237.37</fb>
    <v>1</v>
  </rv>
  <rv s="0">
    <fb>120.85</fb>
    <v>1</v>
  </rv>
  <rv s="0">
    <fb>30.71</fb>
    <v>1</v>
  </rv>
  <rv s="0">
    <fb>131.57</fb>
    <v>1</v>
  </rv>
  <rv s="0">
    <fb>105.52</fb>
    <v>1</v>
  </rv>
  <rv s="0">
    <fb>34.679000000000002</fb>
    <v>1</v>
  </rv>
  <rv s="0">
    <fb>45156</fb>
    <v>0</v>
  </rv>
  <rv s="0">
    <fb>316.48</fb>
    <v>1</v>
  </rv>
  <rv s="0">
    <fb>14.05</fb>
    <v>1</v>
  </rv>
  <rv s="0">
    <fb>238.17</fb>
    <v>1</v>
  </rv>
  <rv s="0">
    <fb>119.25</fb>
    <v>1</v>
  </rv>
  <rv s="0">
    <fb>30.99</fb>
    <v>1</v>
  </rv>
  <rv s="0">
    <fb>102.84</fb>
    <v>1</v>
  </rv>
  <rv s="0">
    <fb>32.862000000000002</fb>
    <v>1</v>
  </rv>
  <rv s="0">
    <fb>45159</fb>
    <v>0</v>
  </rv>
  <rv s="0">
    <fb>321.88</fb>
    <v>1</v>
  </rv>
  <rv s="0">
    <fb>239.46</fb>
    <v>1</v>
  </rv>
  <rv s="0">
    <fb>31.93</fb>
    <v>1</v>
  </rv>
  <rv s="0">
    <fb>132.49</fb>
    <v>1</v>
  </rv>
  <rv s="0">
    <fb>100.12</fb>
    <v>1</v>
  </rv>
  <rv s="0">
    <fb>33.524999999999999</fb>
    <v>1</v>
  </rv>
  <rv s="0">
    <fb>45160</fb>
    <v>0</v>
  </rv>
  <rv s="0">
    <fb>322.45999999999998</fb>
    <v>1</v>
  </rv>
  <rv s="0">
    <fb>240.57</fb>
    <v>1</v>
  </rv>
  <rv s="0">
    <fb>117.64</fb>
    <v>1</v>
  </rv>
  <rv s="0">
    <fb>32.020000000000003</fb>
    <v>1</v>
  </rv>
  <rv s="0">
    <fb>133.44</fb>
    <v>1</v>
  </rv>
  <rv s="0">
    <fb>100.56</fb>
    <v>1</v>
  </rv>
  <rv s="0">
    <fb>32.951000000000001</fb>
    <v>1</v>
  </rv>
  <rv s="0">
    <fb>45161</fb>
    <v>0</v>
  </rv>
  <rv s="0">
    <fb>327</fb>
    <v>1</v>
  </rv>
  <rv s="0">
    <fb>14.16</fb>
    <v>1</v>
  </rv>
  <rv s="0">
    <fb>242.3</fb>
    <v>1</v>
  </rv>
  <rv s="0">
    <fb>119.13</fb>
    <v>1</v>
  </rv>
  <rv s="0">
    <fb>31.32</fb>
    <v>1</v>
  </rv>
  <rv s="0">
    <fb>138.24</fb>
    <v>1</v>
  </rv>
  <rv s="0">
    <fb>97.22</fb>
    <v>1</v>
  </rv>
  <rv s="0">
    <fb>34.64</fb>
    <v>1</v>
  </rv>
  <rv s="0">
    <fb>45162</fb>
    <v>0</v>
  </rv>
  <rv s="0">
    <fb>319.97000000000003</fb>
    <v>1</v>
  </rv>
  <rv s="0">
    <fb>14.15</fb>
    <v>1</v>
  </rv>
  <rv s="0">
    <fb>239.47</fb>
    <v>1</v>
  </rv>
  <rv s="0">
    <fb>30.45</fb>
    <v>1</v>
  </rv>
  <rv s="0">
    <fb>135.76</fb>
    <v>1</v>
  </rv>
  <rv s="0">
    <fb>101.2</fb>
    <v>1</v>
  </rv>
  <rv s="0">
    <fb>33.655999999999999</fb>
    <v>1</v>
  </rv>
  <rv s="0">
    <fb>45163</fb>
    <v>0</v>
  </rv>
  <rv s="0">
    <fb>322.98</fb>
    <v>1</v>
  </rv>
  <rv s="0">
    <fb>14.11</fb>
    <v>1</v>
  </rv>
  <rv s="0">
    <fb>242.57</fb>
    <v>1</v>
  </rv>
  <rv s="0">
    <fb>119.68</fb>
    <v>1</v>
  </rv>
  <rv s="0">
    <fb>30.29</fb>
    <v>1</v>
  </rv>
  <rv s="0">
    <fb>137.22</fb>
    <v>1</v>
  </rv>
  <rv s="0">
    <fb>96.8</fb>
    <v>1</v>
  </rv>
  <rv s="0">
    <fb>33.604999999999997</fb>
    <v>1</v>
  </rv>
  <rv s="0">
    <fb>45166</fb>
    <v>0</v>
  </rv>
  <rv s="0">
    <fb>323.7</fb>
    <v>1</v>
  </rv>
  <rv s="0">
    <fb>14.21</fb>
    <v>1</v>
  </rv>
  <rv s="0">
    <fb>119.92</fb>
    <v>1</v>
  </rv>
  <rv s="0">
    <fb>141.26</fb>
    <v>1</v>
  </rv>
  <rv s="0">
    <fb>93</fb>
    <v>1</v>
  </rv>
  <rv s="0">
    <fb>34.436999999999998</fb>
    <v>1</v>
  </rv>
  <rv s="0">
    <fb>45167</fb>
    <v>0</v>
  </rv>
  <rv s="0">
    <fb>328.41</fb>
    <v>1</v>
  </rv>
  <rv s="0">
    <fb>14.77</fb>
    <v>1</v>
  </rv>
  <rv s="0">
    <fb>245.34</fb>
    <v>1</v>
  </rv>
  <rv s="0">
    <fb>122.02</fb>
    <v>1</v>
  </rv>
  <rv s="0">
    <fb>30.87</fb>
    <v>1</v>
  </rv>
  <rv s="0">
    <fb>144.51</fb>
    <v>1</v>
  </rv>
  <rv s="0">
    <fb>38.152000000000001</fb>
    <v>1</v>
  </rv>
  <rv s="0">
    <fb>45168</fb>
    <v>0</v>
  </rv>
  <rv s="0">
    <fb>328.79</fb>
    <v>1</v>
  </rv>
  <rv s="0">
    <fb>14.73</fb>
    <v>1</v>
  </rv>
  <rv s="0">
    <fb>122.68</fb>
    <v>1</v>
  </rv>
  <rv s="0">
    <fb>30.73</fb>
    <v>1</v>
  </rv>
  <rv s="0">
    <fb>149.44999999999999</fb>
    <v>1</v>
  </rv>
  <rv s="0">
    <fb>87.96</fb>
    <v>1</v>
  </rv>
  <rv s="0">
    <fb>37.167999999999999</fb>
    <v>1</v>
  </rv>
  <rv s="0">
    <fb>45169</fb>
    <v>0</v>
  </rv>
  <rv s="0">
    <fb>327.76</fb>
    <v>1</v>
  </rv>
  <rv s="0">
    <fb>14.79</fb>
    <v>1</v>
  </rv>
  <rv s="0">
    <fb>245.68</fb>
    <v>1</v>
  </rv>
  <rv s="0">
    <fb>121.07</fb>
    <v>1</v>
  </rv>
  <rv s="0">
    <fb>31.09</fb>
    <v>1</v>
  </rv>
  <rv s="0">
    <fb>153.97</fb>
    <v>1</v>
  </rv>
  <rv s="0">
    <fb>35.753</fb>
    <v>1</v>
  </rv>
  <rv s="0">
    <fb>45170</fb>
    <v>0</v>
  </rv>
  <rv s="0">
    <fb>328.66</fb>
    <v>1</v>
  </rv>
  <rv s="0">
    <fb>14.65</fb>
    <v>1</v>
  </rv>
  <rv s="0">
    <fb>248.11</fb>
    <v>1</v>
  </rv>
  <rv s="0">
    <fb>121.91</fb>
    <v>1</v>
  </rv>
  <rv s="0">
    <fb>31.04</fb>
    <v>1</v>
  </rv>
  <rv s="0">
    <fb>157.56</fb>
    <v>1</v>
  </rv>
  <rv s="0">
    <fb>84.84</fb>
    <v>1</v>
  </rv>
  <rv s="0">
    <fb>35.148000000000003</fb>
    <v>1</v>
  </rv>
  <rv s="0">
    <fb>45174</fb>
    <v>0</v>
  </rv>
  <rv s="0">
    <fb>333.55</fb>
    <v>1</v>
  </rv>
  <rv s="0">
    <fb>14.48</fb>
    <v>1</v>
  </rv>
  <rv s="0">
    <fb>31.18</fb>
    <v>1</v>
  </rv>
  <rv s="0">
    <fb>159.32</fb>
    <v>1</v>
  </rv>
  <rv s="0">
    <fb>85.4</fb>
    <v>1</v>
  </rv>
  <rv s="0">
    <fb>34.924999999999997</fb>
    <v>1</v>
  </rv>
  <rv s="0">
    <fb>45175</fb>
    <v>0</v>
  </rv>
  <rv s="0">
    <fb>332.88</fb>
    <v>1</v>
  </rv>
  <rv s="0">
    <fb>14.61</fb>
    <v>1</v>
  </rv>
  <rv s="0">
    <fb>246.16</fb>
    <v>1</v>
  </rv>
  <rv s="0">
    <fb>160.47</fb>
    <v>1</v>
  </rv>
  <rv s="0">
    <fb>86.96</fb>
    <v>1</v>
  </rv>
  <rv s="0">
    <fb>35.07</fb>
    <v>1</v>
  </rv>
  <rv s="0">
    <fb>45176</fb>
    <v>0</v>
  </rv>
  <rv s="0">
    <fb>329.91</fb>
    <v>1</v>
  </rv>
  <rv s="0">
    <fb>247.14</fb>
    <v>1</v>
  </rv>
  <rv s="0">
    <fb>30.82</fb>
    <v>1</v>
  </rv>
  <rv s="0">
    <fb>160.1</fb>
    <v>1</v>
  </rv>
  <rv s="0">
    <fb>35.307000000000002</fb>
    <v>1</v>
  </rv>
  <rv s="0">
    <fb>45177</fb>
    <v>0</v>
  </rv>
  <rv s="0">
    <fb>334.27</fb>
    <v>1</v>
  </rv>
  <rv s="0">
    <fb>14.4</fb>
    <v>1</v>
  </rv>
  <rv s="0">
    <fb>247.29</fb>
    <v>1</v>
  </rv>
  <rv s="0">
    <fb>30.76</fb>
    <v>1</v>
  </rv>
  <rv s="0">
    <fb>155.47</fb>
    <v>1</v>
  </rv>
  <rv s="0">
    <fb>85.12</fb>
    <v>1</v>
  </rv>
  <rv s="0">
    <fb>35.628</fb>
    <v>1</v>
  </rv>
  <rv s="0">
    <fb>45180</fb>
    <v>0</v>
  </rv>
  <rv s="0">
    <fb>337.94</fb>
    <v>1</v>
  </rv>
  <rv s="0">
    <fb>247.22</fb>
    <v>1</v>
  </rv>
  <rv s="0">
    <fb>113.1</fb>
    <v>1</v>
  </rv>
  <rv s="0">
    <fb>30.57</fb>
    <v>1</v>
  </rv>
  <rv s="0">
    <fb>83.12</fb>
    <v>1</v>
  </rv>
  <rv s="0">
    <fb>34.268000000000001</fb>
    <v>1</v>
  </rv>
  <rv s="0">
    <fb>45181</fb>
    <v>0</v>
  </rv>
  <rv s="0">
    <fb>331.77</fb>
    <v>1</v>
  </rv>
  <rv s="0">
    <fb>14.46</fb>
    <v>1</v>
  </rv>
  <rv s="0">
    <fb>112.78</fb>
    <v>1</v>
  </rv>
  <rv s="0">
    <fb>30.25</fb>
    <v>1</v>
  </rv>
  <rv s="0">
    <fb>154.65</fb>
    <v>1</v>
  </rv>
  <rv s="0">
    <fb>83.72</fb>
    <v>1</v>
  </rv>
  <rv s="0">
    <fb>34.776000000000003</fb>
    <v>1</v>
  </rv>
  <rv s="0">
    <fb>45182</fb>
    <v>0</v>
  </rv>
  <rv s="0">
    <fb>14.62</fb>
    <v>1</v>
  </rv>
  <rv s="0">
    <fb>247.83</fb>
    <v>1</v>
  </rv>
  <rv s="0">
    <fb>113.43</fb>
    <v>1</v>
  </rv>
  <rv s="0">
    <fb>30.28</fb>
    <v>1</v>
  </rv>
  <rv s="0">
    <fb>155.49</fb>
    <v>1</v>
  </rv>
  <rv s="0">
    <fb>82.04</fb>
    <v>1</v>
  </rv>
  <rv s="0">
    <fb>34.183999999999997</fb>
    <v>1</v>
  </rv>
  <rv s="0">
    <fb>45183</fb>
    <v>0</v>
  </rv>
  <rv s="0">
    <fb>338.7</fb>
    <v>1</v>
  </rv>
  <rv s="0">
    <fb>241.5</fb>
    <v>1</v>
  </rv>
  <rv s="0">
    <fb>114.88</fb>
    <v>1</v>
  </rv>
  <rv s="0">
    <fb>30.84</fb>
    <v>1</v>
  </rv>
  <rv s="0">
    <fb>157.15</fb>
    <v>1</v>
  </rv>
  <rv s="0">
    <fb>79.64</fb>
    <v>1</v>
  </rv>
  <rv s="0">
    <fb>45184</fb>
    <v>0</v>
  </rv>
  <rv s="0">
    <fb>330.22</fb>
    <v>1</v>
  </rv>
  <rv s="0">
    <fb>115.91</fb>
    <v>1</v>
  </rv>
  <rv s="0">
    <fb>30.68</fb>
    <v>1</v>
  </rv>
  <rv s="0">
    <fb>158.58000000000001</fb>
    <v>1</v>
  </rv>
  <rv s="0">
    <fb>82.72</fb>
    <v>1</v>
  </rv>
  <rv s="0">
    <fb>34.078000000000003</fb>
    <v>1</v>
  </rv>
  <rv s="0">
    <fb>45187</fb>
    <v>0</v>
  </rv>
  <rv s="0">
    <fb>329.06</fb>
    <v>1</v>
  </rv>
  <rv s="0">
    <fb>15.09</fb>
    <v>1</v>
  </rv>
  <rv s="0">
    <fb>244.66</fb>
    <v>1</v>
  </rv>
  <rv s="0">
    <fb>112.69</fb>
    <v>1</v>
  </rv>
  <rv s="0">
    <fb>30.53</fb>
    <v>1</v>
  </rv>
  <rv s="0">
    <fb>159.24</fb>
    <v>1</v>
  </rv>
  <rv s="0">
    <fb>34.061999999999998</fb>
    <v>1</v>
  </rv>
  <rv s="0">
    <fb>45188</fb>
    <v>0</v>
  </rv>
  <rv s="0">
    <fb>328.65</fb>
    <v>1</v>
  </rv>
  <rv s="0">
    <fb>243.56</fb>
    <v>1</v>
  </rv>
  <rv s="0">
    <fb>112.31</fb>
    <v>1</v>
  </rv>
  <rv s="0">
    <fb>31.66</fb>
    <v>1</v>
  </rv>
  <rv s="0">
    <fb>160.16999999999999</fb>
    <v>1</v>
  </rv>
  <rv s="0">
    <fb>81.64</fb>
    <v>1</v>
  </rv>
  <rv s="0">
    <fb>33.926000000000002</fb>
    <v>1</v>
  </rv>
  <rv s="0">
    <fb>45189</fb>
    <v>0</v>
  </rv>
  <rv s="0">
    <fb>320.77</fb>
    <v>1</v>
  </rv>
  <rv s="0">
    <fb>15.55</fb>
    <v>1</v>
  </rv>
  <rv s="0">
    <fb>241.86</fb>
    <v>1</v>
  </rv>
  <rv s="0">
    <fb>112.47</fb>
    <v>1</v>
  </rv>
  <rv s="0">
    <fb>160.77000000000001</fb>
    <v>1</v>
  </rv>
  <rv s="0">
    <fb>84.72</fb>
    <v>1</v>
  </rv>
  <rv s="0">
    <fb>33.347000000000001</fb>
    <v>1</v>
  </rv>
  <rv s="0">
    <fb>45190</fb>
    <v>0</v>
  </rv>
  <rv s="0">
    <fb>319.52999999999997</fb>
    <v>1</v>
  </rv>
  <rv s="0">
    <fb>109.73</fb>
    <v>1</v>
  </rv>
  <rv s="0">
    <fb>31.23</fb>
    <v>1</v>
  </rv>
  <rv s="0">
    <fb>154.06</fb>
    <v>1</v>
  </rv>
  <rv s="0">
    <fb>91.24</fb>
    <v>1</v>
  </rv>
  <rv s="0">
    <fb>32.606000000000002</fb>
    <v>1</v>
  </rv>
  <rv s="0">
    <fb>45191</fb>
    <v>0</v>
  </rv>
  <rv s="0">
    <fb>317.01</fb>
    <v>1</v>
  </rv>
  <rv s="0">
    <fb>235.08</fb>
    <v>1</v>
  </rv>
  <rv s="0">
    <fb>111.41</fb>
    <v>1</v>
  </rv>
  <rv s="0">
    <fb>32</fb>
    <v>1</v>
  </rv>
  <rv s="0">
    <fb>156.35</fb>
    <v>1</v>
  </rv>
  <rv s="0">
    <fb>91.48</fb>
    <v>1</v>
  </rv>
  <rv s="0">
    <fb>32.280999999999999</fb>
    <v>1</v>
  </rv>
  <rv s="0">
    <fb>45194</fb>
    <v>0</v>
  </rv>
  <rv s="0">
    <fb>317.54000000000002</fb>
    <v>1</v>
  </rv>
  <rv s="0">
    <fb>233.36</fb>
    <v>1</v>
  </rv>
  <rv s="0">
    <fb>111.94</fb>
    <v>1</v>
  </rv>
  <rv s="0">
    <fb>155.52000000000001</fb>
    <v>1</v>
  </rv>
  <rv s="0">
    <fb>32.76</fb>
    <v>1</v>
  </rv>
  <rv s="0">
    <fb>45195</fb>
    <v>0</v>
  </rv>
  <rv s="0">
    <fb>312.14</fb>
    <v>1</v>
  </rv>
  <rv s="0">
    <fb>15.02</fb>
    <v>1</v>
  </rv>
  <rv s="0">
    <fb>229.65</fb>
    <v>1</v>
  </rv>
  <rv s="0">
    <fb>110.73</fb>
    <v>1</v>
  </rv>
  <rv s="0">
    <fb>31.57</fb>
    <v>1</v>
  </rv>
  <rv s="0">
    <fb>100.16</fb>
    <v>1</v>
  </rv>
  <rv s="0">
    <fb>31.73</fb>
    <v>1</v>
  </rv>
  <rv s="0">
    <fb>45196</fb>
    <v>0</v>
  </rv>
  <rv s="0">
    <fb>312.79000000000002</fb>
    <v>1</v>
  </rv>
  <rv s="0">
    <fb>14.87</fb>
    <v>1</v>
  </rv>
  <rv s="0">
    <fb>229.5</fb>
    <v>1</v>
  </rv>
  <rv s="0">
    <fb>110.5</fb>
    <v>1</v>
  </rv>
  <rv s="0">
    <fb>32.1</fb>
    <v>1</v>
  </rv>
  <rv s="0">
    <fb>153.75</fb>
    <v>1</v>
  </rv>
  <rv s="0">
    <fb>95.88</fb>
    <v>1</v>
  </rv>
  <rv s="0">
    <fb>31.562999999999999</fb>
    <v>1</v>
  </rv>
  <rv s="0">
    <fb>45197</fb>
    <v>0</v>
  </rv>
  <rv s="0">
    <fb>313.64</fb>
    <v>1</v>
  </rv>
  <rv s="0">
    <fb>15.01</fb>
    <v>1</v>
  </rv>
  <rv s="0">
    <fb>231.66</fb>
    <v>1</v>
  </rv>
  <rv s="0">
    <fb>112</fb>
    <v>1</v>
  </rv>
  <rv s="0">
    <fb>32.25</fb>
    <v>1</v>
  </rv>
  <rv s="0">
    <fb>153.53</fb>
    <v>1</v>
  </rv>
  <rv s="0">
    <fb>32.892000000000003</fb>
    <v>1</v>
  </rv>
  <rv s="0">
    <fb>45198</fb>
    <v>0</v>
  </rv>
  <rv s="0">
    <fb>315.75</fb>
    <v>1</v>
  </rv>
  <rv s="0">
    <fb>230.01</fb>
    <v>1</v>
  </rv>
  <rv s="0">
    <fb>111.82</fb>
    <v>1</v>
  </rv>
  <rv s="0">
    <fb>32.479999999999997</fb>
    <v>1</v>
  </rv>
  <rv s="0">
    <fb>154.63999999999999</fb>
    <v>1</v>
  </rv>
  <rv s="0">
    <fb>93.28</fb>
    <v>1</v>
  </rv>
  <rv s="0">
    <fb>32.828000000000003</fb>
    <v>1</v>
  </rv>
  <rv s="0">
    <fb>45201</fb>
    <v>0</v>
  </rv>
  <rv s="0">
    <fb>321.8</fb>
    <v>1</v>
  </rv>
  <rv s="0">
    <fb>14.67</fb>
    <v>1</v>
  </rv>
  <rv s="0">
    <fb>110.9</fb>
    <v>1</v>
  </rv>
  <rv s="0">
    <fb>32.770000000000003</fb>
    <v>1</v>
  </rv>
  <rv s="0">
    <fb>158.11000000000001</fb>
    <v>1</v>
  </rv>
  <rv s="0">
    <fb>93.44</fb>
    <v>1</v>
  </rv>
  <rv s="0">
    <fb>32.948999999999998</fb>
    <v>1</v>
  </rv>
  <rv s="0">
    <fb>45202</fb>
    <v>0</v>
  </rv>
  <rv s="0">
    <fb>313.39</fb>
    <v>1</v>
  </rv>
  <rv s="0">
    <fb>14.78</fb>
    <v>1</v>
  </rv>
  <rv s="0">
    <fb>228.81</fb>
    <v>1</v>
  </rv>
  <rv s="0">
    <fb>110.26</fb>
    <v>1</v>
  </rv>
  <rv s="0">
    <fb>32.89</fb>
    <v>1</v>
  </rv>
  <rv s="0">
    <fb>31.132999999999999</fb>
    <v>1</v>
  </rv>
  <rv s="0">
    <fb>45203</fb>
    <v>0</v>
  </rv>
  <rv s="0">
    <fb>318.95499999999998</fb>
    <v>1</v>
  </rv>
  <rv s="0">
    <fb>231.22</fb>
    <v>1</v>
  </rv>
  <rv s="0">
    <fb>111.67</fb>
    <v>1</v>
  </rv>
  <rv s="0">
    <fb>32.61</fb>
    <v>1</v>
  </rv>
  <rv s="0">
    <fb>159.58000000000001</fb>
    <v>1</v>
  </rv>
  <rv s="0">
    <fb>97.12</fb>
    <v>1</v>
  </rv>
  <rv s="0">
    <fb>32.04</fb>
    <v>1</v>
  </rv>
  <rv s="0">
    <fb>45204</fb>
    <v>0</v>
  </rv>
  <rv s="0">
    <fb>319.36</fb>
    <v>1</v>
  </rv>
  <rv s="0">
    <fb>14.83</fb>
    <v>1</v>
  </rv>
  <rv s="0">
    <fb>110.35</fb>
    <v>1</v>
  </rv>
  <rv s="0">
    <fb>33</fb>
    <v>1</v>
  </rv>
  <rv s="0">
    <fb>95.76</fb>
    <v>1</v>
  </rv>
  <rv s="0">
    <fb>32.341999999999999</fb>
    <v>1</v>
  </rv>
  <rv s="0">
    <fb>45205</fb>
    <v>0</v>
  </rv>
  <rv s="0">
    <fb>327.26</fb>
    <v>1</v>
  </rv>
  <rv s="0">
    <fb>235.04</fb>
    <v>1</v>
  </rv>
  <rv s="0">
    <fb>110.64</fb>
    <v>1</v>
  </rv>
  <rv s="0">
    <fb>33.07</fb>
    <v>1</v>
  </rv>
  <rv s="0">
    <fb>160.53</fb>
    <v>1</v>
  </rv>
  <rv s="0">
    <fb>94.56</fb>
    <v>1</v>
  </rv>
  <rv s="0">
    <fb>34.063000000000002</fb>
    <v>1</v>
  </rv>
  <rv s="0">
    <fb>45208</fb>
    <v>0</v>
  </rv>
  <rv s="0">
    <fb>329.82</fb>
    <v>1</v>
  </rv>
  <rv s="0">
    <fb>111.28</fb>
    <v>1</v>
  </rv>
  <rv s="0">
    <fb>33.01</fb>
    <v>1</v>
  </rv>
  <rv s="0">
    <fb>156.44999999999999</fb>
    <v>1</v>
  </rv>
  <rv s="0">
    <fb>93.24</fb>
    <v>1</v>
  </rv>
  <rv s="0">
    <fb>34.045000000000002</fb>
    <v>1</v>
  </rv>
  <rv s="0">
    <fb>45209</fb>
    <v>0</v>
  </rv>
  <rv s="0">
    <fb>14.96</fb>
    <v>1</v>
  </rv>
  <rv s="0">
    <fb>236.6</fb>
    <v>1</v>
  </rv>
  <rv s="0">
    <fb>113.29</fb>
    <v>1</v>
  </rv>
  <rv s="0">
    <fb>33.08</fb>
    <v>1</v>
  </rv>
  <rv s="0">
    <fb>157.6</fb>
    <v>1</v>
  </rv>
  <rv s="0">
    <fb>90.12</fb>
    <v>1</v>
  </rv>
  <rv s="0">
    <fb>34.045999999999999</fb>
    <v>1</v>
  </rv>
  <rv s="0">
    <fb>45210</fb>
    <v>0</v>
  </rv>
  <rv s="0">
    <fb>332.42</fb>
    <v>1</v>
  </rv>
  <rv s="0">
    <fb>235.68</fb>
    <v>1</v>
  </rv>
  <rv s="0">
    <fb>113.38</fb>
    <v>1</v>
  </rv>
  <rv s="0">
    <fb>33.53</fb>
    <v>1</v>
  </rv>
  <rv s="0">
    <fb>156.57</fb>
    <v>1</v>
  </rv>
  <rv s="0">
    <fb>88.48</fb>
    <v>1</v>
  </rv>
  <rv s="0">
    <fb>33.460999999999999</fb>
    <v>1</v>
  </rv>
  <rv s="0">
    <fb>45211</fb>
    <v>0</v>
  </rv>
  <rv s="0">
    <fb>331.16</fb>
    <v>1</v>
  </rv>
  <rv s="0">
    <fb>236.78</fb>
    <v>1</v>
  </rv>
  <rv s="0">
    <fb>108.94</fb>
    <v>1</v>
  </rv>
  <rv s="0">
    <fb>33.57</fb>
    <v>1</v>
  </rv>
  <rv s="0">
    <fb>158.12</fb>
    <v>1</v>
  </rv>
  <rv s="0">
    <fb>32.36</fb>
    <v>1</v>
  </rv>
  <rv s="0">
    <fb>45212</fb>
    <v>0</v>
  </rv>
  <rv s="0">
    <fb>327.73</fb>
    <v>1</v>
  </rv>
  <rv s="0">
    <fb>14.36</fb>
    <v>1</v>
  </rv>
  <rv s="0">
    <fb>237.67</fb>
    <v>1</v>
  </rv>
  <rv s="0">
    <fb>110.51</fb>
    <v>1</v>
  </rv>
  <rv s="0">
    <fb>33.25</fb>
    <v>1</v>
  </rv>
  <rv s="0">
    <fb>153.56</fb>
    <v>1</v>
  </rv>
  <rv s="0">
    <fb>101.28</fb>
    <v>1</v>
  </rv>
  <rv s="0">
    <fb>31.821999999999999</fb>
    <v>1</v>
  </rv>
  <rv s="0">
    <fb>45215</fb>
    <v>0</v>
  </rv>
  <rv s="0">
    <fb>332.64</fb>
    <v>1</v>
  </rv>
  <rv s="0">
    <fb>14.41</fb>
    <v>1</v>
  </rv>
  <rv s="0">
    <fb>240.07</fb>
    <v>1</v>
  </rv>
  <rv s="0">
    <fb>111.5</fb>
    <v>1</v>
  </rv>
  <rv s="0">
    <fb>91.64</fb>
    <v>1</v>
  </rv>
  <rv s="0">
    <fb>32.58</fb>
    <v>1</v>
  </rv>
  <rv s="0">
    <fb>45216</fb>
    <v>0</v>
  </rv>
  <rv s="0">
    <fb>332.06</fb>
    <v>1</v>
  </rv>
  <rv s="0">
    <fb>14.58</fb>
    <v>1</v>
  </rv>
  <rv s="0">
    <fb>241.2</fb>
    <v>1</v>
  </rv>
  <rv s="0">
    <fb>112.4</fb>
    <v>1</v>
  </rv>
  <rv s="0">
    <fb>33.200000000000003</fb>
    <v>1</v>
  </rv>
  <rv s="0">
    <fb>157.33000000000001</fb>
    <v>1</v>
  </rv>
  <rv s="0">
    <fb>94.2</fb>
    <v>1</v>
  </rv>
  <rv s="0">
    <fb>33.540999999999997</fb>
    <v>1</v>
  </rv>
  <rv s="0">
    <fb>45217</fb>
    <v>0</v>
  </rv>
  <rv s="0">
    <fb>14.32</fb>
    <v>1</v>
  </rv>
  <rv s="0">
    <fb>237.47</fb>
    <v>1</v>
  </rv>
  <rv s="0">
    <fb>108.61</fb>
    <v>1</v>
  </rv>
  <rv s="0">
    <fb>32.46</fb>
    <v>1</v>
  </rv>
  <rv s="0">
    <fb>148.91999999999999</fb>
    <v>1</v>
  </rv>
  <rv s="0">
    <fb>100.24</fb>
    <v>1</v>
  </rv>
  <rv s="0">
    <fb>32.914000000000001</fb>
    <v>1</v>
  </rv>
  <rv s="0">
    <fb>45218</fb>
    <v>0</v>
  </rv>
  <rv s="0">
    <fb>331.32</fb>
    <v>1</v>
  </rv>
  <rv s="0">
    <fb>15.26</fb>
    <v>1</v>
  </rv>
  <rv s="0">
    <fb>233.81</fb>
    <v>1</v>
  </rv>
  <rv s="0">
    <fb>109.51</fb>
    <v>1</v>
  </rv>
  <rv s="0">
    <fb>149.97</fb>
    <v>1</v>
  </rv>
  <rv s="0">
    <fb>105.2</fb>
    <v>1</v>
  </rv>
  <rv s="0">
    <fb>34.234999999999999</fb>
    <v>1</v>
  </rv>
  <rv s="0">
    <fb>45219</fb>
    <v>0</v>
  </rv>
  <rv s="0">
    <fb>326.67</fb>
    <v>1</v>
  </rv>
  <rv s="0">
    <fb>15.38</fb>
    <v>1</v>
  </rv>
  <rv s="0">
    <fb>233.38</fb>
    <v>1</v>
  </rv>
  <rv s="0">
    <fb>109.23</fb>
    <v>1</v>
  </rv>
  <rv s="0">
    <fb>31.84</fb>
    <v>1</v>
  </rv>
  <rv s="0">
    <fb>149.91999999999999</fb>
    <v>1</v>
  </rv>
  <rv s="0">
    <fb>105.84</fb>
    <v>1</v>
  </rv>
  <rv s="0">
    <fb>34.804000000000002</fb>
    <v>1</v>
  </rv>
  <rv s="0">
    <fb>45222</fb>
    <v>0</v>
  </rv>
  <rv s="0">
    <fb>329.32</fb>
    <v>1</v>
  </rv>
  <rv s="0">
    <fb>231.53</fb>
    <v>1</v>
  </rv>
  <rv s="0">
    <fb>109.34</fb>
    <v>1</v>
  </rv>
  <rv s="0">
    <fb>102.2</fb>
    <v>1</v>
  </rv>
  <rv s="0">
    <fb>37.749000000000002</fb>
    <v>1</v>
  </rv>
  <rv s="0">
    <fb>45223</fb>
    <v>0</v>
  </rv>
  <rv s="0">
    <fb>330.53</fb>
    <v>1</v>
  </rv>
  <rv s="0">
    <fb>234.65</fb>
    <v>1</v>
  </rv>
  <rv s="0">
    <fb>105.64</fb>
    <v>1</v>
  </rv>
  <rv s="0">
    <fb>170.63</fb>
    <v>1</v>
  </rv>
  <rv s="0">
    <fb>97.56</fb>
    <v>1</v>
  </rv>
  <rv s="0">
    <fb>42.487000000000002</fb>
    <v>1</v>
  </rv>
  <rv s="0">
    <fb>45224</fb>
    <v>0</v>
  </rv>
  <rv s="0">
    <fb>340.67</fb>
    <v>1</v>
  </rv>
  <rv s="0">
    <fb>15.19</fb>
    <v>1</v>
  </rv>
  <rv s="0">
    <fb>236.85</fb>
    <v>1</v>
  </rv>
  <rv s="0">
    <fb>103.4</fb>
    <v>1</v>
  </rv>
  <rv s="0">
    <fb>161.82</fb>
    <v>1</v>
  </rv>
  <rv s="0">
    <fb>103.92</fb>
    <v>1</v>
  </rv>
  <rv s="0">
    <fb>43.322000000000003</fb>
    <v>1</v>
  </rv>
  <rv s="0">
    <fb>45225</fb>
    <v>0</v>
  </rv>
  <rv s="0">
    <fb>327.89</fb>
    <v>1</v>
  </rv>
  <rv s="0">
    <fb>104.31</fb>
    <v>1</v>
  </rv>
  <rv s="0">
    <fb>32.57</fb>
    <v>1</v>
  </rv>
  <rv s="0">
    <fb>158.38</fb>
    <v>1</v>
  </rv>
  <rv s="0">
    <fb>104.84</fb>
    <v>1</v>
  </rv>
  <rv s="0">
    <fb>41.344999999999999</fb>
    <v>1</v>
  </rv>
  <rv s="0">
    <fb>45226</fb>
    <v>0</v>
  </rv>
  <rv s="0">
    <fb>329.81</fb>
    <v>1</v>
  </rv>
  <rv s="0">
    <fb>14.82</fb>
    <v>1</v>
  </rv>
  <rv s="0">
    <fb>229.27</fb>
    <v>1</v>
  </rv>
  <rv s="0">
    <fb>102.77</fb>
    <v>1</v>
  </rv>
  <rv s="0">
    <fb>159.35</fb>
    <v>1</v>
  </rv>
  <rv s="0">
    <fb>108.32</fb>
    <v>1</v>
  </rv>
  <rv s="0">
    <fb>40.676000000000002</fb>
    <v>1</v>
  </rv>
  <rv s="0">
    <fb>45229</fb>
    <v>0</v>
  </rv>
  <rv s="0">
    <fb>337.31</fb>
    <v>1</v>
  </rv>
  <rv s="0">
    <fb>233.08</fb>
    <v>1</v>
  </rv>
  <rv s="0">
    <fb>101.17</fb>
    <v>1</v>
  </rv>
  <rv s="0">
    <fb>33.869999999999997</fb>
    <v>1</v>
  </rv>
  <rv s="0">
    <fb>162.66999999999999</fb>
    <v>1</v>
  </rv>
  <rv s="0">
    <fb>42.021999999999998</fb>
    <v>1</v>
  </rv>
  <rv s="0">
    <fb>45230</fb>
    <v>0</v>
  </rv>
  <rv s="0">
    <fb>338.11</fb>
    <v>1</v>
  </rv>
  <rv s="0">
    <fb>15.4</fb>
    <v>1</v>
  </rv>
  <rv s="0">
    <fb>235.1</fb>
    <v>1</v>
  </rv>
  <rv s="0">
    <fb>103.37</fb>
    <v>1</v>
  </rv>
  <rv s="0">
    <fb>33.89</fb>
    <v>1</v>
  </rv>
  <rv s="0">
    <fb>164.76</fb>
    <v>1</v>
  </rv>
  <rv s="0">
    <fb>93.8</fb>
    <v>1</v>
  </rv>
  <rv s="0">
    <fb>42.338999999999999</fb>
    <v>1</v>
  </rv>
  <rv s="0">
    <fb>45231</fb>
    <v>0</v>
  </rv>
  <rv s="0">
    <fb>346.07</fb>
    <v>1</v>
  </rv>
  <rv s="0">
    <fb>238.58</fb>
    <v>1</v>
  </rv>
  <rv s="0">
    <fb>102.86</fb>
    <v>1</v>
  </rv>
  <rv s="0">
    <fb>34.25</fb>
    <v>1</v>
  </rv>
  <rv s="0">
    <fb>167.63</fb>
    <v>1</v>
  </rv>
  <rv s="0">
    <fb>89.84</fb>
    <v>1</v>
  </rv>
  <rv s="0">
    <fb>42.667000000000002</fb>
    <v>1</v>
  </rv>
  <rv s="0">
    <fb>45232</fb>
    <v>0</v>
  </rv>
  <rv s="0">
    <fb>348.32</fb>
    <v>1</v>
  </rv>
  <rv s="0">
    <fb>243.25</fb>
    <v>1</v>
  </rv>
  <rv s="0">
    <fb>104.47</fb>
    <v>1</v>
  </rv>
  <rv s="0">
    <fb>34.24</fb>
    <v>1</v>
  </rv>
  <rv s="0">
    <fb>167.31</fb>
    <v>1</v>
  </rv>
  <rv s="0">
    <fb>86.76</fb>
    <v>1</v>
  </rv>
  <rv s="0">
    <fb>45.363</fb>
    <v>1</v>
  </rv>
  <rv s="0">
    <fb>45233</fb>
    <v>0</v>
  </rv>
  <rv s="0">
    <fb>15.88</fb>
    <v>1</v>
  </rv>
  <rv s="0">
    <fb>243.6</fb>
    <v>1</v>
  </rv>
  <rv s="0">
    <fb>109.02</fb>
    <v>1</v>
  </rv>
  <rv s="0">
    <fb>169.98</fb>
    <v>1</v>
  </rv>
  <rv s="0">
    <fb>45.395000000000003</fb>
    <v>1</v>
  </rv>
  <rv s="0">
    <fb>45236</fb>
    <v>0</v>
  </rv>
  <rv s="0">
    <fb>356.53</fb>
    <v>1</v>
  </rv>
  <rv s="0">
    <fb>15.75</fb>
    <v>1</v>
  </rv>
  <rv s="0">
    <fb>243.49</fb>
    <v>1</v>
  </rv>
  <rv s="0">
    <fb>107.53</fb>
    <v>1</v>
  </rv>
  <rv s="0">
    <fb>34.51</fb>
    <v>1</v>
  </rv>
  <rv s="0">
    <fb>167.24</fb>
    <v>1</v>
  </rv>
  <rv s="0">
    <fb>81.92</fb>
    <v>1</v>
  </rv>
  <rv s="0">
    <fb>45.963000000000001</fb>
    <v>1</v>
  </rv>
  <rv s="0">
    <fb>45237</fb>
    <v>0</v>
  </rv>
  <rv s="0">
    <fb>360.53</fb>
    <v>1</v>
  </rv>
  <rv s="0">
    <fb>244.77</fb>
    <v>1</v>
  </rv>
  <rv s="0">
    <fb>110.54</fb>
    <v>1</v>
  </rv>
  <rv s="0">
    <fb>34.18</fb>
    <v>1</v>
  </rv>
  <rv s="0">
    <fb>165.5</fb>
    <v>1</v>
  </rv>
  <rv s="0">
    <fb>81.52</fb>
    <v>1</v>
  </rv>
  <rv s="0">
    <fb>47.354999999999997</fb>
    <v>1</v>
  </rv>
  <rv s="0">
    <fb>45238</fb>
    <v>0</v>
  </rv>
  <rv s="0">
    <fb>363.2</fb>
    <v>1</v>
  </rv>
  <rv s="0">
    <fb>15.65</fb>
    <v>1</v>
  </rv>
  <rv s="0">
    <fb>243.91</fb>
    <v>1</v>
  </rv>
  <rv s="0">
    <fb>109.39</fb>
    <v>1</v>
  </rv>
  <rv s="0">
    <fb>34.14</fb>
    <v>1</v>
  </rv>
  <rv s="0">
    <fb>169.97</fb>
    <v>1</v>
  </rv>
  <rv s="0">
    <fb>47.45</fb>
    <v>1</v>
  </rv>
  <rv s="0">
    <fb>45239</fb>
    <v>0</v>
  </rv>
  <rv s="0">
    <fb>360.69</fb>
    <v>1</v>
  </rv>
  <rv s="0">
    <fb>241.64</fb>
    <v>1</v>
  </rv>
  <rv s="0">
    <fb>107.74</fb>
    <v>1</v>
  </rv>
  <rv s="0">
    <fb>33.979999999999997</fb>
    <v>1</v>
  </rv>
  <rv s="0">
    <fb>170.28</fb>
    <v>1</v>
  </rv>
  <rv s="0">
    <fb>83.08</fb>
    <v>1</v>
  </rv>
  <rv s="0">
    <fb>49.406999999999996</fb>
    <v>1</v>
  </rv>
  <rv s="0">
    <fb>45240</fb>
    <v>0</v>
  </rv>
  <rv s="0">
    <fb>369.67</fb>
    <v>1</v>
  </rv>
  <rv s="0">
    <fb>245.25</fb>
    <v>1</v>
  </rv>
  <rv s="0">
    <fb>108.47</fb>
    <v>1</v>
  </rv>
  <rv s="0">
    <fb>34.35</fb>
    <v>1</v>
  </rv>
  <rv s="0">
    <fb>170.98</fb>
    <v>1</v>
  </rv>
  <rv s="0">
    <fb>79.72</fb>
    <v>1</v>
  </rv>
  <rv s="0">
    <fb>50.917999999999999</fb>
    <v>1</v>
  </rv>
  <rv s="0">
    <fb>45243</fb>
    <v>0</v>
  </rv>
  <rv s="0">
    <fb>366.68</fb>
    <v>1</v>
  </rv>
  <rv s="0">
    <fb>244.67</fb>
    <v>1</v>
  </rv>
  <rv s="0">
    <fb>107.46</fb>
    <v>1</v>
  </rv>
  <rv s="0">
    <fb>34.08</fb>
    <v>1</v>
  </rv>
  <rv s="0">
    <fb>171.17</fb>
    <v>1</v>
  </rv>
  <rv s="0">
    <fb>78.84</fb>
    <v>1</v>
  </rv>
  <rv s="0">
    <fb>50.488</fb>
    <v>1</v>
  </rv>
  <rv s="0">
    <fb>45244</fb>
    <v>0</v>
  </rv>
  <rv s="0">
    <fb>370.27</fb>
    <v>1</v>
  </rv>
  <rv s="0">
    <fb>111.61</fb>
    <v>1</v>
  </rv>
  <rv s="0">
    <fb>34.4</fb>
    <v>1</v>
  </rv>
  <rv s="0">
    <fb>174.41</fb>
    <v>1</v>
  </rv>
  <rv s="0">
    <fb>78.239999999999995</fb>
    <v>1</v>
  </rv>
  <rv s="0">
    <fb>48</fb>
    <v>1</v>
  </rv>
  <rv s="0">
    <fb>45245</fb>
    <v>0</v>
  </rv>
  <rv s="0">
    <fb>15.76</fb>
    <v>1</v>
  </rv>
  <rv s="0">
    <fb>113.6</fb>
    <v>1</v>
  </rv>
  <rv s="0">
    <fb>34.36</fb>
    <v>1</v>
  </rv>
  <rv s="0">
    <fb>173.76</fb>
    <v>1</v>
  </rv>
  <rv s="0">
    <fb>76.599999999999994</fb>
    <v>1</v>
  </rv>
  <rv s="0">
    <fb>50.594999999999999</fb>
    <v>1</v>
  </rv>
  <rv s="0">
    <fb>45246</fb>
    <v>0</v>
  </rv>
  <rv s="0">
    <fb>376.17</fb>
    <v>1</v>
  </rv>
  <rv s="0">
    <fb>248.57</fb>
    <v>1</v>
  </rv>
  <rv s="0">
    <fb>114.19</fb>
    <v>1</v>
  </rv>
  <rv s="0">
    <fb>34.43</fb>
    <v>1</v>
  </rv>
  <rv s="0">
    <fb>175.28</fb>
    <v>1</v>
  </rv>
  <rv s="0">
    <fb>75.400000000000006</fb>
    <v>1</v>
  </rv>
  <rv s="0">
    <fb>48.908000000000001</fb>
    <v>1</v>
  </rv>
  <rv s="0">
    <fb>45247</fb>
    <v>0</v>
  </rv>
  <rv s="0">
    <fb>369.85</fb>
    <v>1</v>
  </rv>
  <rv s="0">
    <fb>249.56</fb>
    <v>1</v>
  </rv>
  <rv s="0">
    <fb>113.15</fb>
    <v>1</v>
  </rv>
  <rv s="0">
    <fb>176.05</fb>
    <v>1</v>
  </rv>
  <rv s="0">
    <fb>74.239999999999995</fb>
    <v>1</v>
  </rv>
  <rv s="0">
    <fb>48.622</fb>
    <v>1</v>
  </rv>
  <rv s="0">
    <fb>45250</fb>
    <v>0</v>
  </rv>
  <rv s="0">
    <fb>377.44</fb>
    <v>1</v>
  </rv>
  <rv s="0">
    <fb>249.97</fb>
    <v>1</v>
  </rv>
  <rv s="0">
    <fb>113.98</fb>
    <v>1</v>
  </rv>
  <rv s="0">
    <fb>34.11</fb>
    <v>1</v>
  </rv>
  <rv s="0">
    <fb>179.86</fb>
    <v>1</v>
  </rv>
  <rv s="0">
    <fb>73.680000000000007</fb>
    <v>1</v>
  </rv>
  <rv s="0">
    <fb>50.853000000000002</fb>
    <v>1</v>
  </rv>
  <rv s="0">
    <fb>45251</fb>
    <v>0</v>
  </rv>
  <rv s="0">
    <fb>373.07</fb>
    <v>1</v>
  </rv>
  <rv s="0">
    <fb>16.190000000000001</fb>
    <v>1</v>
  </rv>
  <rv s="0">
    <fb>252.23</fb>
    <v>1</v>
  </rv>
  <rv s="0">
    <fb>34.32</fb>
    <v>1</v>
  </rv>
  <rv s="0">
    <fb>72.239999999999995</fb>
    <v>1</v>
  </rv>
  <rv s="0">
    <fb>49.304000000000002</fb>
    <v>1</v>
  </rv>
  <rv s="0">
    <fb>45252</fb>
    <v>0</v>
  </rv>
  <rv s="0">
    <fb>377.85</fb>
    <v>1</v>
  </rv>
  <rv s="0">
    <fb>16.170000000000002</fb>
    <v>1</v>
  </rv>
  <rv s="0">
    <fb>253.72</fb>
    <v>1</v>
  </rv>
  <rv s="0">
    <fb>123.99</fb>
    <v>1</v>
  </rv>
  <rv s="0">
    <fb>34.700000000000003</fb>
    <v>1</v>
  </rv>
  <rv s="0">
    <fb>181.2</fb>
    <v>1</v>
  </rv>
  <rv s="0">
    <fb>50.787999999999997</fb>
    <v>1</v>
  </rv>
  <rv s="0">
    <fb>45254</fb>
    <v>0</v>
  </rv>
  <rv s="0">
    <fb>377.43</fb>
    <v>1</v>
  </rv>
  <rv s="0">
    <fb>16.21</fb>
    <v>1</v>
  </rv>
  <rv s="0">
    <fb>254.3</fb>
    <v>1</v>
  </rv>
  <rv s="0">
    <fb>126.62</fb>
    <v>1</v>
  </rv>
  <rv s="0">
    <fb>34.85</fb>
    <v>1</v>
  </rv>
  <rv s="0">
    <fb>181.7</fb>
    <v>1</v>
  </rv>
  <rv s="0">
    <fb>69.680000000000007</fb>
    <v>1</v>
  </rv>
  <rv s="0">
    <fb>52.024000000000001</fb>
    <v>1</v>
  </rv>
  <rv s="0">
    <fb>45257</fb>
    <v>0</v>
  </rv>
  <rv s="0">
    <fb>378.61</fb>
    <v>1</v>
  </rv>
  <rv s="0">
    <fb>254.14</fb>
    <v>1</v>
  </rv>
  <rv s="0">
    <fb>125.01</fb>
    <v>1</v>
  </rv>
  <rv s="0">
    <fb>34.82</fb>
    <v>1</v>
  </rv>
  <rv s="0">
    <fb>183.04</fb>
    <v>1</v>
  </rv>
  <rv s="0">
    <fb>70.16</fb>
    <v>1</v>
  </rv>
  <rv s="0">
    <fb>49.537999999999997</fb>
    <v>1</v>
  </rv>
  <rv s="0">
    <fb>45258</fb>
    <v>0</v>
  </rv>
  <rv s="0">
    <fb>382.7</fb>
    <v>1</v>
  </rv>
  <rv s="0">
    <fb>16.18</fb>
    <v>1</v>
  </rv>
  <rv s="0">
    <fb>252.94</fb>
    <v>1</v>
  </rv>
  <rv s="0">
    <fb>124.71</fb>
    <v>1</v>
  </rv>
  <rv s="0">
    <fb>35.42</fb>
    <v>1</v>
  </rv>
  <rv s="0">
    <fb>182.61</fb>
    <v>1</v>
  </rv>
  <rv s="0">
    <fb>69.239999999999995</fb>
    <v>1</v>
  </rv>
  <rv s="0">
    <fb>50.587000000000003</fb>
    <v>1</v>
  </rv>
  <rv s="0">
    <fb>45259</fb>
    <v>0</v>
  </rv>
  <rv s="0">
    <fb>378.85</fb>
    <v>1</v>
  </rv>
  <rv s="0">
    <fb>16.3</fb>
    <v>1</v>
  </rv>
  <rv s="0">
    <fb>254.23</fb>
    <v>1</v>
  </rv>
  <rv s="0">
    <fb>127.59</fb>
    <v>1</v>
  </rv>
  <rv s="0">
    <fb>35.58</fb>
    <v>1</v>
  </rv>
  <rv s="0">
    <fb>182.31</fb>
    <v>1</v>
  </rv>
  <rv s="0">
    <fb>70.239999999999995</fb>
    <v>1</v>
  </rv>
  <rv s="0">
    <fb>50.71</fb>
    <v>1</v>
  </rv>
  <rv s="0">
    <fb>45260</fb>
    <v>0</v>
  </rv>
  <rv s="0">
    <fb>378.91</fb>
    <v>1</v>
  </rv>
  <rv s="0">
    <fb>16.57</fb>
    <v>1</v>
  </rv>
  <rv s="0">
    <fb>256.68</fb>
    <v>1</v>
  </rv>
  <rv s="0">
    <fb>127.8</fb>
    <v>1</v>
  </rv>
  <rv s="0">
    <fb>35.9</fb>
    <v>1</v>
  </rv>
  <rv s="0">
    <fb>185.11</fb>
    <v>1</v>
  </rv>
  <rv s="0">
    <fb>69.16</fb>
    <v>1</v>
  </rv>
  <rv s="0">
    <fb>49.83</fb>
    <v>1</v>
  </rv>
  <rv s="0">
    <fb>45261</fb>
    <v>0</v>
  </rv>
  <rv s="0">
    <fb>374.51</fb>
    <v>1</v>
  </rv>
  <rv s="0">
    <fb>256.45</fb>
    <v>1</v>
  </rv>
  <rv s="0">
    <fb>128.79</fb>
    <v>1</v>
  </rv>
  <rv s="0">
    <fb>36.24</fb>
    <v>1</v>
  </rv>
  <rv s="0">
    <fb>180.69</fb>
    <v>1</v>
  </rv>
  <rv s="0">
    <fb>68.92</fb>
    <v>1</v>
  </rv>
  <rv s="0">
    <fb>52.768000000000001</fb>
    <v>1</v>
  </rv>
  <rv s="0">
    <fb>45264</fb>
    <v>0</v>
  </rv>
  <rv s="0">
    <fb>369.14</fb>
    <v>1</v>
  </rv>
  <rv s="0">
    <fb>254.44</fb>
    <v>1</v>
  </rv>
  <rv s="0">
    <fb>36.53</fb>
    <v>1</v>
  </rv>
  <rv s="0">
    <fb>194.17</fb>
    <v>1</v>
  </rv>
  <rv s="0">
    <fb>69.12</fb>
    <v>1</v>
  </rv>
  <rv s="0">
    <fb>56.322000000000003</fb>
    <v>1</v>
  </rv>
  <rv s="0">
    <fb>45265</fb>
    <v>0</v>
  </rv>
  <rv s="0">
    <fb>372.52</fb>
    <v>1</v>
  </rv>
  <rv s="0">
    <fb>17.22</fb>
    <v>1</v>
  </rv>
  <rv s="0">
    <fb>254.61</fb>
    <v>1</v>
  </rv>
  <rv s="0">
    <fb>127.88</fb>
    <v>1</v>
  </rv>
  <rv s="0">
    <fb>36.21</fb>
    <v>1</v>
  </rv>
  <rv s="0">
    <fb>199.32</fb>
    <v>1</v>
  </rv>
  <rv s="0">
    <fb>68.64</fb>
    <v>1</v>
  </rv>
  <rv s="0">
    <fb>57.75</fb>
    <v>1</v>
  </rv>
  <rv s="0">
    <fb>45266</fb>
    <v>0</v>
  </rv>
  <rv s="0">
    <fb>368.8</fb>
    <v>1</v>
  </rv>
  <rv s="0">
    <fb>16.940000000000001</fb>
    <v>1</v>
  </rv>
  <rv s="0">
    <fb>254.29</fb>
    <v>1</v>
  </rv>
  <rv s="0">
    <fb>128.91</fb>
    <v>1</v>
  </rv>
  <rv s="0">
    <fb>35.81</fb>
    <v>1</v>
  </rv>
  <rv s="0">
    <fb>193.79</fb>
    <v>1</v>
  </rv>
  <rv s="0">
    <fb>68.959999999999994</fb>
    <v>1</v>
  </rv>
  <rv s="0">
    <fb>56.888500000000001</fb>
    <v>1</v>
  </rv>
  <rv s="0">
    <fb>45267</fb>
    <v>0</v>
  </rv>
  <rv s="0">
    <fb>370.95</fb>
    <v>1</v>
  </rv>
  <rv s="0">
    <fb>255.82</fb>
    <v>1</v>
  </rv>
  <rv s="0">
    <fb>128.68</fb>
    <v>1</v>
  </rv>
  <rv s="0">
    <fb>35.93</fb>
    <v>1</v>
  </rv>
  <rv s="0">
    <fb>195.82</fb>
    <v>1</v>
  </rv>
  <rv s="0">
    <fb>69</fb>
    <v>1</v>
  </rv>
  <rv s="0">
    <fb>57.109000000000002</fb>
    <v>1</v>
  </rv>
  <rv s="0">
    <fb>45268</fb>
    <v>0</v>
  </rv>
  <rv s="0">
    <fb>374.23</fb>
    <v>1</v>
  </rv>
  <rv s="0">
    <fb>16.920000000000002</fb>
    <v>1</v>
  </rv>
  <rv s="0">
    <fb>255.74</fb>
    <v>1</v>
  </rv>
  <rv s="0">
    <fb>127.2</fb>
    <v>1</v>
  </rv>
  <rv s="0">
    <fb>198.05</fb>
    <v>1</v>
  </rv>
  <rv s="0">
    <fb>67</fb>
    <v>1</v>
  </rv>
  <rv s="0">
    <fb>45271</fb>
    <v>0</v>
  </rv>
  <rv s="0">
    <fb>371.3</fb>
    <v>1</v>
  </rv>
  <rv s="0">
    <fb>16.62</fb>
    <v>1</v>
  </rv>
  <rv s="0">
    <fb>256.52</fb>
    <v>1</v>
  </rv>
  <rv s="0">
    <fb>128.97</fb>
    <v>1</v>
  </rv>
  <rv s="0">
    <fb>36.14</fb>
    <v>1</v>
  </rv>
  <rv s="0">
    <fb>65.48</fb>
    <v>1</v>
  </rv>
  <rv s="0">
    <fb>55.58</fb>
    <v>1</v>
  </rv>
  <rv s="0">
    <fb>45272</fb>
    <v>0</v>
  </rv>
  <rv s="0">
    <fb>374.38</fb>
    <v>1</v>
  </rv>
  <rv s="0">
    <fb>259.56</fb>
    <v>1</v>
  </rv>
  <rv s="0">
    <fb>36.39</fb>
    <v>1</v>
  </rv>
  <rv s="0">
    <fb>199</fb>
    <v>1</v>
  </rv>
  <rv s="0">
    <fb>63.6</fb>
    <v>1</v>
  </rv>
  <rv s="0">
    <fb>55.832000000000001</fb>
    <v>1</v>
  </rv>
  <rv s="0">
    <fb>45273</fb>
    <v>0</v>
  </rv>
  <rv s="0">
    <fb>374.37</fb>
    <v>1</v>
  </rv>
  <rv s="0">
    <fb>16.45</fb>
    <v>1</v>
  </rv>
  <rv s="0">
    <fb>262.38</fb>
    <v>1</v>
  </rv>
  <rv s="0">
    <fb>133.74</fb>
    <v>1</v>
  </rv>
  <rv s="0">
    <fb>38.590000000000003</fb>
    <v>1</v>
  </rv>
  <rv s="0">
    <fb>199.49</fb>
    <v>1</v>
  </rv>
  <rv s="0">
    <fb>62.84</fb>
    <v>1</v>
  </rv>
  <rv s="0">
    <fb>58.6</fb>
    <v>1</v>
  </rv>
  <rv s="0">
    <fb>45274</fb>
    <v>0</v>
  </rv>
  <rv s="0">
    <fb>365.93</fb>
    <v>1</v>
  </rv>
  <rv s="0">
    <fb>16.649999999999999</fb>
    <v>1</v>
  </rv>
  <rv s="0">
    <fb>258.73</fb>
    <v>1</v>
  </rv>
  <rv s="0">
    <fb>137.96</fb>
    <v>1</v>
  </rv>
  <rv s="0">
    <fb>38.86</fb>
    <v>1</v>
  </rv>
  <rv s="0">
    <fb>196.15</fb>
    <v>1</v>
  </rv>
  <rv s="0">
    <fb>62.48</fb>
    <v>1</v>
  </rv>
  <rv s="0">
    <fb>58.237000000000002</fb>
    <v>1</v>
  </rv>
  <rv s="0">
    <fb>45275</fb>
    <v>0</v>
  </rv>
  <rv s="0">
    <fb>370.73</fb>
    <v>1</v>
  </rv>
  <rv s="0">
    <fb>258.02999999999997</fb>
    <v>1</v>
  </rv>
  <rv s="0">
    <fb>136.78</fb>
    <v>1</v>
  </rv>
  <rv s="0">
    <fb>39.33</fb>
    <v>1</v>
  </rv>
  <rv s="0">
    <fb>192.17</fb>
    <v>1</v>
  </rv>
  <rv s="0">
    <fb>64.56</fb>
    <v>1</v>
  </rv>
  <rv s="0">
    <fb>57.040999999999997</fb>
    <v>1</v>
  </rv>
  <rv s="0">
    <fb>45278</fb>
    <v>0</v>
  </rv>
  <rv s="0">
    <fb>372.65</fb>
    <v>1</v>
  </rv>
  <rv s="0">
    <fb>16.46</fb>
    <v>1</v>
  </rv>
  <rv s="0">
    <fb>258.37</fb>
    <v>1</v>
  </rv>
  <rv s="0">
    <fb>137.53</fb>
    <v>1</v>
  </rv>
  <rv s="0">
    <fb>49.59</fb>
    <v>1</v>
  </rv>
  <rv s="0">
    <fb>193.04</fb>
    <v>1</v>
  </rv>
  <rv s="0">
    <fb>64.72</fb>
    <v>1</v>
  </rv>
  <rv s="0">
    <fb>57.19</fb>
    <v>1</v>
  </rv>
  <rv s="0">
    <fb>45279</fb>
    <v>0</v>
  </rv>
  <rv s="0">
    <fb>373.26</fb>
    <v>1</v>
  </rv>
  <rv s="0">
    <fb>259.99</fb>
    <v>1</v>
  </rv>
  <rv s="0">
    <fb>139.79</fb>
    <v>1</v>
  </rv>
  <rv s="0">
    <fb>48.38</fb>
    <v>1</v>
  </rv>
  <rv s="0">
    <fb>190.83</fb>
    <v>1</v>
  </rv>
  <rv s="0">
    <fb>65.680000000000007</fb>
    <v>1</v>
  </rv>
  <rv s="0">
    <fb>57.13</fb>
    <v>1</v>
  </rv>
  <rv s="0">
    <fb>45280</fb>
    <v>0</v>
  </rv>
  <rv s="0">
    <fb>370.62</fb>
    <v>1</v>
  </rv>
  <rv s="0">
    <fb>16.399999999999999</fb>
    <v>1</v>
  </rv>
  <rv s="0">
    <fb>257.11</fb>
    <v>1</v>
  </rv>
  <rv s="0">
    <fb>138.18</fb>
    <v>1</v>
  </rv>
  <rv s="0">
    <fb>47.82</fb>
    <v>1</v>
  </rv>
  <rv s="0">
    <fb>188.71</fb>
    <v>1</v>
  </rv>
  <rv s="0">
    <fb>57.347000000000001</fb>
    <v>1</v>
  </rv>
  <rv s="0">
    <fb>45281</fb>
    <v>0</v>
  </rv>
  <rv s="0">
    <fb>373.54</fb>
    <v>1</v>
  </rv>
  <rv s="0">
    <fb>16.489999999999998</fb>
    <v>1</v>
  </rv>
  <rv s="0">
    <fb>259.54000000000002</fb>
    <v>1</v>
  </rv>
  <rv s="0">
    <fb>138.94</fb>
    <v>1</v>
  </rv>
  <rv s="0">
    <fb>48.16</fb>
    <v>1</v>
  </rv>
  <rv s="0">
    <fb>192.85</fb>
    <v>1</v>
  </rv>
  <rv s="0">
    <fb>68.239999999999995</fb>
    <v>1</v>
  </rv>
  <rv s="0">
    <fb>58.195</fb>
    <v>1</v>
  </rv>
  <rv s="0">
    <fb>45282</fb>
    <v>0</v>
  </rv>
  <rv s="0">
    <fb>374.58</fb>
    <v>1</v>
  </rv>
  <rv s="0">
    <fb>258.43</fb>
    <v>1</v>
  </rv>
  <rv s="0">
    <fb>139.57</fb>
    <v>1</v>
  </rv>
  <rv s="0">
    <fb>47.97</fb>
    <v>1</v>
  </rv>
  <rv s="0">
    <fb>189.59</fb>
    <v>1</v>
  </rv>
  <rv s="0">
    <fb>66.44</fb>
    <v>1</v>
  </rv>
  <rv s="0">
    <fb>61.923999999999999</fb>
    <v>1</v>
  </rv>
  <rv s="0">
    <fb>45286</fb>
    <v>0</v>
  </rv>
  <rv s="0">
    <fb>374.66</fb>
    <v>1</v>
  </rv>
  <rv s="0">
    <fb>259.16000000000003</fb>
    <v>1</v>
  </rv>
  <rv s="0">
    <fb>139.81</fb>
    <v>1</v>
  </rv>
  <rv s="0">
    <fb>48.35</fb>
    <v>1</v>
  </rv>
  <rv s="0">
    <fb>189.88</fb>
    <v>1</v>
  </rv>
  <rv s="0">
    <fb>64.88</fb>
    <v>1</v>
  </rv>
  <rv s="0">
    <fb>60.389000000000003</fb>
    <v>1</v>
  </rv>
  <rv s="0">
    <fb>45287</fb>
    <v>0</v>
  </rv>
  <rv s="0">
    <fb>374.07</fb>
    <v>1</v>
  </rv>
  <rv s="0">
    <fb>16.579999999999998</fb>
    <v>1</v>
  </rv>
  <rv s="0">
    <fb>258.93</fb>
    <v>1</v>
  </rv>
  <rv s="0">
    <fb>139.82</fb>
    <v>1</v>
  </rv>
  <rv s="0">
    <fb>48.61</fb>
    <v>1</v>
  </rv>
  <rv s="0">
    <fb>190.27</fb>
    <v>1</v>
  </rv>
  <rv s="0">
    <fb>62.08</fb>
    <v>1</v>
  </rv>
  <rv s="0">
    <fb>67.070999999999998</fb>
    <v>1</v>
  </rv>
  <rv s="0">
    <fb>45288</fb>
    <v>0</v>
  </rv>
  <rv s="0">
    <fb>375.28</fb>
    <v>1</v>
  </rv>
  <rv s="0">
    <fb>139.77000000000001</fb>
    <v>1</v>
  </rv>
  <rv s="0">
    <fb>48.66</fb>
    <v>1</v>
  </rv>
  <rv s="0">
    <fb>188.75</fb>
    <v>1</v>
  </rv>
  <rv s="0">
    <fb>61.92</fb>
    <v>1</v>
  </rv>
  <rv s="0">
    <fb>66.787999999999997</fb>
    <v>1</v>
  </rv>
  <rv s="0">
    <fb>45289</fb>
    <v>0</v>
  </rv>
  <rv s="0">
    <fb>376.04</fb>
    <v>1</v>
  </rv>
  <rv s="0">
    <fb>16.78</fb>
    <v>1</v>
  </rv>
  <rv s="0">
    <fb>260.35000000000002</fb>
    <v>1</v>
  </rv>
  <rv s="0">
    <fb>139.03</fb>
    <v>1</v>
  </rv>
  <rv s="0">
    <fb>48.65</fb>
    <v>1</v>
  </rv>
  <rv s="0">
    <fb>187.91</fb>
    <v>1</v>
  </rv>
  <rv s="0">
    <fb>63.161999999999999</fb>
    <v>1</v>
  </rv>
  <rv s="0">
    <fb>45293</fb>
    <v>0</v>
  </rv>
  <rv s="0">
    <fb>370.87</fb>
    <v>1</v>
  </rv>
  <rv s="0">
    <fb>17.25</fb>
    <v>1</v>
  </rv>
  <rv s="0">
    <fb>258.87</fb>
    <v>1</v>
  </rv>
  <rv s="0">
    <fb>47.96</fb>
    <v>1</v>
  </rv>
  <rv s="0">
    <fb>188.8</fb>
    <v>1</v>
  </rv>
  <rv s="0">
    <fb>68.515000000000001</fb>
    <v>1</v>
  </rv>
  <rv s="0">
    <fb>45294</fb>
    <v>0</v>
  </rv>
  <rv s="0">
    <fb>370.6</fb>
    <v>1</v>
  </rv>
  <rv s="0">
    <fb>17.23</fb>
    <v>1</v>
  </rv>
  <rv s="0">
    <fb>257.98</fb>
    <v>1</v>
  </rv>
  <rv s="0">
    <fb>131.16</fb>
    <v>1</v>
  </rv>
  <rv s="0">
    <fb>47.85</fb>
    <v>1</v>
  </rv>
  <rv s="0">
    <fb>187.94</fb>
    <v>1</v>
  </rv>
  <rv s="0">
    <fb>64.400000000000006</fb>
    <v>1</v>
  </rv>
  <rv s="0">
    <fb>63.106000000000002</fb>
    <v>1</v>
  </rv>
  <rv s="0">
    <fb>45295</fb>
    <v>0</v>
  </rv>
  <rv s="0">
    <fb>367.94</fb>
    <v>1</v>
  </rv>
  <rv s="0">
    <fb>17.149999999999999</fb>
    <v>1</v>
  </rv>
  <rv s="0">
    <fb>259.61</fb>
    <v>1</v>
  </rv>
  <rv s="0">
    <fb>131</fb>
    <v>1</v>
  </rv>
  <rv s="0">
    <fb>47.9</fb>
    <v>1</v>
  </rv>
  <rv s="0">
    <fb>192.58</fb>
    <v>1</v>
  </rv>
  <rv s="0">
    <fb>64.319999999999993</fb>
    <v>1</v>
  </rv>
  <rv s="0">
    <fb>65.581000000000003</fb>
    <v>1</v>
  </rv>
  <rv s="0">
    <fb>45296</fb>
    <v>0</v>
  </rv>
  <rv s="0">
    <fb>367.75</fb>
    <v>1</v>
  </rv>
  <rv s="0">
    <fb>17.47</fb>
    <v>1</v>
  </rv>
  <rv s="0">
    <fb>259.69</fb>
    <v>1</v>
  </rv>
  <rv s="0">
    <fb>62.2</fb>
    <v>1</v>
  </rv>
  <rv s="0">
    <fb>63.107999999999997</fb>
    <v>1</v>
  </rv>
  <rv s="0">
    <fb>45299</fb>
    <v>0</v>
  </rv>
  <rv s="0">
    <fb>374.69</fb>
    <v>1</v>
  </rv>
  <rv s="0">
    <fb>17.32</fb>
    <v>1</v>
  </rv>
  <rv s="0">
    <fb>262.54000000000002</fb>
    <v>1</v>
  </rv>
  <rv s="0">
    <fb>133.38</fb>
    <v>1</v>
  </rv>
  <rv s="0">
    <fb>48.49</fb>
    <v>1</v>
  </rv>
  <rv s="0">
    <fb>197.25</fb>
    <v>1</v>
  </rv>
  <rv s="0">
    <fb>60.76</fb>
    <v>1</v>
  </rv>
  <rv s="0">
    <fb>59.801000000000002</fb>
    <v>1</v>
  </rv>
  <rv s="0">
    <fb>45300</fb>
    <v>0</v>
  </rv>
  <rv s="0">
    <fb>375.79</fb>
    <v>1</v>
  </rv>
  <rv s="0">
    <fb>263.33</fb>
    <v>1</v>
  </rv>
  <rv s="0">
    <fb>130.68</fb>
    <v>1</v>
  </rv>
  <rv s="0">
    <fb>48.4</fb>
    <v>1</v>
  </rv>
  <rv s="0">
    <fb>193.02</fb>
    <v>1</v>
  </rv>
  <rv s="0">
    <fb>59.36</fb>
    <v>1</v>
  </rv>
  <rv s="0">
    <fb>57.728999999999999</fb>
    <v>1</v>
  </rv>
  <rv s="0">
    <fb>45301</fb>
    <v>0</v>
  </rv>
  <rv s="0">
    <fb>382.77</fb>
    <v>1</v>
  </rv>
  <rv s="0">
    <fb>264.56</fb>
    <v>1</v>
  </rv>
  <rv s="0">
    <fb>131.09</fb>
    <v>1</v>
  </rv>
  <rv s="0">
    <fb>48.28</fb>
    <v>1</v>
  </rv>
  <rv s="0">
    <fb>196.79</fb>
    <v>1</v>
  </rv>
  <rv s="0">
    <fb>58.72</fb>
    <v>1</v>
  </rv>
  <rv s="0">
    <fb>56.567</fb>
    <v>1</v>
  </rv>
  <rv s="0">
    <fb>45302</fb>
    <v>0</v>
  </rv>
  <rv s="0">
    <fb>384.63</fb>
    <v>1</v>
  </rv>
  <rv s="0">
    <fb>16.23</fb>
    <v>1</v>
  </rv>
  <rv s="0">
    <fb>264.02999999999997</fb>
    <v>1</v>
  </rv>
  <rv s="0">
    <fb>129.68</fb>
    <v>1</v>
  </rv>
  <rv s="0">
    <fb>47.73</fb>
    <v>1</v>
  </rv>
  <rv s="0">
    <fb>200.82</fb>
    <v>1</v>
  </rv>
  <rv s="0">
    <fb>58.4</fb>
    <v>1</v>
  </rv>
  <rv s="0">
    <fb>53.618000000000002</fb>
    <v>1</v>
  </rv>
  <rv s="0">
    <fb>45303</fb>
    <v>0</v>
  </rv>
  <rv s="0">
    <fb>388.47</fb>
    <v>1</v>
  </rv>
  <rv s="0">
    <fb>16.48</fb>
    <v>1</v>
  </rv>
  <rv s="0">
    <fb>264.17</fb>
    <v>1</v>
  </rv>
  <rv s="0">
    <fb>130.54</fb>
    <v>1</v>
  </rv>
  <rv s="0">
    <fb>47.4</fb>
    <v>1</v>
  </rv>
  <rv s="0">
    <fb>203.03</fb>
    <v>1</v>
  </rv>
  <rv s="0">
    <fb>48.552999999999997</fb>
    <v>1</v>
  </rv>
  <rv s="0">
    <fb>45307</fb>
    <v>0</v>
  </rv>
  <rv s="0">
    <fb>390.27</fb>
    <v>1</v>
  </rv>
  <rv s="0">
    <fb>265.24</fb>
    <v>1</v>
  </rv>
  <rv s="0">
    <fb>130.53</fb>
    <v>1</v>
  </rv>
  <rv s="0">
    <fb>47.23</fb>
    <v>1</v>
  </rv>
  <rv s="0">
    <fb>203.35</fb>
    <v>1</v>
  </rv>
  <rv s="0">
    <fb>61.44</fb>
    <v>1</v>
  </rv>
  <rv s="0">
    <fb>48.213999999999999</fb>
    <v>1</v>
  </rv>
  <rv s="0">
    <fb>45308</fb>
    <v>0</v>
  </rv>
  <rv s="0">
    <fb>389.47</fb>
    <v>1</v>
  </rv>
  <rv s="0">
    <fb>266.63</fb>
    <v>1</v>
  </rv>
  <rv s="0">
    <fb>47.22</fb>
    <v>1</v>
  </rv>
  <rv s="0">
    <fb>198.68</fb>
    <v>1</v>
  </rv>
  <rv s="0">
    <fb>63.76</fb>
    <v>1</v>
  </rv>
  <rv s="0">
    <fb>49.9</fb>
    <v>1</v>
  </rv>
  <rv s="0">
    <fb>45309</fb>
    <v>0</v>
  </rv>
  <rv s="0">
    <fb>393.87</fb>
    <v>1</v>
  </rv>
  <rv s="0">
    <fb>268.14</fb>
    <v>1</v>
  </rv>
  <rv s="0">
    <fb>130.46</fb>
    <v>1</v>
  </rv>
  <rv s="0">
    <fb>61.56</fb>
    <v>1</v>
  </rv>
  <rv s="0">
    <fb>45310</fb>
    <v>0</v>
  </rv>
  <rv s="0">
    <fb>398.67</fb>
    <v>1</v>
  </rv>
  <rv s="0">
    <fb>16.670000000000002</fb>
    <v>1</v>
  </rv>
  <rv s="0">
    <fb>131.22</fb>
    <v>1</v>
  </rv>
  <rv s="0">
    <fb>47.83</fb>
    <v>1</v>
  </rv>
  <rv s="0">
    <fb>204.71</fb>
    <v>1</v>
  </rv>
  <rv s="0">
    <fb>60</fb>
    <v>1</v>
  </rv>
  <rv s="0">
    <fb>48.1</fb>
    <v>1</v>
  </rv>
  <rv s="0">
    <fb>45313</fb>
    <v>0</v>
  </rv>
  <rv s="0">
    <fb>396.51</fb>
    <v>1</v>
  </rv>
  <rv s="0">
    <fb>16.8</fb>
    <v>1</v>
  </rv>
  <rv s="0">
    <fb>132.55000000000001</fb>
    <v>1</v>
  </rv>
  <rv s="0">
    <fb>47.91</fb>
    <v>1</v>
  </rv>
  <rv s="0">
    <fb>205.67</fb>
    <v>1</v>
  </rv>
  <rv s="0">
    <fb>58</fb>
    <v>1</v>
  </rv>
  <rv s="0">
    <fb>47.018999999999998</fb>
    <v>1</v>
  </rv>
  <rv s="0">
    <fb>45314</fb>
    <v>0</v>
  </rv>
  <rv s="0">
    <fb>398.9</fb>
    <v>1</v>
  </rv>
  <rv s="0">
    <fb>271.26</fb>
    <v>1</v>
  </rv>
  <rv s="0">
    <fb>131.63999999999999</fb>
    <v>1</v>
  </rv>
  <rv s="0">
    <fb>48.21</fb>
    <v>1</v>
  </rv>
  <rv s="0">
    <fb>206.71</fb>
    <v>1</v>
  </rv>
  <rv s="0">
    <fb>56.32</fb>
    <v>1</v>
  </rv>
  <rv s="0">
    <fb>45.018999999999998</fb>
    <v>1</v>
  </rv>
  <rv s="0">
    <fb>45315</fb>
    <v>0</v>
  </rv>
  <rv s="0">
    <fb>402.56</fb>
    <v>1</v>
  </rv>
  <rv s="0">
    <fb>16.68</fb>
    <v>1</v>
  </rv>
  <rv s="0">
    <fb>271.64999999999998</fb>
    <v>1</v>
  </rv>
  <rv s="0">
    <fb>129.78</fb>
    <v>1</v>
  </rv>
  <rv s="0">
    <fb>48.37</fb>
    <v>1</v>
  </rv>
  <rv s="0">
    <fb>211.14</fb>
    <v>1</v>
  </rv>
  <rv s="0">
    <fb>57.8</fb>
    <v>1</v>
  </rv>
  <rv s="0">
    <fb>45.098999999999997</fb>
    <v>1</v>
  </rv>
  <rv s="0">
    <fb>45316</fb>
    <v>0</v>
  </rv>
  <rv s="0">
    <fb>404.87</fb>
    <v>1</v>
  </rv>
  <rv s="0">
    <fb>17.18</fb>
    <v>1</v>
  </rv>
  <rv s="0">
    <fb>272.61</fb>
    <v>1</v>
  </rv>
  <rv s="0">
    <fb>214.18</fb>
    <v>1</v>
  </rv>
  <rv s="0">
    <fb>58.44</fb>
    <v>1</v>
  </rv>
  <rv s="0">
    <fb>45.777999999999999</fb>
    <v>1</v>
  </rv>
  <rv s="0">
    <fb>45317</fb>
    <v>0</v>
  </rv>
  <rv s="0">
    <fb>403.93</fb>
    <v>1</v>
  </rv>
  <rv s="0">
    <fb>17.29</fb>
    <v>1</v>
  </rv>
  <rv s="0">
    <fb>267.94</fb>
    <v>1</v>
  </rv>
  <rv s="0">
    <fb>130.99</fb>
    <v>1</v>
  </rv>
  <rv s="0">
    <fb>48.31</fb>
    <v>1</v>
  </rv>
  <rv s="0">
    <fb>58.12</fb>
    <v>1</v>
  </rv>
  <rv s="0">
    <fb>49.45</fb>
    <v>1</v>
  </rv>
  <rv s="0">
    <fb>45320</fb>
    <v>0</v>
  </rv>
  <rv s="0">
    <fb>409.72</fb>
    <v>1</v>
  </rv>
  <rv s="0">
    <fb>273.66000000000003</fb>
    <v>1</v>
  </rv>
  <rv s="0">
    <fb>132.83000000000001</fb>
    <v>1</v>
  </rv>
  <rv s="0">
    <fb>48.25</fb>
    <v>1</v>
  </rv>
  <rv s="0">
    <fb>218.61</fb>
    <v>1</v>
  </rv>
  <rv s="0">
    <fb>58.36</fb>
    <v>1</v>
  </rv>
  <rv s="0">
    <fb>51.381</fb>
    <v>1</v>
  </rv>
  <rv s="0">
    <fb>45321</fb>
    <v>0</v>
  </rv>
  <rv s="0">
    <fb>408.59</fb>
    <v>1</v>
  </rv>
  <rv s="0">
    <fb>277.14999999999998</fb>
    <v>1</v>
  </rv>
  <rv s="0">
    <fb>134.28</fb>
    <v>1</v>
  </rv>
  <rv s="0">
    <fb>48.17</fb>
    <v>1</v>
  </rv>
  <rv s="0">
    <fb>217.62</fb>
    <v>1</v>
  </rv>
  <rv s="0">
    <fb>57.6</fb>
    <v>1</v>
  </rv>
  <rv s="0">
    <fb>51.951000000000001</fb>
    <v>1</v>
  </rv>
  <rv s="0">
    <fb>45322</fb>
    <v>0</v>
  </rv>
  <rv s="0">
    <fb>397.58</fb>
    <v>1</v>
  </rv>
  <rv s="0">
    <fb>273.26</fb>
    <v>1</v>
  </rv>
  <rv s="0">
    <fb>130.1</fb>
    <v>1</v>
  </rv>
  <rv s="0">
    <fb>47.02</fb>
    <v>1</v>
  </rv>
  <rv s="0">
    <fb>215.35</fb>
    <v>1</v>
  </rv>
  <rv s="0">
    <fb>60.52</fb>
    <v>1</v>
  </rv>
  <rv s="0">
    <fb>50.121000000000002</fb>
    <v>1</v>
  </rv>
  <rv s="0">
    <fb>45323</fb>
    <v>0</v>
  </rv>
  <rv s="0">
    <fb>403.78</fb>
    <v>1</v>
  </rv>
  <rv s="0">
    <fb>277.05</fb>
    <v>1</v>
  </rv>
  <rv s="0">
    <fb>133.05000000000001</fb>
    <v>1</v>
  </rv>
  <rv s="0">
    <fb>46.63</fb>
    <v>1</v>
  </rv>
  <rv s="0">
    <fb>218.96</fb>
    <v>1</v>
  </rv>
  <rv s="0">
    <fb>60.04</fb>
    <v>1</v>
  </rv>
  <rv s="0">
    <fb>50.347999999999999</fb>
    <v>1</v>
  </rv>
  <rv s="0">
    <fb>45324</fb>
    <v>0</v>
  </rv>
  <rv s="0">
    <fb>411.22</fb>
    <v>1</v>
  </rv>
  <rv s="0">
    <fb>17.829999999999998</fb>
    <v>1</v>
  </rv>
  <rv s="0">
    <fb>277.18</fb>
    <v>1</v>
  </rv>
  <rv s="0">
    <fb>45.85</fb>
    <v>1</v>
  </rv>
  <rv s="0">
    <fb>222.47</fb>
    <v>1</v>
  </rv>
  <rv s="0">
    <fb>59.96</fb>
    <v>1</v>
  </rv>
  <rv s="0">
    <fb>50.01</fb>
    <v>1</v>
  </rv>
  <rv s="0">
    <fb>45327</fb>
    <v>0</v>
  </rv>
  <rv s="0">
    <fb>405.65</fb>
    <v>1</v>
  </rv>
  <rv s="0">
    <fb>275.58</fb>
    <v>1</v>
  </rv>
  <rv s="0">
    <fb>132.82</fb>
    <v>1</v>
  </rv>
  <rv s="0">
    <fb>45.5</fb>
    <v>1</v>
  </rv>
  <rv s="0">
    <fb>223.25</fb>
    <v>1</v>
  </rv>
  <rv s="0">
    <fb>49.06</fb>
    <v>1</v>
  </rv>
  <rv s="0">
    <fb>45328</fb>
    <v>0</v>
  </rv>
  <rv s="0">
    <fb>405.49</fb>
    <v>1</v>
  </rv>
  <rv s="0">
    <fb>276.76</fb>
    <v>1</v>
  </rv>
  <rv s="0">
    <fb>135.86000000000001</fb>
    <v>1</v>
  </rv>
  <rv s="0">
    <fb>45.59</fb>
    <v>1</v>
  </rv>
  <rv s="0">
    <fb>231.92</fb>
    <v>1</v>
  </rv>
  <rv s="0">
    <fb>56.2</fb>
    <v>1</v>
  </rv>
  <rv s="0">
    <fb>49.8</fb>
    <v>1</v>
  </rv>
  <rv s="0">
    <fb>45329</fb>
    <v>0</v>
  </rv>
  <rv s="0">
    <fb>414.05</fb>
    <v>1</v>
  </rv>
  <rv s="0">
    <fb>17.329999999999998</fb>
    <v>1</v>
  </rv>
  <rv s="0">
    <fb>279.39</fb>
    <v>1</v>
  </rv>
  <rv s="0">
    <fb>132.79</fb>
    <v>1</v>
  </rv>
  <rv s="0">
    <fb>46.07</fb>
    <v>1</v>
  </rv>
  <rv s="0">
    <fb>240.83</fb>
    <v>1</v>
  </rv>
  <rv s="0">
    <fb>56</fb>
    <v>1</v>
  </rv>
  <rv s="0">
    <fb>50.801000000000002</fb>
    <v>1</v>
  </rv>
  <rv s="0">
    <fb>45330</fb>
    <v>0</v>
  </rv>
  <rv s="0">
    <fb>414.11</fb>
    <v>1</v>
  </rv>
  <rv s="0">
    <fb>275.77999999999997</fb>
    <v>1</v>
  </rv>
  <rv s="0">
    <fb>134.07</fb>
    <v>1</v>
  </rv>
  <rv s="0">
    <fb>46.36</fb>
    <v>1</v>
  </rv>
  <rv s="0">
    <fb>240.01</fb>
    <v>1</v>
  </rv>
  <rv s="0">
    <fb>55.68</fb>
    <v>1</v>
  </rv>
  <rv s="0">
    <fb>58.780999999999999</fb>
    <v>1</v>
  </rv>
  <rv s="0">
    <fb>45331</fb>
    <v>0</v>
  </rv>
  <rv s="0">
    <fb>420.55</fb>
    <v>1</v>
  </rv>
  <rv s="0">
    <fb>276.43</fb>
    <v>1</v>
  </rv>
  <rv s="0">
    <fb>46.29</fb>
    <v>1</v>
  </rv>
  <rv s="0">
    <fb>56.08</fb>
    <v>1</v>
  </rv>
  <rv s="0">
    <fb>64.632000000000005</fb>
    <v>1</v>
  </rv>
  <rv s="0">
    <fb>45334</fb>
    <v>0</v>
  </rv>
  <rv s="0">
    <fb>415.26</fb>
    <v>1</v>
  </rv>
  <rv s="0">
    <fb>275.07</fb>
    <v>1</v>
  </rv>
  <rv s="0">
    <fb>132.31</fb>
    <v>1</v>
  </rv>
  <rv s="0">
    <fb>45.71</fb>
    <v>1</v>
  </rv>
  <rv s="0">
    <fb>57.28</fb>
    <v>1</v>
  </rv>
  <rv s="0">
    <fb>71.751999999999995</fb>
    <v>1</v>
  </rv>
  <rv s="0">
    <fb>45335</fb>
    <v>0</v>
  </rv>
  <rv s="0">
    <fb>406.32</fb>
    <v>1</v>
  </rv>
  <rv s="0">
    <fb>16.899999999999999</fb>
    <v>1</v>
  </rv>
  <rv s="0">
    <fb>275.81</fb>
    <v>1</v>
  </rv>
  <rv s="0">
    <fb>129.76</fb>
    <v>1</v>
  </rv>
  <rv s="0">
    <fb>45.6</fb>
    <v>1</v>
  </rv>
  <rv s="0">
    <fb>238</fb>
    <v>1</v>
  </rv>
  <rv s="0">
    <fb>61.32</fb>
    <v>1</v>
  </rv>
  <rv s="0">
    <fb>68.602000000000004</fb>
    <v>1</v>
  </rv>
  <rv s="0">
    <fb>45336</fb>
    <v>0</v>
  </rv>
  <rv s="0">
    <fb>409.49</fb>
    <v>1</v>
  </rv>
  <rv s="0">
    <fb>277.56</fb>
    <v>1</v>
  </rv>
  <rv s="0">
    <fb>132.24</fb>
    <v>1</v>
  </rv>
  <rv s="0">
    <fb>45.64</fb>
    <v>1</v>
  </rv>
  <rv s="0">
    <fb>244.17</fb>
    <v>1</v>
  </rv>
  <rv s="0">
    <fb>58.28</fb>
    <v>1</v>
  </rv>
  <rv s="0">
    <fb>76.988</fb>
    <v>1</v>
  </rv>
  <rv s="0">
    <fb>45337</fb>
    <v>0</v>
  </rv>
  <rv s="0">
    <fb>406.56</fb>
    <v>1</v>
  </rv>
  <rv s="0">
    <fb>134.75</fb>
    <v>1</v>
  </rv>
  <rv s="0">
    <fb>45.78</fb>
    <v>1</v>
  </rv>
  <rv s="0">
    <fb>245.51</fb>
    <v>1</v>
  </rv>
  <rv s="0">
    <fb>57.68</fb>
    <v>1</v>
  </rv>
  <rv s="0">
    <fb>71.8</fb>
    <v>1</v>
  </rv>
  <rv s="0">
    <fb>45338</fb>
    <v>0</v>
  </rv>
  <rv s="0">
    <fb>404.06</fb>
    <v>1</v>
  </rv>
  <rv s="0">
    <fb>16.97</fb>
    <v>1</v>
  </rv>
  <rv s="0">
    <fb>278.56</fb>
    <v>1</v>
  </rv>
  <rv s="0">
    <fb>134.84</fb>
    <v>1</v>
  </rv>
  <rv s="0">
    <fb>46</fb>
    <v>1</v>
  </rv>
  <rv s="0">
    <fb>246.25</fb>
    <v>1</v>
  </rv>
  <rv s="0">
    <fb>69.956000000000003</fb>
    <v>1</v>
  </rv>
  <rv s="0">
    <fb>45342</fb>
    <v>0</v>
  </rv>
  <rv s="0">
    <fb>402.79</fb>
    <v>1</v>
  </rv>
  <rv s="0">
    <fb>275.14999999999998</fb>
    <v>1</v>
  </rv>
  <rv s="0">
    <fb>134.13999999999999</fb>
    <v>1</v>
  </rv>
  <rv s="0">
    <fb>243.4</fb>
    <v>1</v>
  </rv>
  <rv s="0">
    <fb>59.48</fb>
    <v>1</v>
  </rv>
  <rv s="0">
    <fb>70.498000000000005</fb>
    <v>1</v>
  </rv>
  <rv s="0">
    <fb>45343</fb>
    <v>0</v>
  </rv>
  <rv s="0">
    <fb>402.18</fb>
    <v>1</v>
  </rv>
  <rv s="0">
    <fb>135.33000000000001</fb>
    <v>1</v>
  </rv>
  <rv s="0">
    <fb>46.17</fb>
    <v>1</v>
  </rv>
  <rv s="0">
    <fb>245.09</fb>
    <v>1</v>
  </rv>
  <rv s="0">
    <fb>58.96</fb>
    <v>1</v>
  </rv>
  <rv s="0">
    <fb>67.28</fb>
    <v>1</v>
  </rv>
  <rv s="0">
    <fb>45344</fb>
    <v>0</v>
  </rv>
  <rv s="0">
    <fb>411.65</fb>
    <v>1</v>
  </rv>
  <rv s="0">
    <fb>283.75</fb>
    <v>1</v>
  </rv>
  <rv s="0">
    <fb>132.02000000000001</fb>
    <v>1</v>
  </rv>
  <rv s="0">
    <fb>46.52</fb>
    <v>1</v>
  </rv>
  <rv s="0">
    <fb>71.314999999999998</fb>
    <v>1</v>
  </rv>
  <rv s="0">
    <fb>45345</fb>
    <v>0</v>
  </rv>
  <rv s="0">
    <fb>410.34</fb>
    <v>1</v>
  </rv>
  <rv s="0">
    <fb>283.60000000000002</fb>
    <v>1</v>
  </rv>
  <rv s="0">
    <fb>132.03</fb>
    <v>1</v>
  </rv>
  <rv s="0">
    <fb>47.26</fb>
    <v>1</v>
  </rv>
  <rv s="0">
    <fb>256.10000000000002</fb>
    <v>1</v>
  </rv>
  <rv s="0">
    <fb>55.72</fb>
    <v>1</v>
  </rv>
  <rv s="0">
    <fb>68.744</fb>
    <v>1</v>
  </rv>
  <rv s="0">
    <fb>45348</fb>
    <v>0</v>
  </rv>
  <rv s="0">
    <fb>407.54</fb>
    <v>1</v>
  </rv>
  <rv s="0">
    <fb>16.600000000000001</fb>
    <v>1</v>
  </rv>
  <rv s="0">
    <fb>284.14999999999998</fb>
    <v>1</v>
  </rv>
  <rv s="0">
    <fb>131.49</fb>
    <v>1</v>
  </rv>
  <rv s="0">
    <fb>47.65</fb>
    <v>1</v>
  </rv>
  <rv s="0">
    <fb>254.99</fb>
    <v>1</v>
  </rv>
  <rv s="0">
    <fb>55.16</fb>
    <v>1</v>
  </rv>
  <rv s="0">
    <fb>79.647999999999996</fb>
    <v>1</v>
  </rv>
  <rv s="0">
    <fb>45349</fb>
    <v>0</v>
  </rv>
  <rv s="0">
    <fb>407.48</fb>
    <v>1</v>
  </rv>
  <rv s="0">
    <fb>283.17</fb>
    <v>1</v>
  </rv>
  <rv s="0">
    <fb>47.38</fb>
    <v>1</v>
  </rv>
  <rv s="0">
    <fb>253.02</fb>
    <v>1</v>
  </rv>
  <rv s="0">
    <fb>54.12</fb>
    <v>1</v>
  </rv>
  <rv s="0">
    <fb>87.18</fb>
    <v>1</v>
  </rv>
  <rv s="0">
    <fb>45350</fb>
    <v>0</v>
  </rv>
  <rv s="0">
    <fb>407.72</fb>
    <v>1</v>
  </rv>
  <rv s="0">
    <fb>285.63</fb>
    <v>1</v>
  </rv>
  <rv s="0">
    <fb>47.51</fb>
    <v>1</v>
  </rv>
  <rv s="0">
    <fb>252.25</fb>
    <v>1</v>
  </rv>
  <rv s="0">
    <fb>55</fb>
    <v>1</v>
  </rv>
  <rv s="0">
    <fb>96.295000000000002</fb>
    <v>1</v>
  </rv>
  <rv s="0">
    <fb>45351</fb>
    <v>0</v>
  </rv>
  <rv s="0">
    <fb>413.64</fb>
    <v>1</v>
  </rv>
  <rv s="0">
    <fb>16.93</fb>
    <v>1</v>
  </rv>
  <rv s="0">
    <fb>282.64</fb>
    <v>1</v>
  </rv>
  <rv s="0">
    <fb>137.36000000000001</fb>
    <v>1</v>
  </rv>
  <rv s="0">
    <fb>47.34</fb>
    <v>1</v>
  </rv>
  <rv s="0">
    <fb>256.41000000000003</fb>
    <v>1</v>
  </rv>
  <rv s="0">
    <fb>54.24</fb>
    <v>1</v>
  </rv>
  <rv s="0">
    <fb>102.28400000000001</fb>
    <v>1</v>
  </rv>
  <rv s="0">
    <fb>45352</fb>
    <v>0</v>
  </rv>
  <rv s="0">
    <fb>415.5</fb>
    <v>1</v>
  </rv>
  <rv s="0">
    <fb>16.98</fb>
    <v>1</v>
  </rv>
  <rv s="0">
    <fb>283.16000000000003</fb>
    <v>1</v>
  </rv>
  <rv s="0">
    <fb>139.06</fb>
    <v>1</v>
  </rv>
  <rv s="0">
    <fb>263.75</fb>
    <v>1</v>
  </rv>
  <rv s="0">
    <fb>54.4</fb>
    <v>1</v>
  </rv>
  <rv s="0">
    <fb>107.93899999999999</fb>
    <v>1</v>
  </rv>
  <rv s="0">
    <fb>45355</fb>
    <v>0</v>
  </rv>
  <rv s="0">
    <fb>414.92</fb>
    <v>1</v>
  </rv>
  <rv s="0">
    <fb>280.52999999999997</fb>
    <v>1</v>
  </rv>
  <rv s="0">
    <fb>142.86000000000001</fb>
    <v>1</v>
  </rv>
  <rv s="0">
    <fb>47.69</fb>
    <v>1</v>
  </rv>
  <rv s="0">
    <fb>270</fb>
    <v>1</v>
  </rv>
  <rv s="0">
    <fb>54.28</fb>
    <v>1</v>
  </rv>
  <rv s="0">
    <fb>133.40100000000001</fb>
    <v>1</v>
  </rv>
  <rv s="0">
    <fb>45356</fb>
    <v>0</v>
  </rv>
  <rv s="0">
    <fb>402.65</fb>
    <v>1</v>
  </rv>
  <rv s="0">
    <fb>17.170000000000002</fb>
    <v>1</v>
  </rv>
  <rv s="0">
    <fb>279.38</fb>
    <v>1</v>
  </rv>
  <rv s="0">
    <fb>144.35</fb>
    <v>1</v>
  </rv>
  <rv s="0">
    <fb>47.76</fb>
    <v>1</v>
  </rv>
  <rv s="0">
    <fb>267</fb>
    <v>1</v>
  </rv>
  <rv s="0">
    <fb>56.52</fb>
    <v>1</v>
  </rv>
  <rv s="0">
    <fb>105.101</fb>
    <v>1</v>
  </rv>
  <rv s="0">
    <fb>45357</fb>
    <v>0</v>
  </rv>
  <rv s="0">
    <fb>402.09</fb>
    <v>1</v>
  </rv>
  <rv s="0">
    <fb>280.43</fb>
    <v>1</v>
  </rv>
  <rv s="0">
    <fb>146.22</fb>
    <v>1</v>
  </rv>
  <rv s="0">
    <fb>47.2</fb>
    <v>1</v>
  </rv>
  <rv s="0">
    <fb>268.02999999999997</fb>
    <v>1</v>
  </rv>
  <rv s="0">
    <fb>56.72</fb>
    <v>1</v>
  </rv>
  <rv s="0">
    <fb>124.621</fb>
    <v>1</v>
  </rv>
  <rv s="0">
    <fb>45358</fb>
    <v>0</v>
  </rv>
  <rv s="0">
    <fb>409.14</fb>
    <v>1</v>
  </rv>
  <rv s="0">
    <fb>278.26</fb>
    <v>1</v>
  </rv>
  <rv s="0">
    <fb>149.31</fb>
    <v>1</v>
  </rv>
  <rv s="0">
    <fb>47.57</fb>
    <v>1</v>
  </rv>
  <rv s="0">
    <fb>270.35000000000002</fb>
    <v>1</v>
  </rv>
  <rv s="0">
    <fb>56.44</fb>
    <v>1</v>
  </rv>
  <rv s="0">
    <fb>130.00200000000001</fb>
    <v>1</v>
  </rv>
  <rv s="0">
    <fb>45359</fb>
    <v>0</v>
  </rv>
  <rv s="0">
    <fb>406.22</fb>
    <v>1</v>
  </rv>
  <rv s="0">
    <fb>280.04000000000002</fb>
    <v>1</v>
  </rv>
  <rv s="0">
    <fb>147.87</fb>
    <v>1</v>
  </rv>
  <rv s="0">
    <fb>47.44</fb>
    <v>1</v>
  </rv>
  <rv s="0">
    <fb>259.39999999999998</fb>
    <v>1</v>
  </rv>
  <rv s="0">
    <fb>57.92</fb>
    <v>1</v>
  </rv>
  <rv s="0">
    <fb>142.559</fb>
    <v>1</v>
  </rv>
  <rv s="0">
    <fb>45362</fb>
    <v>0</v>
  </rv>
  <rv s="0">
    <fb>404.52</fb>
    <v>1</v>
  </rv>
  <rv s="0">
    <fb>147.29</fb>
    <v>1</v>
  </rv>
  <rv s="0">
    <fb>47.1</fb>
    <v>1</v>
  </rv>
  <rv s="0">
    <fb>254.45</fb>
    <v>1</v>
  </rv>
  <rv s="0">
    <fb>57.32</fb>
    <v>1</v>
  </rv>
  <rv s="0">
    <fb>148.423</fb>
    <v>1</v>
  </rv>
  <rv s="0">
    <fb>45363</fb>
    <v>0</v>
  </rv>
  <rv s="0">
    <fb>415.28</fb>
    <v>1</v>
  </rv>
  <rv s="0">
    <fb>283.92</fb>
    <v>1</v>
  </rv>
  <rv s="0">
    <fb>147.84</fb>
    <v>1</v>
  </rv>
  <rv s="0">
    <fb>46.84</fb>
    <v>1</v>
  </rv>
  <rv s="0">
    <fb>54.52</fb>
    <v>1</v>
  </rv>
  <rv s="0">
    <fb>159.33500000000001</fb>
    <v>1</v>
  </rv>
  <rv s="0">
    <fb>45364</fb>
    <v>0</v>
  </rv>
  <rv s="0">
    <fb>415.1</fb>
    <v>1</v>
  </rv>
  <rv s="0">
    <fb>285.14</fb>
    <v>1</v>
  </rv>
  <rv s="0">
    <fb>147.82</fb>
    <v>1</v>
  </rv>
  <rv s="0">
    <fb>40.86</fb>
    <v>1</v>
  </rv>
  <rv s="0">
    <fb>257.26</fb>
    <v>1</v>
  </rv>
  <rv s="0">
    <fb>176.61500000000001</fb>
    <v>1</v>
  </rv>
  <rv s="0">
    <fb>45365</fb>
    <v>0</v>
  </rv>
  <rv s="0">
    <fb>425.22</fb>
    <v>1</v>
  </rv>
  <rv s="0">
    <fb>17.010000000000002</fb>
    <v>1</v>
  </rv>
  <rv s="0">
    <fb>286.41000000000003</fb>
    <v>1</v>
  </rv>
  <rv s="0">
    <fb>145.21</fb>
    <v>1</v>
  </rv>
  <rv s="0">
    <fb>38.26</fb>
    <v>1</v>
  </rv>
  <rv s="0">
    <fb>257.13</fb>
    <v>1</v>
  </rv>
  <rv s="0">
    <fb>55.64</fb>
    <v>1</v>
  </rv>
  <rv s="0">
    <fb>167.685</fb>
    <v>1</v>
  </rv>
  <rv s="0">
    <fb>45366</fb>
    <v>0</v>
  </rv>
  <rv s="0">
    <fb>416.42</fb>
    <v>1</v>
  </rv>
  <rv s="0">
    <fb>283.04000000000002</fb>
    <v>1</v>
  </rv>
  <rv s="0">
    <fb>147.47999999999999</fb>
    <v>1</v>
  </rv>
  <rv s="0">
    <fb>38.85</fb>
    <v>1</v>
  </rv>
  <rv s="0">
    <fb>254.89</fb>
    <v>1</v>
  </rv>
  <rv s="0">
    <fb>56.76</fb>
    <v>1</v>
  </rv>
  <rv s="0">
    <fb>178.23599999999999</fb>
    <v>1</v>
  </rv>
  <rv s="0">
    <fb>45369</fb>
    <v>0</v>
  </rv>
  <rv s="0">
    <fb>417.32</fb>
    <v>1</v>
  </rv>
  <rv s="0">
    <fb>17.3</fb>
    <v>1</v>
  </rv>
  <rv s="0">
    <fb>285.05</fb>
    <v>1</v>
  </rv>
  <rv s="0">
    <fb>146.09</fb>
    <v>1</v>
  </rv>
  <rv s="0">
    <fb>38.869999999999997</fb>
    <v>1</v>
  </rv>
  <rv s="0">
    <fb>55.44</fb>
    <v>1</v>
  </rv>
  <rv s="0">
    <fb>150.27600000000001</fb>
    <v>1</v>
  </rv>
  <rv s="0">
    <fb>45370</fb>
    <v>0</v>
  </rv>
  <rv s="0">
    <fb>421.41</fb>
    <v>1</v>
  </rv>
  <rv s="0">
    <fb>287.35000000000002</fb>
    <v>1</v>
  </rv>
  <rv s="0">
    <fb>147.38999999999999</fb>
    <v>1</v>
  </rv>
  <rv s="0">
    <fb>39.75</fb>
    <v>1</v>
  </rv>
  <rv s="0">
    <fb>252.76</fb>
    <v>1</v>
  </rv>
  <rv s="0">
    <fb>53.88</fb>
    <v>1</v>
  </rv>
  <rv s="0">
    <fb>45371</fb>
    <v>0</v>
  </rv>
  <rv s="0">
    <fb>425.23</fb>
    <v>1</v>
  </rv>
  <rv s="0">
    <fb>17.21</fb>
    <v>1</v>
  </rv>
  <rv s="0">
    <fb>289.27999999999997</fb>
    <v>1</v>
  </rv>
  <rv s="0">
    <fb>39.69</fb>
    <v>1</v>
  </rv>
  <rv s="0">
    <fb>261.72000000000003</fb>
    <v>1</v>
  </rv>
  <rv s="0">
    <fb>52.76</fb>
    <v>1</v>
  </rv>
  <rv s="0">
    <fb>154.65199999999999</fb>
    <v>1</v>
  </rv>
  <rv s="0">
    <fb>45372</fb>
    <v>0</v>
  </rv>
  <rv s="0">
    <fb>429.37</fb>
    <v>1</v>
  </rv>
  <rv s="0">
    <fb>17.16</fb>
    <v>1</v>
  </rv>
  <rv s="0">
    <fb>290.37</fb>
    <v>1</v>
  </rv>
  <rv s="0">
    <fb>148.74</fb>
    <v>1</v>
  </rv>
  <rv s="0">
    <fb>40.049999999999997</fb>
    <v>1</v>
  </rv>
  <rv s="0">
    <fb>259.64</fb>
    <v>1</v>
  </rv>
  <rv s="0">
    <fb>52.28</fb>
    <v>1</v>
  </rv>
  <rv s="0">
    <fb>159.929</fb>
    <v>1</v>
  </rv>
  <rv s="0">
    <fb>45373</fb>
    <v>0</v>
  </rv>
  <rv s="0">
    <fb>428.74</fb>
    <v>1</v>
  </rv>
  <rv s="0">
    <fb>283.26</fb>
    <v>1</v>
  </rv>
  <rv s="0">
    <fb>147.44999999999999</fb>
    <v>1</v>
  </rv>
  <rv s="0">
    <fb>39.659999999999997</fb>
    <v>1</v>
  </rv>
  <rv s="0">
    <fb>264.95</fb>
    <v>1</v>
  </rv>
  <rv s="0">
    <fb>52.52</fb>
    <v>1</v>
  </rv>
  <rv s="0">
    <fb>45376</fb>
    <v>0</v>
  </rv>
  <rv s="0">
    <fb>422.86</fb>
    <v>1</v>
  </rv>
  <rv s="0">
    <fb>281.20999999999998</fb>
    <v>1</v>
  </rv>
  <rv s="0">
    <fb>145.56</fb>
    <v>1</v>
  </rv>
  <rv s="0">
    <fb>40.25</fb>
    <v>1</v>
  </rv>
  <rv s="0">
    <fb>261.92</fb>
    <v>1</v>
  </rv>
  <rv s="0">
    <fb>52.32</fb>
    <v>1</v>
  </rv>
  <rv s="0">
    <fb>45377</fb>
    <v>0</v>
  </rv>
  <rv s="0">
    <fb>421.65</fb>
    <v>1</v>
  </rv>
  <rv s="0">
    <fb>280.60000000000002</fb>
    <v>1</v>
  </rv>
  <rv s="0">
    <fb>144.41</fb>
    <v>1</v>
  </rv>
  <rv s="0">
    <fb>40.69</fb>
    <v>1</v>
  </rv>
  <rv s="0">
    <fb>262.81</fb>
    <v>1</v>
  </rv>
  <rv s="0">
    <fb>52.04</fb>
    <v>1</v>
  </rv>
  <rv s="0">
    <fb>187.69900000000001</fb>
    <v>1</v>
  </rv>
  <rv s="0">
    <fb>45378</fb>
    <v>0</v>
  </rv>
  <rv s="0">
    <fb>421.43</fb>
    <v>1</v>
  </rv>
  <rv s="0">
    <fb>17.55</fb>
    <v>1</v>
  </rv>
  <rv s="0">
    <fb>279.02</fb>
    <v>1</v>
  </rv>
  <rv s="0">
    <fb>147.37</fb>
    <v>1</v>
  </rv>
  <rv s="0">
    <fb>41.02</fb>
    <v>1</v>
  </rv>
  <rv s="0">
    <fb>260.2</fb>
    <v>1</v>
  </rv>
  <rv s="0">
    <fb>51.08</fb>
    <v>1</v>
  </rv>
  <rv s="0">
    <fb>191.916</fb>
    <v>1</v>
  </rv>
  <rv s="0">
    <fb>45379</fb>
    <v>0</v>
  </rv>
  <rv s="0">
    <fb>420.72</fb>
    <v>1</v>
  </rv>
  <rv s="0">
    <fb>17.600000000000001</fb>
    <v>1</v>
  </rv>
  <rv s="0">
    <fb>279.08</fb>
    <v>1</v>
  </rv>
  <rv s="0">
    <fb>145.51</fb>
    <v>1</v>
  </rv>
  <rv s="0">
    <fb>40.78</fb>
    <v>1</v>
  </rv>
  <rv s="0">
    <fb>263.89999999999998</fb>
    <v>1</v>
  </rv>
  <rv s="0">
    <fb>51.88</fb>
    <v>1</v>
  </rv>
  <rv s="0">
    <fb>170.45599999999999</fb>
    <v>1</v>
  </rv>
  <rv s="0">
    <fb>45383</fb>
    <v>0</v>
  </rv>
  <rv s="0">
    <fb>424.57</fb>
    <v>1</v>
  </rv>
  <rv s="0">
    <fb>278.27999999999997</fb>
    <v>1</v>
  </rv>
  <rv s="0">
    <fb>41.83</fb>
    <v>1</v>
  </rv>
  <rv s="0">
    <fb>266.43</fb>
    <v>1</v>
  </rv>
  <rv s="0">
    <fb>52.56</fb>
    <v>1</v>
  </rv>
  <rv s="0">
    <fb>163.67400000000001</fb>
    <v>1</v>
  </rv>
  <rv s="0">
    <fb>45384</fb>
    <v>0</v>
  </rv>
  <rv s="0">
    <fb>278.44</fb>
    <v>1</v>
  </rv>
  <rv s="0">
    <fb>41.4</fb>
    <v>1</v>
  </rv>
  <rv s="0">
    <fb>269.58</fb>
    <v>1</v>
  </rv>
  <rv s="0">
    <fb>53.8</fb>
    <v>1</v>
  </rv>
  <rv s="0">
    <fb>157.88300000000001</fb>
    <v>1</v>
  </rv>
  <rv s="0">
    <fb>45385</fb>
    <v>0</v>
  </rv>
  <rv s="0">
    <fb>420.45</fb>
    <v>1</v>
  </rv>
  <rv s="0">
    <fb>276.95999999999998</fb>
    <v>1</v>
  </rv>
  <rv s="0">
    <fb>143.72999999999999</fb>
    <v>1</v>
  </rv>
  <rv s="0">
    <fb>41.88</fb>
    <v>1</v>
  </rv>
  <rv s="0">
    <fb>291.77</fb>
    <v>1</v>
  </rv>
  <rv s="0">
    <fb>53.44</fb>
    <v>1</v>
  </rv>
  <rv s="0">
    <fb>160.61099999999999</fb>
    <v>1</v>
  </rv>
  <rv s="0">
    <fb>45386</fb>
    <v>0</v>
  </rv>
  <rv s="0">
    <fb>417.88</fb>
    <v>1</v>
  </rv>
  <rv s="0">
    <fb>17.57</fb>
    <v>1</v>
  </rv>
  <rv s="0">
    <fb>274</fb>
    <v>1</v>
  </rv>
  <rv s="0">
    <fb>41.1</fb>
    <v>1</v>
  </rv>
  <rv s="0">
    <fb>295.95999999999998</fb>
    <v>1</v>
  </rv>
  <rv s="0">
    <fb>55.98</fb>
    <v>1</v>
  </rv>
  <rv s="0">
    <fb>161.542</fb>
    <v>1</v>
  </rv>
  <rv s="0">
    <fb>45387</fb>
    <v>0</v>
  </rv>
  <rv s="0">
    <fb>425.52</fb>
    <v>1</v>
  </rv>
  <rv s="0">
    <fb>17.420000000000002</fb>
    <v>1</v>
  </rv>
  <rv s="0">
    <fb>277.14</fb>
    <v>1</v>
  </rv>
  <rv s="0">
    <fb>41.22</fb>
    <v>1</v>
  </rv>
  <rv s="0">
    <fb>310.31</fb>
    <v>1</v>
  </rv>
  <rv s="0">
    <fb>57.04</fb>
    <v>1</v>
  </rv>
  <rv s="0">
    <fb>143.9</fb>
    <v>1</v>
  </rv>
  <rv s="0">
    <fb>45390</fb>
    <v>0</v>
  </rv>
  <rv s="0">
    <fb>424.59</fb>
    <v>1</v>
  </rv>
  <rv s="0">
    <fb>277.76</fb>
    <v>1</v>
  </rv>
  <rv s="0">
    <fb>144.46</fb>
    <v>1</v>
  </rv>
  <rv s="0">
    <fb>40.549999999999997</fb>
    <v>1</v>
  </rv>
  <rv s="0">
    <fb>309.07</fb>
    <v>1</v>
  </rv>
  <rv s="0">
    <fb>54.8</fb>
    <v>1</v>
  </rv>
  <rv s="0">
    <fb>151.29900000000001</fb>
    <v>1</v>
  </rv>
  <rv s="0">
    <fb>45391</fb>
    <v>0</v>
  </rv>
  <rv s="0">
    <fb>426.28</fb>
    <v>1</v>
  </rv>
  <rv s="0">
    <fb>276.72000000000003</fb>
    <v>1</v>
  </rv>
  <rv s="0">
    <fb>147.4</fb>
    <v>1</v>
  </rv>
  <rv s="0">
    <fb>41.93</fb>
    <v>1</v>
  </rv>
  <rv s="0">
    <fb>300.73</fb>
    <v>1</v>
  </rv>
  <rv s="0">
    <fb>144.102</fb>
    <v>1</v>
  </rv>
  <rv s="0">
    <fb>45392</fb>
    <v>0</v>
  </rv>
  <rv s="0">
    <fb>423.26</fb>
    <v>1</v>
  </rv>
  <rv s="0">
    <fb>16.73</fb>
    <v>1</v>
  </rv>
  <rv s="0">
    <fb>274.48</fb>
    <v>1</v>
  </rv>
  <rv s="0">
    <fb>144.16</fb>
    <v>1</v>
  </rv>
  <rv s="0">
    <fb>42.61</fb>
    <v>1</v>
  </rv>
  <rv s="0">
    <fb>299.99</fb>
    <v>1</v>
  </rv>
  <rv s="0">
    <fb>156.6</fb>
    <v>1</v>
  </rv>
  <rv s="0">
    <fb>45393</fb>
    <v>0</v>
  </rv>
  <rv s="0">
    <fb>427.93</fb>
    <v>1</v>
  </rv>
  <rv s="0">
    <fb>16.420000000000002</fb>
    <v>1</v>
  </rv>
  <rv s="0">
    <fb>275.68</fb>
    <v>1</v>
  </rv>
  <rv s="0">
    <fb>145</fb>
    <v>1</v>
  </rv>
  <rv s="0">
    <fb>42.23</fb>
    <v>1</v>
  </rv>
  <rv s="0">
    <fb>303.57</fb>
    <v>1</v>
  </rv>
  <rv s="0">
    <fb>54.36</fb>
    <v>1</v>
  </rv>
  <rv s="0">
    <fb>155.18100000000001</fb>
    <v>1</v>
  </rv>
  <rv s="0">
    <fb>45394</fb>
    <v>0</v>
  </rv>
  <rv s="0">
    <fb>421.9</fb>
    <v>1</v>
  </rv>
  <rv s="0">
    <fb>275.95999999999998</fb>
    <v>1</v>
  </rv>
  <rv s="0">
    <fb>140.72999999999999</fb>
    <v>1</v>
  </rv>
  <rv s="0">
    <fb>41.33</fb>
    <v>1</v>
  </rv>
  <rv s="0">
    <fb>300.45</fb>
    <v>1</v>
  </rv>
  <rv s="0">
    <fb>59.16</fb>
    <v>1</v>
  </rv>
  <rv s="0">
    <fb>147.958</fb>
    <v>1</v>
  </rv>
  <rv s="0">
    <fb>45397</fb>
    <v>0</v>
  </rv>
  <rv s="0">
    <fb>271.27999999999997</fb>
    <v>1</v>
  </rv>
  <rv s="0">
    <fb>140.22</fb>
    <v>1</v>
  </rv>
  <rv s="0">
    <fb>40.82</fb>
    <v>1</v>
  </rv>
  <rv s="0">
    <fb>290.52</fb>
    <v>1</v>
  </rv>
  <rv s="0">
    <fb>62.44</fb>
    <v>1</v>
  </rv>
  <rv s="0">
    <fb>133.58799999999999</fb>
    <v>1</v>
  </rv>
  <rv s="0">
    <fb>45398</fb>
    <v>0</v>
  </rv>
  <rv s="0">
    <fb>414.58</fb>
    <v>1</v>
  </rv>
  <rv s="0">
    <fb>271.35000000000002</fb>
    <v>1</v>
  </rv>
  <rv s="0">
    <fb>136.80000000000001</fb>
    <v>1</v>
  </rv>
  <rv s="0">
    <fb>40.299999999999997</fb>
    <v>1</v>
  </rv>
  <rv s="0">
    <fb>60.32</fb>
    <v>1</v>
  </rv>
  <rv s="0">
    <fb>125.40300000000001</fb>
    <v>1</v>
  </rv>
  <rv s="0">
    <fb>45399</fb>
    <v>0</v>
  </rv>
  <rv s="0">
    <fb>272.69</fb>
    <v>1</v>
  </rv>
  <rv s="0">
    <fb>134.55000000000001</fb>
    <v>1</v>
  </rv>
  <rv s="0">
    <fb>39.130000000000003</fb>
    <v>1</v>
  </rv>
  <rv s="0">
    <fb>293.58</fb>
    <v>1</v>
  </rv>
  <rv s="0">
    <fb>59.72</fb>
    <v>1</v>
  </rv>
  <rv s="0">
    <fb>118.80500000000001</fb>
    <v>1</v>
  </rv>
  <rv s="0">
    <fb>45400</fb>
    <v>0</v>
  </rv>
  <rv s="0">
    <fb>404.27</fb>
    <v>1</v>
  </rv>
  <rv s="0">
    <fb>16.329999999999998</fb>
    <v>1</v>
  </rv>
  <rv s="0">
    <fb>271.37</fb>
    <v>1</v>
  </rv>
  <rv s="0">
    <fb>132.44</fb>
    <v>1</v>
  </rv>
  <rv s="0">
    <fb>38.94</fb>
    <v>1</v>
  </rv>
  <rv s="0">
    <fb>289.2</fb>
    <v>1</v>
  </rv>
  <rv s="0">
    <fb>59.88</fb>
    <v>1</v>
  </rv>
  <rv s="0">
    <fb>120.816</fb>
    <v>1</v>
  </rv>
  <rv s="0">
    <fb>45401</fb>
    <v>0</v>
  </rv>
  <rv s="0">
    <fb>399.12</fb>
    <v>1</v>
  </rv>
  <rv s="0">
    <fb>16.510000000000002</fb>
    <v>1</v>
  </rv>
  <rv s="0">
    <fb>269.77999999999997</fb>
    <v>1</v>
  </rv>
  <rv s="0">
    <fb>132.72999999999999</fb>
    <v>1</v>
  </rv>
  <rv s="0">
    <fb>275.83</fb>
    <v>1</v>
  </rv>
  <rv s="0">
    <fb>61.84</fb>
    <v>1</v>
  </rv>
  <rv s="0">
    <fb>117.411</fb>
    <v>1</v>
  </rv>
  <rv s="0">
    <fb>45404</fb>
    <v>0</v>
  </rv>
  <rv s="0">
    <fb>400.96</fb>
    <v>1</v>
  </rv>
  <rv s="0">
    <fb>272.33</fb>
    <v>1</v>
  </rv>
  <rv s="0">
    <fb>133.91</fb>
    <v>1</v>
  </rv>
  <rv s="0">
    <fb>38.840000000000003</fb>
    <v>1</v>
  </rv>
  <rv s="0">
    <fb>272.24</fb>
    <v>1</v>
  </rv>
  <rv s="0">
    <fb>57.08</fb>
    <v>1</v>
  </rv>
  <rv s="0">
    <fb>132.40100000000001</fb>
    <v>1</v>
  </rv>
  <rv s="0">
    <fb>45405</fb>
    <v>0</v>
  </rv>
  <rv s="0">
    <fb>407.57</fb>
    <v>1</v>
  </rv>
  <rv s="0">
    <fb>274.11</fb>
    <v>1</v>
  </rv>
  <rv s="0">
    <fb>37.94</fb>
    <v>1</v>
  </rv>
  <rv s="0">
    <fb>303.31</fb>
    <v>1</v>
  </rv>
  <rv s="0">
    <fb>54.84</fb>
    <v>1</v>
  </rv>
  <rv s="0">
    <fb>133.864</fb>
    <v>1</v>
  </rv>
  <rv s="0">
    <fb>45406</fb>
    <v>0</v>
  </rv>
  <rv s="0">
    <fb>409.06</fb>
    <v>1</v>
  </rv>
  <rv s="0">
    <fb>16.809999999999999</fb>
    <v>1</v>
  </rv>
  <rv s="0">
    <fb>275.02</fb>
    <v>1</v>
  </rv>
  <rv s="0">
    <fb>137.49</fb>
    <v>1</v>
  </rv>
  <rv s="0">
    <fb>36.6</fb>
    <v>1</v>
  </rv>
  <rv s="0">
    <fb>281.23</fb>
    <v>1</v>
  </rv>
  <rv s="0">
    <fb>126.56699999999999</fb>
    <v>1</v>
  </rv>
  <rv s="0">
    <fb>45407</fb>
    <v>0</v>
  </rv>
  <rv s="0">
    <fb>275.16000000000003</fb>
    <v>1</v>
  </rv>
  <rv s="0">
    <fb>37.17</fb>
    <v>1</v>
  </rv>
  <rv s="0">
    <fb>289.02</fb>
    <v>1</v>
  </rv>
  <rv s="0">
    <fb>55.52</fb>
    <v>1</v>
  </rv>
  <rv s="0">
    <fb>124.041</fb>
    <v>1</v>
  </rv>
  <rv s="0">
    <fb>45408</fb>
    <v>0</v>
  </rv>
  <rv s="0">
    <fb>16.75</fb>
    <v>1</v>
  </rv>
  <rv s="0">
    <fb>274.52</fb>
    <v>1</v>
  </rv>
  <rv s="0">
    <fb>137.74</fb>
    <v>1</v>
  </rv>
  <rv s="0">
    <fb>37.42</fb>
    <v>1</v>
  </rv>
  <rv s="0">
    <fb>289.58999999999997</fb>
    <v>1</v>
  </rv>
  <rv s="0">
    <fb>53.72</fb>
    <v>1</v>
  </rv>
  <rv s="0">
    <fb>128.238</fb>
    <v>1</v>
  </rv>
  <rv s="0">
    <fb>45411</fb>
    <v>0</v>
  </rv>
  <rv s="0">
    <fb>402.25</fb>
    <v>1</v>
  </rv>
  <rv s="0">
    <fb>271.83999999999997</fb>
    <v>1</v>
  </rv>
  <rv s="0">
    <fb>139.59</fb>
    <v>1</v>
  </rv>
  <rv s="0">
    <fb>36.96</fb>
    <v>1</v>
  </rv>
  <rv s="0">
    <fb>286.24</fb>
    <v>1</v>
  </rv>
  <rv s="0">
    <fb>52.8</fb>
    <v>1</v>
  </rv>
  <rv s="0">
    <fb>129.297</fb>
    <v>1</v>
  </rv>
  <rv s="0">
    <fb>45412</fb>
    <v>0</v>
  </rv>
  <rv s="0">
    <fb>389.33</fb>
    <v>1</v>
  </rv>
  <rv s="0">
    <fb>16.89</fb>
    <v>1</v>
  </rv>
  <rv s="0">
    <fb>268.61</fb>
    <v>1</v>
  </rv>
  <rv s="0">
    <fb>137.04</fb>
    <v>1</v>
  </rv>
  <rv s="0">
    <fb>36.5</fb>
    <v>1</v>
  </rv>
  <rv s="0">
    <fb>280.44</fb>
    <v>1</v>
  </rv>
  <rv s="0">
    <fb>54.44</fb>
    <v>1</v>
  </rv>
  <rv s="0">
    <fb>106.503</fb>
    <v>1</v>
  </rv>
  <rv s="0">
    <fb>45413</fb>
    <v>0</v>
  </rv>
  <rv s="0">
    <fb>394.94</fb>
    <v>1</v>
  </rv>
  <rv s="0">
    <fb>267.32</fb>
    <v>1</v>
  </rv>
  <rv s="0">
    <fb>138.69</fb>
    <v>1</v>
  </rv>
  <rv s="0">
    <fb>36.979999999999997</fb>
    <v>1</v>
  </rv>
  <rv s="0">
    <fb>284.54000000000002</fb>
    <v>1</v>
  </rv>
  <rv s="0">
    <fb>54.76</fb>
    <v>1</v>
  </rv>
  <rv s="0">
    <fb>102.827</fb>
    <v>1</v>
  </rv>
  <rv s="0">
    <fb>45414</fb>
    <v>0</v>
  </rv>
  <rv s="0">
    <fb>397.84</fb>
    <v>1</v>
  </rv>
  <rv s="0">
    <fb>267.61</fb>
    <v>1</v>
  </rv>
  <rv s="0">
    <fb>137.52000000000001</fb>
    <v>1</v>
  </rv>
  <rv s="0">
    <fb>37.049999999999997</fb>
    <v>1</v>
  </rv>
  <rv s="0">
    <fb>52.96</fb>
    <v>1</v>
  </rv>
  <rv s="0">
    <fb>112.94199999999999</fb>
    <v>1</v>
  </rv>
  <rv s="0">
    <fb>45415</fb>
    <v>0</v>
  </rv>
  <rv s="0">
    <fb>406.66</fb>
    <v>1</v>
  </rv>
  <rv s="0">
    <fb>16.850000000000001</fb>
    <v>1</v>
  </rv>
  <rv s="0">
    <fb>268.49</fb>
    <v>1</v>
  </rv>
  <rv s="0">
    <fb>139.44999999999999</fb>
    <v>1</v>
  </rv>
  <rv s="0">
    <fb>36.47</fb>
    <v>1</v>
  </rv>
  <rv s="0">
    <fb>296.07</fb>
    <v>1</v>
  </rv>
  <rv s="0">
    <fb>51.16</fb>
    <v>1</v>
  </rv>
  <rv s="0">
    <fb>122.301</fb>
    <v>1</v>
  </rv>
  <rv s="0">
    <fb>45418</fb>
    <v>0</v>
  </rv>
  <rv s="0">
    <fb>413.54</fb>
    <v>1</v>
  </rv>
  <rv s="0">
    <fb>16.989999999999998</fb>
    <v>1</v>
  </rv>
  <rv s="0">
    <fb>272.67</fb>
    <v>1</v>
  </rv>
  <rv s="0">
    <fb>140.61000000000001</fb>
    <v>1</v>
  </rv>
  <rv s="0">
    <fb>38.04</fb>
    <v>1</v>
  </rv>
  <rv s="0">
    <fb>299.48</fb>
    <v>1</v>
  </rv>
  <rv s="0">
    <fb>49.64</fb>
    <v>1</v>
  </rv>
  <rv s="0">
    <fb>126.881</fb>
    <v>1</v>
  </rv>
  <rv s="0">
    <fb>45419</fb>
    <v>0</v>
  </rv>
  <rv s="0">
    <fb>409.34</fb>
    <v>1</v>
  </rv>
  <rv s="0">
    <fb>17.079999999999998</fb>
    <v>1</v>
  </rv>
  <rv s="0">
    <fb>276.45999999999998</fb>
    <v>1</v>
  </rv>
  <rv s="0">
    <fb>141.27000000000001</fb>
    <v>1</v>
  </rv>
  <rv s="0">
    <fb>38.130000000000003</fb>
    <v>1</v>
  </rv>
  <rv s="0">
    <fb>298.05</fb>
    <v>1</v>
  </rv>
  <rv s="0">
    <fb>125.745</fb>
    <v>1</v>
  </rv>
  <rv s="0">
    <fb>45420</fb>
    <v>0</v>
  </rv>
  <rv s="0">
    <fb>410.54</fb>
    <v>1</v>
  </rv>
  <rv s="0">
    <fb>17.11</fb>
    <v>1</v>
  </rv>
  <rv s="0">
    <fb>277.19</fb>
    <v>1</v>
  </rv>
  <rv s="0">
    <fb>142.80000000000001</fb>
    <v>1</v>
  </rv>
  <rv s="0">
    <fb>38.35</fb>
    <v>1</v>
  </rv>
  <rv s="0">
    <fb>298.64999999999998</fb>
    <v>1</v>
  </rv>
  <rv s="0">
    <fb>49.12</fb>
    <v>1</v>
  </rv>
  <rv s="0">
    <fb>123.312</fb>
    <v>1</v>
  </rv>
  <rv s="0">
    <fb>45421</fb>
    <v>0</v>
  </rv>
  <rv s="0">
    <fb>412.32</fb>
    <v>1</v>
  </rv>
  <rv s="0">
    <fb>278.54000000000002</fb>
    <v>1</v>
  </rv>
  <rv s="0">
    <fb>38.22</fb>
    <v>1</v>
  </rv>
  <rv s="0">
    <fb>298.66000000000003</fb>
    <v>1</v>
  </rv>
  <rv s="0">
    <fb>48.92</fb>
    <v>1</v>
  </rv>
  <rv s="0">
    <fb>126.364</fb>
    <v>1</v>
  </rv>
  <rv s="0">
    <fb>45422</fb>
    <v>0</v>
  </rv>
  <rv s="0">
    <fb>414.74</fb>
    <v>1</v>
  </rv>
  <rv s="0">
    <fb>149.76</fb>
    <v>1</v>
  </rv>
  <rv s="0">
    <fb>38.020000000000003</fb>
    <v>1</v>
  </rv>
  <rv s="0">
    <fb>48.24</fb>
    <v>1</v>
  </rv>
  <rv s="0">
    <fb>118.048</fb>
    <v>1</v>
  </rv>
  <rv s="0">
    <fb>45425</fb>
    <v>0</v>
  </rv>
  <rv s="0">
    <fb>413.72</fb>
    <v>1</v>
  </rv>
  <rv s="0">
    <fb>147.76</fb>
    <v>1</v>
  </rv>
  <rv s="0">
    <fb>37.97</fb>
    <v>1</v>
  </rv>
  <rv s="0">
    <fb>289.70999999999998</fb>
    <v>1</v>
  </rv>
  <rv s="0">
    <fb>48.76</fb>
    <v>1</v>
  </rv>
  <rv s="0">
    <fb>124.596</fb>
    <v>1</v>
  </rv>
  <rv s="0">
    <fb>45426</fb>
    <v>0</v>
  </rv>
  <rv s="0">
    <fb>416.56</fb>
    <v>1</v>
  </rv>
  <rv s="0">
    <fb>277.74</fb>
    <v>1</v>
  </rv>
  <rv s="0">
    <fb>151.28</fb>
    <v>1</v>
  </rv>
  <rv s="0">
    <fb>38</fb>
    <v>1</v>
  </rv>
  <rv s="0">
    <fb>290.12</fb>
    <v>1</v>
  </rv>
  <rv s="0">
    <fb>129.76300000000001</fb>
    <v>1</v>
  </rv>
  <rv s="0">
    <fb>45427</fb>
    <v>0</v>
  </rv>
  <rv s="0">
    <fb>423.08</fb>
    <v>1</v>
  </rv>
  <rv s="0">
    <fb>281.5</fb>
    <v>1</v>
  </rv>
  <rv s="0">
    <fb>154.08000000000001</fb>
    <v>1</v>
  </rv>
  <rv s="0">
    <fb>38.229999999999997</fb>
    <v>1</v>
  </rv>
  <rv s="0">
    <fb>303.04000000000002</fb>
    <v>1</v>
  </rv>
  <rv s="0">
    <fb>46.08</fb>
    <v>1</v>
  </rv>
  <rv s="0">
    <fb>150.34700000000001</fb>
    <v>1</v>
  </rv>
  <rv s="0">
    <fb>45428</fb>
    <v>0</v>
  </rv>
  <rv s="0">
    <fb>420.99</fb>
    <v>1</v>
  </rv>
  <rv s="0">
    <fb>37.35</fb>
    <v>1</v>
  </rv>
  <rv s="0">
    <fb>298.12</fb>
    <v>1</v>
  </rv>
  <rv s="0">
    <fb>46.04</fb>
    <v>1</v>
  </rv>
  <rv s="0">
    <fb>143.99799999999999</fb>
    <v>1</v>
  </rv>
  <rv s="0">
    <fb>45429</fb>
    <v>0</v>
  </rv>
  <rv s="0">
    <fb>420.21</fb>
    <v>1</v>
  </rv>
  <rv s="0">
    <fb>17.399999999999999</fb>
    <v>1</v>
  </rv>
  <rv s="0">
    <fb>280.10000000000002</fb>
    <v>1</v>
  </rv>
  <rv s="0">
    <fb>154.22999999999999</fb>
    <v>1</v>
  </rv>
  <rv s="0">
    <fb>35.909999999999997</fb>
    <v>1</v>
  </rv>
  <rv s="0">
    <fb>302.82</fb>
    <v>1</v>
  </rv>
  <rv s="0">
    <fb>45.44</fb>
    <v>1</v>
  </rv>
  <rv s="0">
    <fb>158.44999999999999</fb>
    <v>1</v>
  </rv>
  <rv s="0">
    <fb>45432</fb>
    <v>0</v>
  </rv>
  <rv s="0">
    <fb>425.34</fb>
    <v>1</v>
  </rv>
  <rv s="0">
    <fb>36.75</fb>
    <v>1</v>
  </rv>
  <rv s="0">
    <fb>308.20999999999998</fb>
    <v>1</v>
  </rv>
  <rv s="0">
    <fb>45.52</fb>
    <v>1</v>
  </rv>
  <rv s="0">
    <fb>172.72399999999999</fb>
    <v>1</v>
  </rv>
  <rv s="0">
    <fb>45433</fb>
    <v>0</v>
  </rv>
  <rv s="0">
    <fb>429.04</fb>
    <v>1</v>
  </rv>
  <rv s="0">
    <fb>17.27</fb>
    <v>1</v>
  </rv>
  <rv s="0">
    <fb>275.95</fb>
    <v>1</v>
  </rv>
  <rv s="0">
    <fb>153.66999999999999</fb>
    <v>1</v>
  </rv>
  <rv s="0">
    <fb>36.159999999999997</fb>
    <v>1</v>
  </rv>
  <rv s="0">
    <fb>304.93</fb>
    <v>1</v>
  </rv>
  <rv s="0">
    <fb>44.76</fb>
    <v>1</v>
  </rv>
  <rv s="0">
    <fb>165.542</fb>
    <v>1</v>
  </rv>
  <rv s="0">
    <fb>45434</fb>
    <v>0</v>
  </rv>
  <rv s="0">
    <fb>430.52</fb>
    <v>1</v>
  </rv>
  <rv s="0">
    <fb>36.22</fb>
    <v>1</v>
  </rv>
  <rv s="0">
    <fb>298.76</fb>
    <v>1</v>
  </rv>
  <rv s="0">
    <fb>45.72</fb>
    <v>1</v>
  </rv>
  <rv s="0">
    <fb>164.7</fb>
    <v>1</v>
  </rv>
  <rv s="0">
    <fb>45435</fb>
    <v>0</v>
  </rv>
  <rv s="0">
    <fb>427</fb>
    <v>1</v>
  </rv>
  <rv s="0">
    <fb>274.23</fb>
    <v>1</v>
  </rv>
  <rv s="0">
    <fb>150.55000000000001</fb>
    <v>1</v>
  </rv>
  <rv s="0">
    <fb>300.51</fb>
    <v>1</v>
  </rv>
  <rv s="0">
    <fb>154.40700000000001</fb>
    <v>1</v>
  </rv>
  <rv s="0">
    <fb>45436</fb>
    <v>0</v>
  </rv>
  <rv s="0">
    <fb>430.16</fb>
    <v>1</v>
  </rv>
  <rv s="0">
    <fb>274.49</fb>
    <v>1</v>
  </rv>
  <rv s="0">
    <fb>150.66</fb>
    <v>1</v>
  </rv>
  <rv s="0">
    <fb>308.16000000000003</fb>
    <v>1</v>
  </rv>
  <rv s="0">
    <fb>45</fb>
    <v>1</v>
  </rv>
  <rv s="0">
    <fb>168.48400000000001</fb>
    <v>1</v>
  </rv>
  <rv s="0">
    <fb>45440</fb>
    <v>0</v>
  </rv>
  <rv s="0">
    <fb>430.32</fb>
    <v>1</v>
  </rv>
  <rv s="0">
    <fb>270.98</fb>
    <v>1</v>
  </rv>
  <rv s="0">
    <fb>36.82</fb>
    <v>1</v>
  </rv>
  <rv s="0">
    <fb>310.29000000000002</fb>
    <v>1</v>
  </rv>
  <rv s="0">
    <fb>45.96</fb>
    <v>1</v>
  </rv>
  <rv s="0">
    <fb>167.535</fb>
    <v>1</v>
  </rv>
  <rv s="0">
    <fb>45441</fb>
    <v>0</v>
  </rv>
  <rv s="0">
    <fb>429.17</fb>
    <v>1</v>
  </rv>
  <rv s="0">
    <fb>268.86</fb>
    <v>1</v>
  </rv>
  <rv s="0">
    <fb>145.47999999999999</fb>
    <v>1</v>
  </rv>
  <rv s="0">
    <fb>37.119999999999997</fb>
    <v>1</v>
  </rv>
  <rv s="0">
    <fb>307.52</fb>
    <v>1</v>
  </rv>
  <rv s="0">
    <fb>47.72</fb>
    <v>1</v>
  </rv>
  <rv s="0">
    <fb>161.87</fb>
    <v>1</v>
  </rv>
  <rv s="0">
    <fb>45442</fb>
    <v>0</v>
  </rv>
  <rv s="0">
    <fb>414.67</fb>
    <v>1</v>
  </rv>
  <rv s="0">
    <fb>38.119999999999997</fb>
    <v>1</v>
  </rv>
  <rv s="0">
    <fb>304.69</fb>
    <v>1</v>
  </rv>
  <rv s="0">
    <fb>47.56</fb>
    <v>1</v>
  </rv>
  <rv s="0">
    <fb>154.1</fb>
    <v>1</v>
  </rv>
  <rv s="0">
    <fb>45443</fb>
    <v>0</v>
  </rv>
  <rv s="0">
    <fb>415.13</fb>
    <v>1</v>
  </rv>
  <rv s="0">
    <fb>272.45999999999998</fb>
    <v>1</v>
  </rv>
  <rv s="0">
    <fb>130.41</fb>
    <v>1</v>
  </rv>
  <rv s="0">
    <fb>296.77999999999997</fb>
    <v>1</v>
  </rv>
  <rv s="0">
    <fb>46.12</fb>
    <v>1</v>
  </rv>
  <rv s="0">
    <fb>152.44900000000001</fb>
    <v>1</v>
  </rv>
  <rv s="0">
    <fb>45446</fb>
    <v>0</v>
  </rv>
  <rv s="0">
    <fb>413.52</fb>
    <v>1</v>
  </rv>
  <rv s="0">
    <fb>270.38</fb>
    <v>1</v>
  </rv>
  <rv s="0">
    <fb>131.4</fb>
    <v>1</v>
  </rv>
  <rv s="0">
    <fb>38.729999999999997</fb>
    <v>1</v>
  </rv>
  <rv s="0">
    <fb>313.62</fb>
    <v>1</v>
  </rv>
  <rv s="0">
    <fb>45.84</fb>
    <v>1</v>
  </rv>
  <rv s="0">
    <fb>162.74100000000001</fb>
    <v>1</v>
  </rv>
  <rv s="0">
    <fb>45447</fb>
    <v>0</v>
  </rv>
  <rv s="0">
    <fb>416.07</fb>
    <v>1</v>
  </rv>
  <rv s="0">
    <fb>130.85</fb>
    <v>1</v>
  </rv>
  <rv s="0">
    <fb>38.090000000000003</fb>
    <v>1</v>
  </rv>
  <rv s="0">
    <fb>326.68</fb>
    <v>1</v>
  </rv>
  <rv s="0">
    <fb>163.87700000000001</fb>
    <v>1</v>
  </rv>
  <rv s="0">
    <fb>45448</fb>
    <v>0</v>
  </rv>
  <rv s="0">
    <fb>424.01</fb>
    <v>1</v>
  </rv>
  <rv s="0">
    <fb>274.5</fb>
    <v>1</v>
  </rv>
  <rv s="0">
    <fb>38.369999999999997</fb>
    <v>1</v>
  </rv>
  <rv s="0">
    <fb>324.75</fb>
    <v>1</v>
  </rv>
  <rv s="0">
    <fb>45.24</fb>
    <v>1</v>
  </rv>
  <rv s="0">
    <fb>169.46899999999999</fb>
    <v>1</v>
  </rv>
  <rv s="0">
    <fb>45449</fb>
    <v>0</v>
  </rv>
  <rv s="0">
    <fb>424.52</fb>
    <v>1</v>
  </rv>
  <rv s="0">
    <fb>18.28</fb>
    <v>1</v>
  </rv>
  <rv s="0">
    <fb>277.04000000000002</fb>
    <v>1</v>
  </rv>
  <rv s="0">
    <fb>38.32</fb>
    <v>1</v>
  </rv>
  <rv s="0">
    <fb>319.51</fb>
    <v>1</v>
  </rv>
  <rv s="0">
    <fb>165.66300000000001</fb>
    <v>1</v>
  </rv>
  <rv s="0">
    <fb>45450</fb>
    <v>0</v>
  </rv>
  <rv s="0">
    <fb>423.85</fb>
    <v>1</v>
  </rv>
  <rv s="0">
    <fb>278.67</fb>
    <v>1</v>
  </rv>
  <rv s="0">
    <fb>132.97999999999999</fb>
    <v>1</v>
  </rv>
  <rv s="0">
    <fb>38.270000000000003</fb>
    <v>1</v>
  </rv>
  <rv s="0">
    <fb>44.52</fb>
    <v>1</v>
  </rv>
  <rv s="0">
    <fb>159.62</fb>
    <v>1</v>
  </rv>
  <rv s="0">
    <fb>45453</fb>
    <v>0</v>
  </rv>
  <rv s="0">
    <fb>427.87</fb>
    <v>1</v>
  </rv>
  <rv s="0">
    <fb>275.04000000000002</fb>
    <v>1</v>
  </rv>
  <rv s="0">
    <fb>133.03</fb>
    <v>1</v>
  </rv>
  <rv s="0">
    <fb>38.049999999999997</fb>
    <v>1</v>
  </rv>
  <rv s="0">
    <fb>309</fb>
    <v>1</v>
  </rv>
  <rv s="0">
    <fb>44.4</fb>
    <v>1</v>
  </rv>
  <rv s="0">
    <fb>159.99199999999999</fb>
    <v>1</v>
  </rv>
  <rv s="0">
    <fb>45454</fb>
    <v>0</v>
  </rv>
  <rv s="0">
    <fb>432.68</fb>
    <v>1</v>
  </rv>
  <rv s="0">
    <fb>274.67</fb>
    <v>1</v>
  </rv>
  <rv s="0">
    <fb>132.11000000000001</fb>
    <v>1</v>
  </rv>
  <rv s="0">
    <fb>37.24</fb>
    <v>1</v>
  </rv>
  <rv s="0">
    <fb>310</fb>
    <v>1</v>
  </rv>
  <rv s="0">
    <fb>44.44</fb>
    <v>1</v>
  </rv>
  <rv s="0">
    <fb>155.54900000000001</fb>
    <v>1</v>
  </rv>
  <rv s="0">
    <fb>45455</fb>
    <v>0</v>
  </rv>
  <rv s="0">
    <fb>441.06</fb>
    <v>1</v>
  </rv>
  <rv s="0">
    <fb>270.32</fb>
    <v>1</v>
  </rv>
  <rv s="0">
    <fb>315.49</fb>
    <v>1</v>
  </rv>
  <rv s="0">
    <fb>43.56</fb>
    <v>1</v>
  </rv>
  <rv s="0">
    <fb>160.36699999999999</fb>
    <v>1</v>
  </rv>
  <rv s="0">
    <fb>45456</fb>
    <v>0</v>
  </rv>
  <rv s="0">
    <fb>441.58</fb>
    <v>1</v>
  </rv>
  <rv s="0">
    <fb>271.19</fb>
    <v>1</v>
  </rv>
  <rv s="0">
    <fb>130.57</fb>
    <v>1</v>
  </rv>
  <rv s="0">
    <fb>36.76</fb>
    <v>1</v>
  </rv>
  <rv s="0">
    <fb>306.01</fb>
    <v>1</v>
  </rv>
  <rv s="0">
    <fb>43.44</fb>
    <v>1</v>
  </rv>
  <rv s="0">
    <fb>148.38800000000001</fb>
    <v>1</v>
  </rv>
  <rv s="0">
    <fb>45457</fb>
    <v>0</v>
  </rv>
  <rv s="0">
    <fb>442.57</fb>
    <v>1</v>
  </rv>
  <rv s="0">
    <fb>270.66000000000003</fb>
    <v>1</v>
  </rv>
  <rv s="0">
    <fb>129.85</fb>
    <v>1</v>
  </rv>
  <rv s="0">
    <fb>36.46</fb>
    <v>1</v>
  </rv>
  <rv s="0">
    <fb>313.02</fb>
    <v>1</v>
  </rv>
  <rv s="0">
    <fb>44.84</fb>
    <v>1</v>
  </rv>
  <rv s="0">
    <fb>149.554</fb>
    <v>1</v>
  </rv>
  <rv s="0">
    <fb>45460</fb>
    <v>0</v>
  </rv>
  <rv s="0">
    <fb>448.37</fb>
    <v>1</v>
  </rv>
  <rv s="0">
    <fb>271.17</fb>
    <v>1</v>
  </rv>
  <rv s="0">
    <fb>131.83000000000001</fb>
    <v>1</v>
  </rv>
  <rv s="0">
    <fb>311.22000000000003</fb>
    <v>1</v>
  </rv>
  <rv s="0">
    <fb>150.726</fb>
    <v>1</v>
  </rv>
  <rv s="0">
    <fb>45461</fb>
    <v>0</v>
  </rv>
  <rv s="0">
    <fb>446.34</fb>
    <v>1</v>
  </rv>
  <rv s="0">
    <fb>18.05</fb>
    <v>1</v>
  </rv>
  <rv s="0">
    <fb>273.62</fb>
    <v>1</v>
  </rv>
  <rv s="0">
    <fb>134.9</fb>
    <v>1</v>
  </rv>
  <rv s="0">
    <fb>37.07</fb>
    <v>1</v>
  </rv>
  <rv s="0">
    <fb>309.89999999999998</fb>
    <v>1</v>
  </rv>
  <rv s="0">
    <fb>146.94300000000001</fb>
    <v>1</v>
  </rv>
  <rv s="0">
    <fb>45463</fb>
    <v>0</v>
  </rv>
  <rv s="0">
    <fb>445.7</fb>
    <v>1</v>
  </rv>
  <rv s="0">
    <fb>18.11</fb>
    <v>1</v>
  </rv>
  <rv s="0">
    <fb>276.82</fb>
    <v>1</v>
  </rv>
  <rv s="0">
    <fb>37.020000000000003</fb>
    <v>1</v>
  </rv>
  <rv s="0">
    <fb>313.89</fb>
    <v>1</v>
  </rv>
  <rv s="0">
    <fb>46.2</fb>
    <v>1</v>
  </rv>
  <rv s="0">
    <fb>146.54</fb>
    <v>1</v>
  </rv>
  <rv s="0">
    <fb>45464</fb>
    <v>0</v>
  </rv>
  <rv s="0">
    <fb>449.78</fb>
    <v>1</v>
  </rv>
  <rv s="0">
    <fb>275.22000000000003</fb>
    <v>1</v>
  </rv>
  <rv s="0">
    <fb>36.65</fb>
    <v>1</v>
  </rv>
  <rv s="0">
    <fb>317.74</fb>
    <v>1</v>
  </rv>
  <rv s="0">
    <fb>45.16</fb>
    <v>1</v>
  </rv>
  <rv s="0">
    <fb>148.376</fb>
    <v>1</v>
  </rv>
  <rv s="0">
    <fb>45467</fb>
    <v>0</v>
  </rv>
  <rv s="0">
    <fb>447.67</fb>
    <v>1</v>
  </rv>
  <rv s="0">
    <fb>18.649999999999999</fb>
    <v>1</v>
  </rv>
  <rv s="0">
    <fb>276.3</fb>
    <v>1</v>
  </rv>
  <rv s="0">
    <fb>135.08000000000001</fb>
    <v>1</v>
  </rv>
  <rv s="0">
    <fb>36.270000000000003</fb>
    <v>1</v>
  </rv>
  <rv s="0">
    <fb>314.99</fb>
    <v>1</v>
  </rv>
  <rv s="0">
    <fb>44.8</fb>
    <v>1</v>
  </rv>
  <rv s="0">
    <fb>137.215</fb>
    <v>1</v>
  </rv>
  <rv s="0">
    <fb>45468</fb>
    <v>0</v>
  </rv>
  <rv s="0">
    <fb>450.95</fb>
    <v>1</v>
  </rv>
  <rv s="0">
    <fb>18.690000000000001</fb>
    <v>1</v>
  </rv>
  <rv s="0">
    <fb>273.52999999999997</fb>
    <v>1</v>
  </rv>
  <rv s="0">
    <fb>134.69</fb>
    <v>1</v>
  </rv>
  <rv s="0">
    <fb>35.21</fb>
    <v>1</v>
  </rv>
  <rv s="0">
    <fb>44</fb>
    <v>1</v>
  </rv>
  <rv s="0">
    <fb>149.57400000000001</fb>
    <v>1</v>
  </rv>
  <rv s="0">
    <fb>45469</fb>
    <v>0</v>
  </rv>
  <rv s="0">
    <fb>452.16</fb>
    <v>1</v>
  </rv>
  <rv s="0">
    <fb>18.760000000000002</fb>
    <v>1</v>
  </rv>
  <rv s="0">
    <fb>273.60000000000002</fb>
    <v>1</v>
  </rv>
  <rv s="0">
    <fb>133.09</fb>
    <v>1</v>
  </rv>
  <rv s="0">
    <fb>37.18</fb>
    <v>1</v>
  </rv>
  <rv s="0">
    <fb>318.95999999999998</fb>
    <v>1</v>
  </rv>
  <rv s="0">
    <fb>43.52</fb>
    <v>1</v>
  </rv>
  <rv s="0">
    <fb>145.773</fb>
    <v>1</v>
  </rv>
  <rv s="0">
    <fb>45470</fb>
    <v>0</v>
  </rv>
  <rv s="0">
    <fb>452.85</fb>
    <v>1</v>
  </rv>
  <rv s="0">
    <fb>266.58999999999997</fb>
    <v>1</v>
  </rv>
  <rv s="0">
    <fb>130.80000000000001</fb>
    <v>1</v>
  </rv>
  <rv s="0">
    <fb>36.799999999999997</fb>
    <v>1</v>
  </rv>
  <rv s="0">
    <fb>315.38</fb>
    <v>1</v>
  </rv>
  <rv s="0">
    <fb>43.24</fb>
    <v>1</v>
  </rv>
  <rv s="0">
    <fb>152.54</fb>
    <v>1</v>
  </rv>
  <rv s="0">
    <fb>45471</fb>
    <v>0</v>
  </rv>
  <rv s="0">
    <fb>446.95</fb>
    <v>1</v>
  </rv>
  <rv s="0">
    <fb>19.11</fb>
    <v>1</v>
  </rv>
  <rv s="0">
    <fb>262.47000000000003</fb>
    <v>1</v>
  </rv>
  <rv s="0">
    <fb>129.63</fb>
    <v>1</v>
  </rv>
  <rv s="0">
    <fb>37.799999999999997</fb>
    <v>1</v>
  </rv>
  <rv s="0">
    <fb>313.79000000000002</fb>
    <v>1</v>
  </rv>
  <rv s="0">
    <fb>43.68</fb>
    <v>1</v>
  </rv>
  <rv s="0">
    <fb>137.74799999999999</fb>
    <v>1</v>
  </rv>
  <rv s="0">
    <fb>45474</fb>
    <v>0</v>
  </rv>
  <rv s="0">
    <fb>456.73</fb>
    <v>1</v>
  </rv>
  <rv s="0">
    <fb>263.24</fb>
    <v>1</v>
  </rv>
  <rv s="0">
    <fb>127.4</fb>
    <v>1</v>
  </rv>
  <rv s="0">
    <fb>38.19</fb>
    <v>1</v>
  </rv>
  <rv s="0">
    <fb>313.83999999999997</fb>
    <v>1</v>
  </rv>
  <rv s="0">
    <fb>41.96</fb>
    <v>1</v>
  </rv>
  <rv s="0">
    <fb>136.59700000000001</fb>
    <v>1</v>
  </rv>
  <rv s="0">
    <fb>45475</fb>
    <v>0</v>
  </rv>
  <rv s="0">
    <fb>459.28</fb>
    <v>1</v>
  </rv>
  <rv s="0">
    <fb>268.23</fb>
    <v>1</v>
  </rv>
  <rv s="0">
    <fb>125.78</fb>
    <v>1</v>
  </rv>
  <rv s="0">
    <fb>38.340000000000003</fb>
    <v>1</v>
  </rv>
  <rv s="0">
    <fb>315.55</fb>
    <v>1</v>
  </rv>
  <rv s="0">
    <fb>41.48</fb>
    <v>1</v>
  </rv>
  <rv s="0">
    <fb>132.01900000000001</fb>
    <v>1</v>
  </rv>
  <rv s="0">
    <fb>45476</fb>
    <v>0</v>
  </rv>
  <rv s="0">
    <fb>460.77</fb>
    <v>1</v>
  </rv>
  <rv s="0">
    <fb>18.68</fb>
    <v>1</v>
  </rv>
  <rv s="0">
    <fb>268.99</fb>
    <v>1</v>
  </rv>
  <rv s="0">
    <fb>126.13</fb>
    <v>1</v>
  </rv>
  <rv s="0">
    <fb>39.19</fb>
    <v>1</v>
  </rv>
  <rv s="0">
    <fb>314.8</fb>
    <v>1</v>
  </rv>
  <rv s="0">
    <fb>41.68</fb>
    <v>1</v>
  </rv>
  <rv s="0">
    <fb>130.209</fb>
    <v>1</v>
  </rv>
  <rv s="0">
    <fb>45478</fb>
    <v>0</v>
  </rv>
  <rv s="0">
    <fb>467.56</fb>
    <v>1</v>
  </rv>
  <rv s="0">
    <fb>270.36</fb>
    <v>1</v>
  </rv>
  <rv s="0">
    <fb>126.37</fb>
    <v>1</v>
  </rv>
  <rv s="0">
    <fb>38.700000000000003</fb>
    <v>1</v>
  </rv>
  <rv s="0">
    <fb>316.85000000000002</fb>
    <v>1</v>
  </rv>
  <rv s="0">
    <fb>41.84</fb>
    <v>1</v>
  </rv>
  <rv s="0">
    <fb>128.172</fb>
    <v>1</v>
  </rv>
  <rv s="0">
    <fb>45481</fb>
    <v>0</v>
  </rv>
  <rv s="0">
    <fb>466.24</fb>
    <v>1</v>
  </rv>
  <rv s="0">
    <fb>266.39999999999998</fb>
    <v>1</v>
  </rv>
  <rv s="0">
    <fb>126.07</fb>
    <v>1</v>
  </rv>
  <rv s="0">
    <fb>39.200000000000003</fb>
    <v>1</v>
  </rv>
  <rv s="0">
    <fb>313.70999999999998</fb>
    <v>1</v>
  </rv>
  <rv s="0">
    <fb>41.08</fb>
    <v>1</v>
  </rv>
  <rv s="0">
    <fb>129.05799999999999</fb>
    <v>1</v>
  </rv>
  <rv s="0">
    <fb>45482</fb>
    <v>0</v>
  </rv>
  <rv s="0">
    <fb>459.54</fb>
    <v>1</v>
  </rv>
  <rv s="0">
    <fb>38.79</fb>
    <v>1</v>
  </rv>
  <rv s="0">
    <fb>311.55</fb>
    <v>1</v>
  </rv>
  <rv s="0">
    <fb>41.2</fb>
    <v>1</v>
  </rv>
  <rv s="0">
    <fb>130.17699999999999</fb>
    <v>1</v>
  </rv>
  <rv s="0">
    <fb>45483</fb>
    <v>0</v>
  </rv>
  <rv s="0">
    <fb>466.25</fb>
    <v>1</v>
  </rv>
  <rv s="0">
    <fb>263</fb>
    <v>1</v>
  </rv>
  <rv s="0">
    <fb>127.07</fb>
    <v>1</v>
  </rv>
  <rv s="0">
    <fb>38.18</fb>
    <v>1</v>
  </rv>
  <rv s="0">
    <fb>304.99</fb>
    <v>1</v>
  </rv>
  <rv s="0">
    <fb>41.12</fb>
    <v>1</v>
  </rv>
  <rv s="0">
    <fb>130.572</fb>
    <v>1</v>
  </rv>
  <rv s="0">
    <fb>45484</fb>
    <v>0</v>
  </rv>
  <rv s="0">
    <fb>454.7</fb>
    <v>1</v>
  </rv>
  <rv s="0">
    <fb>262.55</fb>
    <v>1</v>
  </rv>
  <rv s="0">
    <fb>130.82</fb>
    <v>1</v>
  </rv>
  <rv s="0">
    <fb>300.98</fb>
    <v>1</v>
  </rv>
  <rv s="0">
    <fb>41.36</fb>
    <v>1</v>
  </rv>
  <rv s="0">
    <fb>135.85599999999999</fb>
    <v>1</v>
  </rv>
  <rv s="0">
    <fb>45485</fb>
    <v>0</v>
  </rv>
  <rv s="0">
    <fb>453.55</fb>
    <v>1</v>
  </rv>
  <rv s="0">
    <fb>265.74</fb>
    <v>1</v>
  </rv>
  <rv s="0">
    <fb>132.22999999999999</fb>
    <v>1</v>
  </rv>
  <rv s="0">
    <fb>39.299999999999997</fb>
    <v>1</v>
  </rv>
  <rv s="0">
    <fb>302.27</fb>
    <v>1</v>
  </rv>
  <rv s="0">
    <fb>40.64</fb>
    <v>1</v>
  </rv>
  <rv s="0">
    <fb>139.67599999999999</fb>
    <v>1</v>
  </rv>
  <rv s="0">
    <fb>45488</fb>
    <v>0</v>
  </rv>
  <rv s="0">
    <fb>453.96</fb>
    <v>1</v>
  </rv>
  <rv s="0">
    <fb>268.45</fb>
    <v>1</v>
  </rv>
  <rv s="0">
    <fb>131.01</fb>
    <v>1</v>
  </rv>
  <rv s="0">
    <fb>38.56</fb>
    <v>1</v>
  </rv>
  <rv s="0">
    <fb>302.14999999999998</fb>
    <v>1</v>
  </rv>
  <rv s="0">
    <fb>41.24</fb>
    <v>1</v>
  </rv>
  <rv s="0">
    <fb>161.12799999999999</fb>
    <v>1</v>
  </rv>
  <rv s="0">
    <fb>45489</fb>
    <v>0</v>
  </rv>
  <rv s="0">
    <fb>449.52</fb>
    <v>1</v>
  </rv>
  <rv s="0">
    <fb>269.25</fb>
    <v>1</v>
  </rv>
  <rv s="0">
    <fb>136.06</fb>
    <v>1</v>
  </rv>
  <rv s="0">
    <fb>298.5</fb>
    <v>1</v>
  </rv>
  <rv s="0">
    <fb>41.64</fb>
    <v>1</v>
  </rv>
  <rv s="0">
    <fb>166.43</fb>
    <v>1</v>
  </rv>
  <rv s="0">
    <fb>45490</fb>
    <v>0</v>
  </rv>
  <rv s="0">
    <fb>443.52</fb>
    <v>1</v>
  </rv>
  <rv s="0">
    <fb>272.7</fb>
    <v>1</v>
  </rv>
  <rv s="0">
    <fb>38.14</fb>
    <v>1</v>
  </rv>
  <rv s="0">
    <fb>294.74</fb>
    <v>1</v>
  </rv>
  <rv s="0">
    <fb>43</fb>
    <v>1</v>
  </rv>
  <rv s="0">
    <fb>159</fb>
    <v>1</v>
  </rv>
  <rv s="0">
    <fb>45491</fb>
    <v>0</v>
  </rv>
  <rv s="0">
    <fb>440.37</fb>
    <v>1</v>
  </rv>
  <rv s="0">
    <fb>269.14999999999998</fb>
    <v>1</v>
  </rv>
  <rv s="0">
    <fb>37.840000000000003</fb>
    <v>1</v>
  </rv>
  <rv s="0">
    <fb>290.16000000000003</fb>
    <v>1</v>
  </rv>
  <rv s="0">
    <fb>44.24</fb>
    <v>1</v>
  </rv>
  <rv s="0">
    <fb>155.51599999999999</fb>
    <v>1</v>
  </rv>
  <rv s="0">
    <fb>45492</fb>
    <v>0</v>
  </rv>
  <rv s="0">
    <fb>437.11</fb>
    <v>1</v>
  </rv>
  <rv s="0">
    <fb>265.45999999999998</fb>
    <v>1</v>
  </rv>
  <rv s="0">
    <fb>131.78</fb>
    <v>1</v>
  </rv>
  <rv s="0">
    <fb>295.08999999999997</fb>
    <v>1</v>
  </rv>
  <rv s="0">
    <fb>177.85</fb>
    <v>1</v>
  </rv>
  <rv s="0">
    <fb>45495</fb>
    <v>0</v>
  </rv>
  <rv s="0">
    <fb>442.94</fb>
    <v>1</v>
  </rv>
  <rv s="0">
    <fb>18.55</fb>
    <v>1</v>
  </rv>
  <rv s="0">
    <fb>267.70999999999998</fb>
    <v>1</v>
  </rv>
  <rv s="0">
    <fb>133.41999999999999</fb>
    <v>1</v>
  </rv>
  <rv s="0">
    <fb>38.1</fb>
    <v>1</v>
  </rv>
  <rv s="0">
    <fb>295.45</fb>
    <v>1</v>
  </rv>
  <rv s="0">
    <fb>180.00899999999999</fb>
    <v>1</v>
  </rv>
  <rv s="0">
    <fb>45496</fb>
    <v>0</v>
  </rv>
  <rv s="0">
    <fb>444.85</fb>
    <v>1</v>
  </rv>
  <rv s="0">
    <fb>18.21</fb>
    <v>1</v>
  </rv>
  <rv s="0">
    <fb>130.65</fb>
    <v>1</v>
  </rv>
  <rv s="0">
    <fb>39.479999999999997</fb>
    <v>1</v>
  </rv>
  <rv s="0">
    <fb>43.32</fb>
    <v>1</v>
  </rv>
  <rv s="0">
    <fb>172.17699999999999</fb>
    <v>1</v>
  </rv>
  <rv s="0">
    <fb>45497</fb>
    <v>0</v>
  </rv>
  <rv s="0">
    <fb>428.9</fb>
    <v>1</v>
  </rv>
  <rv s="0">
    <fb>254.17</fb>
    <v>1</v>
  </rv>
  <rv s="0">
    <fb>134.16</fb>
    <v>1</v>
  </rv>
  <rv s="0">
    <fb>39.590000000000003</fb>
    <v>1</v>
  </rv>
  <rv s="0">
    <fb>336.52</fb>
    <v>1</v>
  </rv>
  <rv s="0">
    <fb>49.19</fb>
    <v>1</v>
  </rv>
  <rv s="0">
    <fb>167.26900000000001</fb>
    <v>1</v>
  </rv>
  <rv s="0">
    <fb>45498</fb>
    <v>0</v>
  </rv>
  <rv s="0">
    <fb>134.97999999999999</fb>
    <v>1</v>
  </rv>
  <rv s="0">
    <fb>40.630000000000003</fb>
    <v>1</v>
  </rv>
  <rv s="0">
    <fb>328.95</fb>
    <v>1</v>
  </rv>
  <rv s="0">
    <fb>160.64699999999999</fb>
    <v>1</v>
  </rv>
  <rv s="0">
    <fb>45499</fb>
    <v>0</v>
  </rv>
  <rv s="0">
    <fb>425.27</fb>
    <v>1</v>
  </rv>
  <rv s="0">
    <fb>259.45999999999998</fb>
    <v>1</v>
  </rv>
  <rv s="0">
    <fb>137.32</fb>
    <v>1</v>
  </rv>
  <rv s="0">
    <fb>40.75</fb>
    <v>1</v>
  </rv>
  <rv s="0">
    <fb>46.78</fb>
    <v>1</v>
  </rv>
  <rv s="0">
    <fb>175.27099999999999</fb>
    <v>1</v>
  </rv>
  <rv s="0">
    <fb>45502</fb>
    <v>0</v>
  </rv>
  <rv s="0">
    <fb>426.73</fb>
    <v>1</v>
  </rv>
  <rv s="0">
    <fb>261.60000000000002</fb>
    <v>1</v>
  </rv>
  <rv s="0">
    <fb>137.38</fb>
    <v>1</v>
  </rv>
  <rv s="0">
    <fb>40.92</fb>
    <v>1</v>
  </rv>
  <rv s="0">
    <fb>323.74</fb>
    <v>1</v>
  </rv>
  <rv s="0">
    <fb>45.91</fb>
    <v>1</v>
  </rv>
  <rv s="0">
    <fb>168.48500000000001</fb>
    <v>1</v>
  </rv>
  <rv s="0">
    <fb>45503</fb>
    <v>0</v>
  </rv>
  <rv s="0">
    <fb>422.92</fb>
    <v>1</v>
  </rv>
  <rv s="0">
    <fb>139.49</fb>
    <v>1</v>
  </rv>
  <rv s="0">
    <fb>40.229999999999997</fb>
    <v>1</v>
  </rv>
  <rv s="0">
    <fb>330.35</fb>
    <v>1</v>
  </rv>
  <rv s="0">
    <fb>47.37</fb>
    <v>1</v>
  </rv>
  <rv s="0">
    <fb>160.40700000000001</fb>
    <v>1</v>
  </rv>
  <rv s="0">
    <fb>45504</fb>
    <v>0</v>
  </rv>
  <rv s="0">
    <fb>418.35</fb>
    <v>1</v>
  </rv>
  <rv s="0">
    <fb>265.67</fb>
    <v>1</v>
  </rv>
  <rv s="0">
    <fb>141.4</fb>
    <v>1</v>
  </rv>
  <rv s="0">
    <fb>41.09</fb>
    <v>1</v>
  </rv>
  <rv s="0">
    <fb>343.94</fb>
    <v>1</v>
  </rv>
  <rv s="0">
    <fb>46.25</fb>
    <v>1</v>
  </rv>
  <rv s="0">
    <fb>161.44399999999999</fb>
    <v>1</v>
  </rv>
  <rv s="0">
    <fb>45505</fb>
    <v>0</v>
  </rv>
  <rv s="0">
    <fb>417.11</fb>
    <v>1</v>
  </rv>
  <rv s="0">
    <fb>265.93</fb>
    <v>1</v>
  </rv>
  <rv s="0">
    <fb>40.659999999999997</fb>
    <v>1</v>
  </rv>
  <rv s="0">
    <fb>336.5</fb>
    <v>1</v>
  </rv>
  <rv s="0">
    <fb>50.51</fb>
    <v>1</v>
  </rv>
  <rv s="0">
    <fb>151.18100000000001</fb>
    <v>1</v>
  </rv>
  <rv s="0">
    <fb>45506</fb>
    <v>0</v>
  </rv>
  <rv s="0">
    <fb>408.49</fb>
    <v>1</v>
  </rv>
  <rv s="0">
    <fb>19.37</fb>
    <v>1</v>
  </rv>
  <rv s="0">
    <fb>266.58</fb>
    <v>1</v>
  </rv>
  <rv s="0">
    <fb>139.04</fb>
    <v>1</v>
  </rv>
  <rv s="0">
    <fb>40.29</fb>
    <v>1</v>
  </rv>
  <rv s="0">
    <fb>330.85</fb>
    <v>1</v>
  </rv>
  <rv s="0">
    <fb>62.68</fb>
    <v>1</v>
  </rv>
  <rv s="0">
    <fb>144.79900000000001</fb>
    <v>1</v>
  </rv>
  <rv s="0">
    <fb>45509</fb>
    <v>0</v>
  </rv>
  <rv s="0">
    <fb>395.15</fb>
    <v>1</v>
  </rv>
  <rv s="0">
    <fb>256.44</fb>
    <v>1</v>
  </rv>
  <rv s="0">
    <fb>134.69999999999999</fb>
    <v>1</v>
  </rv>
  <rv s="0">
    <fb>38.81</fb>
    <v>1</v>
  </rv>
  <rv s="0">
    <fb>324.02999999999997</fb>
    <v>1</v>
  </rv>
  <rv s="0">
    <fb>87.26</fb>
    <v>1</v>
  </rv>
  <rv s="0">
    <fb>45510</fb>
    <v>0</v>
  </rv>
  <rv s="0">
    <fb>399.61</fb>
    <v>1</v>
  </rv>
  <rv s="0">
    <fb>136.26</fb>
    <v>1</v>
  </rv>
  <rv s="0">
    <fb>39.86</fb>
    <v>1</v>
  </rv>
  <rv s="0">
    <fb>327.3</fb>
    <v>1</v>
  </rv>
  <rv s="0">
    <fb>70.47</fb>
    <v>1</v>
  </rv>
  <rv s="0">
    <fb>136.92099999999999</fb>
    <v>1</v>
  </rv>
  <rv s="0">
    <fb>45511</fb>
    <v>0</v>
  </rv>
  <rv s="0">
    <fb>398.43</fb>
    <v>1</v>
  </rv>
  <rv s="0">
    <fb>133.96</fb>
    <v>1</v>
  </rv>
  <rv s="0">
    <fb>41.03</fb>
    <v>1</v>
  </rv>
  <rv s="0">
    <fb>323.33999999999997</fb>
    <v>1</v>
  </rv>
  <rv s="0">
    <fb>68.954999999999998</fb>
    <v>1</v>
  </rv>
  <rv s="0">
    <fb>124.685</fb>
    <v>1</v>
  </rv>
  <rv s="0">
    <fb>45512</fb>
    <v>0</v>
  </rv>
  <rv s="0">
    <fb>402.69</fb>
    <v>1</v>
  </rv>
  <rv s="0">
    <fb>19.399999999999999</fb>
    <v>1</v>
  </rv>
  <rv s="0">
    <fb>259.83</fb>
    <v>1</v>
  </rv>
  <rv s="0">
    <fb>136.76</fb>
    <v>1</v>
  </rv>
  <rv s="0">
    <fb>41.81</fb>
    <v>1</v>
  </rv>
  <rv s="0">
    <fb>338.32</fb>
    <v>1</v>
  </rv>
  <rv s="0">
    <fb>63.47</fb>
    <v>1</v>
  </rv>
  <rv s="0">
    <fb>135.99</fb>
    <v>1</v>
  </rv>
  <rv s="0">
    <fb>45513</fb>
    <v>0</v>
  </rv>
  <rv s="0">
    <fb>406.02</fb>
    <v>1</v>
  </rv>
  <rv s="0">
    <fb>259.76</fb>
    <v>1</v>
  </rv>
  <rv s="0">
    <fb>136.9</fb>
    <v>1</v>
  </rv>
  <rv s="0">
    <fb>41.37</fb>
    <v>1</v>
  </rv>
  <rv s="0">
    <fb>339.9</fb>
    <v>1</v>
  </rv>
  <rv s="0">
    <fb>55.78</fb>
    <v>1</v>
  </rv>
  <rv s="0">
    <fb>135.37</fb>
    <v>1</v>
  </rv>
  <rv s="0">
    <fb>45516</fb>
    <v>0</v>
  </rv>
  <rv s="0">
    <fb>406.81</fb>
    <v>1</v>
  </rv>
  <rv s="0">
    <fb>135.6</fb>
    <v>1</v>
  </rv>
  <rv s="0">
    <fb>340.36</fb>
    <v>1</v>
  </rv>
  <rv s="0">
    <fb>131.46</fb>
    <v>1</v>
  </rv>
  <rv s="0">
    <fb>45517</fb>
    <v>0</v>
  </rv>
  <rv s="0">
    <fb>414.01</fb>
    <v>1</v>
  </rv>
  <rv s="0">
    <fb>260.13</fb>
    <v>1</v>
  </rv>
  <rv s="0">
    <fb>137.41999999999999</fb>
    <v>1</v>
  </rv>
  <rv s="0">
    <fb>41.89</fb>
    <v>1</v>
  </rv>
  <rv s="0">
    <fb>334.74</fb>
    <v>1</v>
  </rv>
  <rv s="0">
    <fb>50.42</fb>
    <v>1</v>
  </rv>
  <rv s="0">
    <fb>135.38</fb>
    <v>1</v>
  </rv>
  <rv s="0">
    <fb>45518</fb>
    <v>0</v>
  </rv>
  <rv s="0">
    <fb>416.86</fb>
    <v>1</v>
  </rv>
  <rv s="0">
    <fb>261.14</fb>
    <v>1</v>
  </rv>
  <rv s="0">
    <fb>136.03</fb>
    <v>1</v>
  </rv>
  <rv s="0">
    <fb>42.28</fb>
    <v>1</v>
  </rv>
  <rv s="0">
    <fb>334.35</fb>
    <v>1</v>
  </rv>
  <rv s="0">
    <fb>47.14</fb>
    <v>1</v>
  </rv>
  <rv s="0">
    <fb>45519</fb>
    <v>0</v>
  </rv>
  <rv s="0">
    <fb>421.03</fb>
    <v>1</v>
  </rv>
  <rv s="0">
    <fb>266.8</fb>
    <v>1</v>
  </rv>
  <rv s="0">
    <fb>139.88999999999999</fb>
    <v>1</v>
  </rv>
  <rv s="0">
    <fb>41.73</fb>
    <v>1</v>
  </rv>
  <rv s="0">
    <fb>335.59</fb>
    <v>1</v>
  </rv>
  <rv s="0">
    <fb>45.335000000000001</fb>
    <v>1</v>
  </rv>
  <rv s="0">
    <fb>45520</fb>
    <v>0</v>
  </rv>
  <rv s="0">
    <fb>418.47</fb>
    <v>1</v>
  </rv>
  <rv s="0">
    <fb>19.34</fb>
    <v>1</v>
  </rv>
  <rv s="0">
    <fb>267.38</fb>
    <v>1</v>
  </rv>
  <rv s="0">
    <fb>140.04</fb>
    <v>1</v>
  </rv>
  <rv s="0">
    <fb>41.79</fb>
    <v>1</v>
  </rv>
  <rv s="0">
    <fb>337.38</fb>
    <v>1</v>
  </rv>
  <rv s="0">
    <fb>45.23</fb>
    <v>1</v>
  </rv>
  <rv s="0">
    <fb>133.04</fb>
    <v>1</v>
  </rv>
  <rv s="0">
    <fb>45523</fb>
    <v>0</v>
  </rv>
  <rv s="0">
    <fb>421.53</fb>
    <v>1</v>
  </rv>
  <rv s="0">
    <fb>266.47000000000003</fb>
    <v>1</v>
  </rv>
  <rv s="0">
    <fb>140.51</fb>
    <v>1</v>
  </rv>
  <rv s="0">
    <fb>344.69</fb>
    <v>1</v>
  </rv>
  <rv s="0">
    <fb>44.43</fb>
    <v>1</v>
  </rv>
  <rv s="0">
    <fb>135.35</fb>
    <v>1</v>
  </rv>
  <rv s="0">
    <fb>45524</fb>
    <v>0</v>
  </rv>
  <rv s="0">
    <fb>268.04000000000002</fb>
    <v>1</v>
  </rv>
  <rv s="0">
    <fb>139.75</fb>
    <v>1</v>
  </rv>
  <rv s="0">
    <fb>37.950000000000003</fb>
    <v>1</v>
  </rv>
  <rv s="0">
    <fb>346.28</fb>
    <v>1</v>
  </rv>
  <rv s="0">
    <fb>133.69</fb>
    <v>1</v>
  </rv>
  <rv s="0">
    <fb>45525</fb>
    <v>0</v>
  </rv>
  <rv s="0">
    <fb>424.14</fb>
    <v>1</v>
  </rv>
  <rv s="0">
    <fb>268.2</fb>
    <v>1</v>
  </rv>
  <rv s="0">
    <fb>139.99</fb>
    <v>1</v>
  </rv>
  <rv s="0">
    <fb>38.950000000000003</fb>
    <v>1</v>
  </rv>
  <rv s="0">
    <fb>343.69</fb>
    <v>1</v>
  </rv>
  <rv s="0">
    <fb>46.89</fb>
    <v>1</v>
  </rv>
  <rv s="0">
    <fb>141.41999999999999</fb>
    <v>1</v>
  </rv>
  <rv s="0">
    <fb>45526</fb>
    <v>0</v>
  </rv>
  <rv s="0">
    <fb>415.55</fb>
    <v>1</v>
  </rv>
  <rv s="0">
    <fb>38.15</fb>
    <v>1</v>
  </rv>
  <rv s="0">
    <fb>342.2</fb>
    <v>1</v>
  </rv>
  <rv s="0">
    <fb>48.865000000000002</fb>
    <v>1</v>
  </rv>
  <rv s="0">
    <fb>133.81</fb>
    <v>1</v>
  </rv>
  <rv s="0">
    <fb>45527</fb>
    <v>0</v>
  </rv>
  <rv s="0">
    <fb>416.79</fb>
    <v>1</v>
  </rv>
  <rv s="0">
    <fb>19.73</fb>
    <v>1</v>
  </rv>
  <rv s="0">
    <fb>267.44</fb>
    <v>1</v>
  </rv>
  <rv s="0">
    <fb>140.87</fb>
    <v>1</v>
  </rv>
  <rv s="0">
    <fb>37.14</fb>
    <v>1</v>
  </rv>
  <rv s="0">
    <fb>342.49</fb>
    <v>1</v>
  </rv>
  <rv s="0">
    <fb>45.94</fb>
    <v>1</v>
  </rv>
  <rv s="0">
    <fb>150.01</fb>
    <v>1</v>
  </rv>
  <rv s="0">
    <fb>45530</fb>
    <v>0</v>
  </rv>
  <rv s="0">
    <fb>413.49</fb>
    <v>1</v>
  </rv>
  <rv s="0">
    <fb>268.20999999999998</fb>
    <v>1</v>
  </rv>
  <rv s="0">
    <fb>140.49</fb>
    <v>1</v>
  </rv>
  <rv s="0">
    <fb>37.82</fb>
    <v>1</v>
  </rv>
  <rv s="0">
    <fb>45.9</fb>
    <v>1</v>
  </rv>
  <rv s="0">
    <fb>146.9</fb>
    <v>1</v>
  </rv>
  <rv s="0">
    <fb>45531</fb>
    <v>0</v>
  </rv>
  <rv s="0">
    <fb>413.84</fb>
    <v>1</v>
  </rv>
  <rv s="0">
    <fb>270.72000000000003</fb>
    <v>1</v>
  </rv>
  <rv s="0">
    <fb>141.1</fb>
    <v>1</v>
  </rv>
  <rv s="0">
    <fb>37.979999999999997</fb>
    <v>1</v>
  </rv>
  <rv s="0">
    <fb>339.47</fb>
    <v>1</v>
  </rv>
  <rv s="0">
    <fb>44.99</fb>
    <v>1</v>
  </rv>
  <rv s="0">
    <fb>140.01</fb>
    <v>1</v>
  </rv>
  <rv s="0">
    <fb>45532</fb>
    <v>0</v>
  </rv>
  <rv s="0">
    <fb>410.6</fb>
    <v>1</v>
  </rv>
  <rv s="0">
    <fb>269.19</fb>
    <v>1</v>
  </rv>
  <rv s="0">
    <fb>141.06</fb>
    <v>1</v>
  </rv>
  <rv s="0">
    <fb>37.39</fb>
    <v>1</v>
  </rv>
  <rv s="0">
    <fb>337.56</fb>
    <v>1</v>
  </rv>
  <rv s="0">
    <fb>47.58</fb>
    <v>1</v>
  </rv>
  <rv s="0">
    <fb>45533</fb>
    <v>0</v>
  </rv>
  <rv s="0">
    <fb>413.12</fb>
    <v>1</v>
  </rv>
  <rv s="0">
    <fb>274.32</fb>
    <v>1</v>
  </rv>
  <rv s="0">
    <fb>340.73</fb>
    <v>1</v>
  </rv>
  <rv s="0">
    <fb>45.884999999999998</fb>
    <v>1</v>
  </rv>
  <rv s="0">
    <fb>132.56</fb>
    <v>1</v>
  </rv>
  <rv s="0">
    <fb>45534</fb>
    <v>0</v>
  </rv>
  <rv s="0">
    <fb>417.14</fb>
    <v>1</v>
  </rv>
  <rv s="0">
    <fb>19.899999999999999</fb>
    <v>1</v>
  </rv>
  <rv s="0">
    <fb>276.37</fb>
    <v>1</v>
  </rv>
  <rv s="0">
    <fb>142.91999999999999</fb>
    <v>1</v>
  </rv>
  <rv s="0">
    <fb>37.909999999999997</fb>
    <v>1</v>
  </rv>
  <rv s="0">
    <fb>44.5</fb>
    <v>1</v>
  </rv>
  <rv s="0">
    <fb>132.41999999999999</fb>
    <v>1</v>
  </rv>
  <rv s="0">
    <fb>45538</fb>
    <v>0</v>
  </rv>
  <rv s="0">
    <fb>138.96</fb>
    <v>1</v>
  </rv>
  <rv s="0">
    <fb>35.6</fb>
    <v>1</v>
  </rv>
  <rv s="0">
    <fb>53.54</fb>
    <v>1</v>
  </rv>
  <rv s="0">
    <fb>45539</fb>
    <v>0</v>
  </rv>
  <rv s="0">
    <fb>408.9</fb>
    <v>1</v>
  </rv>
  <rv s="0">
    <fb>280.49</fb>
    <v>1</v>
  </rv>
  <rv s="0">
    <fb>138.16</fb>
    <v>1</v>
  </rv>
  <rv s="0">
    <fb>29.38</fb>
    <v>1</v>
  </rv>
  <rv s="0">
    <fb>329.25</fb>
    <v>1</v>
  </rv>
  <rv s="0">
    <fb>54.97</fb>
    <v>1</v>
  </rv>
  <rv s="0">
    <fb>124.85</fb>
    <v>1</v>
  </rv>
  <rv s="0">
    <fb>45540</fb>
    <v>0</v>
  </rv>
  <rv s="0">
    <fb>408.39</fb>
    <v>1</v>
  </rv>
  <rv s="0">
    <fb>20.65</fb>
    <v>1</v>
  </rv>
  <rv s="0">
    <fb>278.62</fb>
    <v>1</v>
  </rv>
  <rv s="0">
    <fb>29.97</fb>
    <v>1</v>
  </rv>
  <rv s="0">
    <fb>328.63</fb>
    <v>1</v>
  </rv>
  <rv s="0">
    <fb>52.24</fb>
    <v>1</v>
  </rv>
  <rv s="0">
    <fb>45541</fb>
    <v>0</v>
  </rv>
  <rv s="0">
    <fb>401.7</fb>
    <v>1</v>
  </rv>
  <rv s="0">
    <fb>20.97</fb>
    <v>1</v>
  </rv>
  <rv s="0">
    <fb>279.37</fb>
    <v>1</v>
  </rv>
  <rv s="0">
    <fb>31.27</fb>
    <v>1</v>
  </rv>
  <rv s="0">
    <fb>322.77</fb>
    <v>1</v>
  </rv>
  <rv s="0">
    <fb>56.11</fb>
    <v>1</v>
  </rv>
  <rv s="0">
    <fb>114.3</fb>
    <v>1</v>
  </rv>
  <rv s="0">
    <fb>45544</fb>
    <v>0</v>
  </rv>
  <rv s="0">
    <fb>405.72</fb>
    <v>1</v>
  </rv>
  <rv s="0">
    <fb>285.61</fb>
    <v>1</v>
  </rv>
  <rv s="0">
    <fb>32.82</fb>
    <v>1</v>
  </rv>
  <rv s="0">
    <fb>324.07</fb>
    <v>1</v>
  </rv>
  <rv s="0">
    <fb>52.45</fb>
    <v>1</v>
  </rv>
  <rv s="0">
    <fb>124.82</fb>
    <v>1</v>
  </rv>
  <rv s="0">
    <fb>45545</fb>
    <v>0</v>
  </rv>
  <rv s="0">
    <fb>414.2</fb>
    <v>1</v>
  </rv>
  <rv s="0">
    <fb>285.33999999999997</fb>
    <v>1</v>
  </rv>
  <rv s="0">
    <fb>31.22</fb>
    <v>1</v>
  </rv>
  <rv s="0">
    <fb>51.52</fb>
    <v>1</v>
  </rv>
  <rv s="0">
    <fb>129.63999999999999</fb>
    <v>1</v>
  </rv>
  <rv s="0">
    <fb>45546</fb>
    <v>0</v>
  </rv>
  <rv s="0">
    <fb>423.04</fb>
    <v>1</v>
  </rv>
  <rv s="0">
    <fb>283.95999999999998</fb>
    <v>1</v>
  </rv>
  <rv s="0">
    <fb>138.69999999999999</fb>
    <v>1</v>
  </rv>
  <rv s="0">
    <fb>33.39</fb>
    <v>1</v>
  </rv>
  <rv s="0">
    <fb>336.66</fb>
    <v>1</v>
  </rv>
  <rv s="0">
    <fb>49.33</fb>
    <v>1</v>
  </rv>
  <rv s="0">
    <fb>129.28</fb>
    <v>1</v>
  </rv>
  <rv s="0">
    <fb>45547</fb>
    <v>0</v>
  </rv>
  <rv s="0">
    <fb>285.37</fb>
    <v>1</v>
  </rv>
  <rv s="0">
    <fb>34.74</fb>
    <v>1</v>
  </rv>
  <rv s="0">
    <fb>337.51</fb>
    <v>1</v>
  </rv>
  <rv s="0">
    <fb>48.94</fb>
    <v>1</v>
  </rv>
  <rv s="0">
    <fb>130.77000000000001</fb>
    <v>1</v>
  </rv>
  <rv s="0">
    <fb>45548</fb>
    <v>0</v>
  </rv>
  <rv s="0">
    <fb>430.59</fb>
    <v>1</v>
  </rv>
  <rv s="0">
    <fb>21.64</fb>
    <v>1</v>
  </rv>
  <rv s="0">
    <fb>137.31</fb>
    <v>1</v>
  </rv>
  <rv s="0">
    <fb>36.07</fb>
    <v>1</v>
  </rv>
  <rv s="0">
    <fb>337.9</fb>
    <v>1</v>
  </rv>
  <rv s="0">
    <fb>48.79</fb>
    <v>1</v>
  </rv>
  <rv s="0">
    <fb>141.47</fb>
    <v>1</v>
  </rv>
  <rv s="0">
    <fb>45551</fb>
    <v>0</v>
  </rv>
  <rv s="0">
    <fb>431.34</fb>
    <v>1</v>
  </rv>
  <rv s="0">
    <fb>290.48</fb>
    <v>1</v>
  </rv>
  <rv s="0">
    <fb>138.31</fb>
    <v>1</v>
  </rv>
  <rv s="0">
    <fb>36.369999999999997</fb>
    <v>1</v>
  </rv>
  <rv s="0">
    <fb>338.83</fb>
    <v>1</v>
  </rv>
  <rv s="0">
    <fb>49.24</fb>
    <v>1</v>
  </rv>
  <rv s="0">
    <fb>45552</fb>
    <v>0</v>
  </rv>
  <rv s="0">
    <fb>435.15</fb>
    <v>1</v>
  </rv>
  <rv s="0">
    <fb>21.78</fb>
    <v>1</v>
  </rv>
  <rv s="0">
    <fb>291.56</fb>
    <v>1</v>
  </rv>
  <rv s="0">
    <fb>342.15</fb>
    <v>1</v>
  </rv>
  <rv s="0">
    <fb>50.3</fb>
    <v>1</v>
  </rv>
  <rv s="0">
    <fb>45553</fb>
    <v>0</v>
  </rv>
  <rv s="0">
    <fb>430.81</fb>
    <v>1</v>
  </rv>
  <rv s="0">
    <fb>21.73</fb>
    <v>1</v>
  </rv>
  <rv s="0">
    <fb>288.48</fb>
    <v>1</v>
  </rv>
  <rv s="0">
    <fb>139.01</fb>
    <v>1</v>
  </rv>
  <rv s="0">
    <fb>343.97</fb>
    <v>1</v>
  </rv>
  <rv s="0">
    <fb>49.88</fb>
    <v>1</v>
  </rv>
  <rv s="0">
    <fb>45554</fb>
    <v>0</v>
  </rv>
  <rv s="0">
    <fb>438.69</fb>
    <v>1</v>
  </rv>
  <rv s="0">
    <fb>285.24</fb>
    <v>1</v>
  </rv>
  <rv s="0">
    <fb>141.94999999999999</fb>
    <v>1</v>
  </rv>
  <rv s="0">
    <fb>38.08</fb>
    <v>1</v>
  </rv>
  <rv s="0">
    <fb>360.22</fb>
    <v>1</v>
  </rv>
  <rv s="0">
    <fb>144.66</fb>
    <v>1</v>
  </rv>
  <rv s="0">
    <fb>45555</fb>
    <v>0</v>
  </rv>
  <rv s="0">
    <fb>435.27</fb>
    <v>1</v>
  </rv>
  <rv s="0">
    <fb>21.54</fb>
    <v>1</v>
  </rv>
  <rv s="0">
    <fb>284.77</fb>
    <v>1</v>
  </rv>
  <rv s="0">
    <fb>140.09</fb>
    <v>1</v>
  </rv>
  <rv s="0">
    <fb>38.96</fb>
    <v>1</v>
  </rv>
  <rv s="0">
    <fb>365.17</fb>
    <v>1</v>
  </rv>
  <rv s="0">
    <fb>47.43</fb>
    <v>1</v>
  </rv>
  <rv s="0">
    <fb>45558</fb>
    <v>0</v>
  </rv>
  <rv s="0">
    <fb>433.51</fb>
    <v>1</v>
  </rv>
  <rv s="0">
    <fb>288.63</fb>
    <v>1</v>
  </rv>
  <rv s="0">
    <fb>38.61</fb>
    <v>1</v>
  </rv>
  <rv s="0">
    <fb>369.01</fb>
    <v>1</v>
  </rv>
  <rv s="0">
    <fb>45559</fb>
    <v>0</v>
  </rv>
  <rv s="0">
    <fb>272.77999999999997</fb>
    <v>1</v>
  </rv>
  <rv s="0">
    <fb>141.87</fb>
    <v>1</v>
  </rv>
  <rv s="0">
    <fb>380.36</fb>
    <v>1</v>
  </rv>
  <rv s="0">
    <fb>153.88</fb>
    <v>1</v>
  </rv>
  <rv s="0">
    <fb>45560</fb>
    <v>0</v>
  </rv>
  <rv s="0">
    <fb>432.11</fb>
    <v>1</v>
  </rv>
  <rv s="0">
    <fb>21.56</fb>
    <v>1</v>
  </rv>
  <rv s="0">
    <fb>269.63</fb>
    <v>1</v>
  </rv>
  <rv s="0">
    <fb>139.44</fb>
    <v>1</v>
  </rv>
  <rv s="0">
    <fb>383.96</fb>
    <v>1</v>
  </rv>
  <rv s="0">
    <fb>48.41</fb>
    <v>1</v>
  </rv>
  <rv s="0">
    <fb>151.94</fb>
    <v>1</v>
  </rv>
  <rv s="0">
    <fb>45561</fb>
    <v>0</v>
  </rv>
  <rv s="0">
    <fb>431.31</fb>
    <v>1</v>
  </rv>
  <rv s="0">
    <fb>271.69</fb>
    <v>1</v>
  </rv>
  <rv s="0">
    <fb>146.74</fb>
    <v>1</v>
  </rv>
  <rv s="0">
    <fb>36.119999999999997</fb>
    <v>1</v>
  </rv>
  <rv s="0">
    <fb>379.16</fb>
    <v>1</v>
  </rv>
  <rv s="0">
    <fb>48.48</fb>
    <v>1</v>
  </rv>
  <rv s="0">
    <fb>165.98</fb>
    <v>1</v>
  </rv>
  <rv s="0">
    <fb>45562</fb>
    <v>0</v>
  </rv>
  <rv s="0">
    <fb>428.02</fb>
    <v>1</v>
  </rv>
  <rv s="0">
    <fb>275.17</fb>
    <v>1</v>
  </rv>
  <rv s="0">
    <fb>148.06</fb>
    <v>1</v>
  </rv>
  <rv s="0">
    <fb>35.619999999999997</fb>
    <v>1</v>
  </rv>
  <rv s="0">
    <fb>369.2</fb>
    <v>1</v>
  </rv>
  <rv s="0">
    <fb>50.73</fb>
    <v>1</v>
  </rv>
  <rv s="0">
    <fb>176.22</fb>
    <v>1</v>
  </rv>
  <rv s="0">
    <fb>45565</fb>
    <v>0</v>
  </rv>
  <rv s="0">
    <fb>430.3</fb>
    <v>1</v>
  </rv>
  <rv s="0">
    <fb>22</fb>
    <v>1</v>
  </rv>
  <rv s="0">
    <fb>274.95</fb>
    <v>1</v>
  </rv>
  <rv s="0">
    <fb>148.47999999999999</fb>
    <v>1</v>
  </rv>
  <rv s="0">
    <fb>35.33</fb>
    <v>1</v>
  </rv>
  <rv s="0">
    <fb>368.53</fb>
    <v>1</v>
  </rv>
  <rv s="0">
    <fb>49.6</fb>
    <v>1</v>
  </rv>
  <rv s="0">
    <fb>168.6</fb>
    <v>1</v>
  </rv>
  <rv s="0">
    <fb>45566</fb>
    <v>0</v>
  </rv>
  <rv s="0">
    <fb>420.69</fb>
    <v>1</v>
  </rv>
  <rv s="0">
    <fb>146.56</fb>
    <v>1</v>
  </rv>
  <rv s="0">
    <fb>35</fb>
    <v>1</v>
  </rv>
  <rv s="0">
    <fb>375.4</fb>
    <v>1</v>
  </rv>
  <rv s="0">
    <fb>53.43</fb>
    <v>1</v>
  </rv>
  <rv s="0">
    <fb>162.69</fb>
    <v>1</v>
  </rv>
  <rv s="0">
    <fb>45567</fb>
    <v>0</v>
  </rv>
  <rv s="0">
    <fb>417.13</fb>
    <v>1</v>
  </rv>
  <rv s="0">
    <fb>22.19</fb>
    <v>1</v>
  </rv>
  <rv s="0">
    <fb>277</fb>
    <v>1</v>
  </rv>
  <rv s="0">
    <fb>34.6</fb>
    <v>1</v>
  </rv>
  <rv s="0">
    <fb>374.75</fb>
    <v>1</v>
  </rv>
  <rv s="0">
    <fb>52.71</fb>
    <v>1</v>
  </rv>
  <rv s="0">
    <fb>164.64</fb>
    <v>1</v>
  </rv>
  <rv s="0">
    <fb>45568</fb>
    <v>0</v>
  </rv>
  <rv s="0">
    <fb>416.54</fb>
    <v>1</v>
  </rv>
  <rv s="0">
    <fb>22.05</fb>
    <v>1</v>
  </rv>
  <rv s="0">
    <fb>276.86</fb>
    <v>1</v>
  </rv>
  <rv s="0">
    <fb>144.55000000000001</fb>
    <v>1</v>
  </rv>
  <rv s="0">
    <fb>34.93</fb>
    <v>1</v>
  </rv>
  <rv s="0">
    <fb>372.6</fb>
    <v>1</v>
  </rv>
  <rv s="0">
    <fb>55.09</fb>
    <v>1</v>
  </rv>
  <rv s="0">
    <fb>163.41</fb>
    <v>1</v>
  </rv>
  <rv s="0">
    <fb>45569</fb>
    <v>0</v>
  </rv>
  <rv s="0">
    <fb>416.06</fb>
    <v>1</v>
  </rv>
  <rv s="0">
    <fb>21.91</fb>
    <v>1</v>
  </rv>
  <rv s="0">
    <fb>277.93</fb>
    <v>1</v>
  </rv>
  <rv s="0">
    <fb>144.97</fb>
    <v>1</v>
  </rv>
  <rv s="0">
    <fb>35.47</fb>
    <v>1</v>
  </rv>
  <rv s="0">
    <fb>371.45</fb>
    <v>1</v>
  </rv>
  <rv s="0">
    <fb>53</fb>
    <v>1</v>
  </rv>
  <rv s="0">
    <fb>176.51</fb>
    <v>1</v>
  </rv>
  <rv s="0">
    <fb>45572</fb>
    <v>0</v>
  </rv>
  <rv s="0">
    <fb>409.54</fb>
    <v>1</v>
  </rv>
  <rv s="0">
    <fb>273.79000000000002</fb>
    <v>1</v>
  </rv>
  <rv s="0">
    <fb>143.88999999999999</fb>
    <v>1</v>
  </rv>
  <rv s="0">
    <fb>35.39</fb>
    <v>1</v>
  </rv>
  <rv s="0">
    <fb>362.95</fb>
    <v>1</v>
  </rv>
  <rv s="0">
    <fb>57.72</fb>
    <v>1</v>
  </rv>
  <rv s="0">
    <fb>186.09</fb>
    <v>1</v>
  </rv>
  <rv s="0">
    <fb>45573</fb>
    <v>0</v>
  </rv>
  <rv s="0">
    <fb>414.71</fb>
    <v>1</v>
  </rv>
  <rv s="0">
    <fb>274.95999999999998</fb>
    <v>1</v>
  </rv>
  <rv s="0">
    <fb>144.61000000000001</fb>
    <v>1</v>
  </rv>
  <rv s="0">
    <fb>35.26</fb>
    <v>1</v>
  </rv>
  <rv s="0">
    <fb>370.38</fb>
    <v>1</v>
  </rv>
  <rv s="0">
    <fb>55.39</fb>
    <v>1</v>
  </rv>
  <rv s="0">
    <fb>192.2</fb>
    <v>1</v>
  </rv>
  <rv s="0">
    <fb>45574</fb>
    <v>0</v>
  </rv>
  <rv s="0">
    <fb>417.46</fb>
    <v>1</v>
  </rv>
  <rv s="0">
    <fb>21.93</fb>
    <v>1</v>
  </rv>
  <rv s="0">
    <fb>276.93</fb>
    <v>1</v>
  </rv>
  <rv s="0">
    <fb>144.80000000000001</fb>
    <v>1</v>
  </rv>
  <rv s="0">
    <fb>35.65</fb>
    <v>1</v>
  </rv>
  <rv s="0">
    <fb>373.98</fb>
    <v>1</v>
  </rv>
  <rv s="0">
    <fb>54.03</fb>
    <v>1</v>
  </rv>
  <rv s="0">
    <fb>188.91</fb>
    <v>1</v>
  </rv>
  <rv s="0">
    <fb>45575</fb>
    <v>0</v>
  </rv>
  <rv s="0">
    <fb>415.84</fb>
    <v>1</v>
  </rv>
  <rv s="0">
    <fb>277.47000000000003</fb>
    <v>1</v>
  </rv>
  <rv s="0">
    <fb>142.74</fb>
    <v>1</v>
  </rv>
  <rv s="0">
    <fb>35.409999999999997</fb>
    <v>1</v>
  </rv>
  <rv s="0">
    <fb>378</fb>
    <v>1</v>
  </rv>
  <rv s="0">
    <fb>54.71</fb>
    <v>1</v>
  </rv>
  <rv s="0">
    <fb>183.34</fb>
    <v>1</v>
  </rv>
  <rv s="0">
    <fb>45576</fb>
    <v>0</v>
  </rv>
  <rv s="0">
    <fb>416.32</fb>
    <v>1</v>
  </rv>
  <rv s="0">
    <fb>21.37</fb>
    <v>1</v>
  </rv>
  <rv s="0">
    <fb>277.83999999999997</fb>
    <v>1</v>
  </rv>
  <rv s="0">
    <fb>143.82</fb>
    <v>1</v>
  </rv>
  <rv s="0">
    <fb>36.61</fb>
    <v>1</v>
  </rv>
  <rv s="0">
    <fb>373.7</fb>
    <v>1</v>
  </rv>
  <rv s="0">
    <fb>54.07</fb>
    <v>1</v>
  </rv>
  <rv s="0">
    <fb>212.59</fb>
    <v>1</v>
  </rv>
  <rv s="0">
    <fb>45579</fb>
    <v>0</v>
  </rv>
  <rv s="0">
    <fb>419.14</fb>
    <v>1</v>
  </rv>
  <rv s="0">
    <fb>21.26</fb>
    <v>1</v>
  </rv>
  <rv s="0">
    <fb>280.68</fb>
    <v>1</v>
  </rv>
  <rv s="0">
    <fb>144.25</fb>
    <v>1</v>
  </rv>
  <rv s="0">
    <fb>36.42</fb>
    <v>1</v>
  </rv>
  <rv s="0">
    <fb>372.5</fb>
    <v>1</v>
  </rv>
  <rv s="0">
    <fb>52.15</fb>
    <v>1</v>
  </rv>
  <rv s="0">
    <fb>201.67</fb>
    <v>1</v>
  </rv>
  <rv s="0">
    <fb>45580</fb>
    <v>0</v>
  </rv>
  <rv s="0">
    <fb>418.74</fb>
    <v>1</v>
  </rv>
  <rv s="0">
    <fb>21.51</fb>
    <v>1</v>
  </rv>
  <rv s="0">
    <fb>279.29000000000002</fb>
    <v>1</v>
  </rv>
  <rv s="0">
    <fb>144.58000000000001</fb>
    <v>1</v>
  </rv>
  <rv s="0">
    <fb>36.97</fb>
    <v>1</v>
  </rv>
  <rv s="0">
    <fb>53.85</fb>
    <v>1</v>
  </rv>
  <rv s="0">
    <fb>194.31</fb>
    <v>1</v>
  </rv>
  <rv s="0">
    <fb>45581</fb>
    <v>0</v>
  </rv>
  <rv s="0">
    <fb>416.12</fb>
    <v>1</v>
  </rv>
  <rv s="0">
    <fb>287.52</fb>
    <v>1</v>
  </rv>
  <rv s="0">
    <fb>139.11000000000001</fb>
    <v>1</v>
  </rv>
  <rv s="0">
    <fb>371.69</fb>
    <v>1</v>
  </rv>
  <rv s="0">
    <fb>53.33</fb>
    <v>1</v>
  </rv>
  <rv s="0">
    <fb>194.09</fb>
    <v>1</v>
  </rv>
  <rv s="0">
    <fb>45582</fb>
    <v>0</v>
  </rv>
  <rv s="0">
    <fb>416.72</fb>
    <v>1</v>
  </rv>
  <rv s="0">
    <fb>290.39</fb>
    <v>1</v>
  </rv>
  <rv s="0">
    <fb>366.75</fb>
    <v>1</v>
  </rv>
  <rv s="0">
    <fb>193.42</fb>
    <v>1</v>
  </rv>
  <rv s="0">
    <fb>45583</fb>
    <v>0</v>
  </rv>
  <rv s="0">
    <fb>418.16</fb>
    <v>1</v>
  </rv>
  <rv s="0">
    <fb>290.62</fb>
    <v>1</v>
  </rv>
  <rv s="0">
    <fb>138.83000000000001</fb>
    <v>1</v>
  </rv>
  <rv s="0">
    <fb>378.88</fb>
    <v>1</v>
  </rv>
  <rv s="0">
    <fb>51.21</fb>
    <v>1</v>
  </rv>
  <rv s="0">
    <fb>215.86</fb>
    <v>1</v>
  </rv>
  <rv s="0">
    <fb>45586</fb>
    <v>0</v>
  </rv>
  <rv s="0">
    <fb>418.78</fb>
    <v>1</v>
  </rv>
  <rv s="0">
    <fb>21.66</fb>
    <v>1</v>
  </rv>
  <rv s="0">
    <fb>286.85000000000002</fb>
    <v>1</v>
  </rv>
  <rv s="0">
    <fb>38.92</fb>
    <v>1</v>
  </rv>
  <rv s="0">
    <fb>381.97</fb>
    <v>1</v>
  </rv>
  <rv s="0">
    <fb>51.35</fb>
    <v>1</v>
  </rv>
  <rv s="0">
    <fb>219.05</fb>
    <v>1</v>
  </rv>
  <rv s="0">
    <fb>45587</fb>
    <v>0</v>
  </rv>
  <rv s="0">
    <fb>427.51</fb>
    <v>1</v>
  </rv>
  <rv s="0">
    <fb>284.79000000000002</fb>
    <v>1</v>
  </rv>
  <rv s="0">
    <fb>133.46</fb>
    <v>1</v>
  </rv>
  <rv s="0">
    <fb>387.63</fb>
    <v>1</v>
  </rv>
  <rv s="0">
    <fb>51.15</fb>
    <v>1</v>
  </rv>
  <rv s="0">
    <fb>219.7</fb>
    <v>1</v>
  </rv>
  <rv s="0">
    <fb>45588</fb>
    <v>0</v>
  </rv>
  <rv s="0">
    <fb>424.6</fb>
    <v>1</v>
  </rv>
  <rv s="0">
    <fb>22.49</fb>
    <v>1</v>
  </rv>
  <rv s="0">
    <fb>283.76</fb>
    <v>1</v>
  </rv>
  <rv s="0">
    <fb>39.51</fb>
    <v>1</v>
  </rv>
  <rv s="0">
    <fb>379.84</fb>
    <v>1</v>
  </rv>
  <rv s="0">
    <fb>213.95</fb>
    <v>1</v>
  </rv>
  <rv s="0">
    <fb>45589</fb>
    <v>0</v>
  </rv>
  <rv s="0">
    <fb>424.73</fb>
    <v>1</v>
  </rv>
  <rv s="0">
    <fb>39.5</fb>
    <v>1</v>
  </rv>
  <rv s="0">
    <fb>376.87</fb>
    <v>1</v>
  </rv>
  <rv s="0">
    <fb>52.81</fb>
    <v>1</v>
  </rv>
  <rv s="0">
    <fb>235.89</fb>
    <v>1</v>
  </rv>
  <rv s="0">
    <fb>45590</fb>
    <v>0</v>
  </rv>
  <rv s="0">
    <fb>428.15</fb>
    <v>1</v>
  </rv>
  <rv s="0">
    <fb>21.83</fb>
    <v>1</v>
  </rv>
  <rv s="0">
    <fb>281.73</fb>
    <v>1</v>
  </rv>
  <rv s="0">
    <fb>130.19</fb>
    <v>1</v>
  </rv>
  <rv s="0">
    <fb>55.29</fb>
    <v>1</v>
  </rv>
  <rv s="0">
    <fb>45593</fb>
    <v>0</v>
  </rv>
  <rv s="0">
    <fb>426.59</fb>
    <v>1</v>
  </rv>
  <rv s="0">
    <fb>284.19</fb>
    <v>1</v>
  </rv>
  <rv s="0">
    <fb>131.54</fb>
    <v>1</v>
  </rv>
  <rv s="0">
    <fb>38.43</fb>
    <v>1</v>
  </rv>
  <rv s="0">
    <fb>384.36</fb>
    <v>1</v>
  </rv>
  <rv s="0">
    <fb>255.34</fb>
    <v>1</v>
  </rv>
  <rv s="0">
    <fb>45594</fb>
    <v>0</v>
  </rv>
  <rv s="0">
    <fb>431.95</fb>
    <v>1</v>
  </rv>
  <rv s="0">
    <fb>281.88</fb>
    <v>1</v>
  </rv>
  <rv s="0">
    <fb>131.22999999999999</fb>
    <v>1</v>
  </rv>
  <rv s="0">
    <fb>39.46</fb>
    <v>1</v>
  </rv>
  <rv s="0">
    <fb>391.23</fb>
    <v>1</v>
  </rv>
  <rv s="0">
    <fb>52.48</fb>
    <v>1</v>
  </rv>
  <rv s="0">
    <fb>258.24</fb>
    <v>1</v>
  </rv>
  <rv s="0">
    <fb>45595</fb>
    <v>0</v>
  </rv>
  <rv s="0">
    <fb>432.53</fb>
    <v>1</v>
  </rv>
  <rv s="0">
    <fb>39.53</fb>
    <v>1</v>
  </rv>
  <rv s="0">
    <fb>394.02</fb>
    <v>1</v>
  </rv>
  <rv s="0">
    <fb>53.76</fb>
    <v>1</v>
  </rv>
  <rv s="0">
    <fb>247.31</fb>
    <v>1</v>
  </rv>
  <rv s="0">
    <fb>45596</fb>
    <v>0</v>
  </rv>
  <rv s="0">
    <fb>406.35</fb>
    <v>1</v>
  </rv>
  <rv s="0">
    <fb>22.54</fb>
    <v>1</v>
  </rv>
  <rv s="0">
    <fb>289.85000000000002</fb>
    <v>1</v>
  </rv>
  <rv s="0">
    <fb>385.1</fb>
    <v>1</v>
  </rv>
  <rv s="0">
    <fb>57.87</fb>
    <v>1</v>
  </rv>
  <rv s="0">
    <fb>244.5</fb>
    <v>1</v>
  </rv>
  <rv s="0">
    <fb>45597</fb>
    <v>0</v>
  </rv>
  <rv s="0">
    <fb>410.37</fb>
    <v>1</v>
  </rv>
  <rv s="0">
    <fb>22.12</fb>
    <v>1</v>
  </rv>
  <rv s="0">
    <fb>290.74</fb>
    <v>1</v>
  </rv>
  <rv s="0">
    <fb>136.87</fb>
    <v>1</v>
  </rv>
  <rv s="0">
    <fb>38.630000000000003</fb>
    <v>1</v>
  </rv>
  <rv s="0">
    <fb>384.5</fb>
    <v>1</v>
  </rv>
  <rv s="0">
    <fb>56.85</fb>
    <v>1</v>
  </rv>
  <rv s="0">
    <fb>229.71</fb>
    <v>1</v>
  </rv>
  <rv s="0">
    <fb>45600</fb>
    <v>0</v>
  </rv>
  <rv s="0">
    <fb>408.46</fb>
    <v>1</v>
  </rv>
  <rv s="0">
    <fb>291.85000000000002</fb>
    <v>1</v>
  </rv>
  <rv s="0">
    <fb>139.65</fb>
    <v>1</v>
  </rv>
  <rv s="0">
    <fb>377.73</fb>
    <v>1</v>
  </rv>
  <rv s="0">
    <fb>54.47</fb>
    <v>1</v>
  </rv>
  <rv s="0">
    <fb>222.99</fb>
    <v>1</v>
  </rv>
  <rv s="0">
    <fb>45601</fb>
    <v>0</v>
  </rv>
  <rv s="0">
    <fb>411.46</fb>
    <v>1</v>
  </rv>
  <rv s="0">
    <fb>293.29000000000002</fb>
    <v>1</v>
  </rv>
  <rv s="0">
    <fb>140.41</fb>
    <v>1</v>
  </rv>
  <rv s="0">
    <fb>39.08</fb>
    <v>1</v>
  </rv>
  <rv s="0">
    <fb>382.63</fb>
    <v>1</v>
  </rv>
  <rv s="0">
    <fb>51.55</fb>
    <v>1</v>
  </rv>
  <rv s="0">
    <fb>227.8</fb>
    <v>1</v>
  </rv>
  <rv s="0">
    <fb>45602</fb>
    <v>0</v>
  </rv>
  <rv s="0">
    <fb>420.18</fb>
    <v>1</v>
  </rv>
  <rv s="0">
    <fb>22.32</fb>
    <v>1</v>
  </rv>
  <rv s="0">
    <fb>307.39999999999998</fb>
    <v>1</v>
  </rv>
  <rv s="0">
    <fb>137.78</fb>
    <v>1</v>
  </rv>
  <rv s="0">
    <fb>42.31</fb>
    <v>1</v>
  </rv>
  <rv s="0">
    <fb>391.16</fb>
    <v>1</v>
  </rv>
  <rv s="0">
    <fb>46.74</fb>
    <v>1</v>
  </rv>
  <rv s="0">
    <fb>257.81</fb>
    <v>1</v>
  </rv>
  <rv s="0">
    <fb>45603</fb>
    <v>0</v>
  </rv>
  <rv s="0">
    <fb>425.43</fb>
    <v>1</v>
  </rv>
  <rv s="0">
    <fb>305.8</fb>
    <v>1</v>
  </rv>
  <rv s="0">
    <fb>139.63</fb>
    <v>1</v>
  </rv>
  <rv s="0">
    <fb>41.99</fb>
    <v>1</v>
  </rv>
  <rv s="0">
    <fb>45.09</fb>
    <v>1</v>
  </rv>
  <rv s="0">
    <fb>270.81</fb>
    <v>1</v>
  </rv>
  <rv s="0">
    <fb>45604</fb>
    <v>0</v>
  </rv>
  <rv s="0">
    <fb>422.54</fb>
    <v>1</v>
  </rv>
  <rv s="0">
    <fb>307.87</fb>
    <v>1</v>
  </rv>
  <rv s="0">
    <fb>41.25</fb>
    <v>1</v>
  </rv>
  <rv s="0">
    <fb>400.68</fb>
    <v>1</v>
  </rv>
  <rv s="0">
    <fb>44.77</fb>
    <v>1</v>
  </rv>
  <rv s="0">
    <fb>270.42</fb>
    <v>1</v>
  </rv>
  <rv s="0">
    <fb>45607</fb>
    <v>0</v>
  </rv>
  <rv s="0">
    <fb>418.01</fb>
    <v>1</v>
  </rv>
  <rv s="0">
    <fb>22.31</fb>
    <v>1</v>
  </rv>
  <rv s="0">
    <fb>310.92</fb>
    <v>1</v>
  </rv>
  <rv s="0">
    <fb>133.86000000000001</fb>
    <v>1</v>
  </rv>
  <rv s="0">
    <fb>410.19</fb>
    <v>1</v>
  </rv>
  <rv s="0">
    <fb>44.65</fb>
    <v>1</v>
  </rv>
  <rv s="0">
    <fb>340</fb>
    <v>1</v>
  </rv>
  <rv s="0">
    <fb>45608</fb>
    <v>0</v>
  </rv>
  <rv s="0">
    <fb>423.03</fb>
    <v>1</v>
  </rv>
  <rv s="0">
    <fb>309.85000000000002</fb>
    <v>1</v>
  </rv>
  <rv s="0">
    <fb>40.03</fb>
    <v>1</v>
  </rv>
  <rv s="0">
    <fb>419.39</fb>
    <v>1</v>
  </rv>
  <rv s="0">
    <fb>356.59</fb>
    <v>1</v>
  </rv>
  <rv s="0">
    <fb>45609</fb>
    <v>0</v>
  </rv>
  <rv s="0">
    <fb>425.2</fb>
    <v>1</v>
  </rv>
  <rv s="0">
    <fb>22.3</fb>
    <v>1</v>
  </rv>
  <rv s="0">
    <fb>309.48</fb>
    <v>1</v>
  </rv>
  <rv s="0">
    <fb>37.81</fb>
    <v>1</v>
  </rv>
  <rv s="0">
    <fb>467.37</fb>
    <v>1</v>
  </rv>
  <rv s="0">
    <fb>43.534999999999997</fb>
    <v>1</v>
  </rv>
  <rv s="0">
    <fb>328.38</fb>
    <v>1</v>
  </rv>
  <rv s="0">
    <fb>45610</fb>
    <v>0</v>
  </rv>
  <rv s="0">
    <fb>426.89</fb>
    <v>1</v>
  </rv>
  <rv s="0">
    <fb>22.25</fb>
    <v>1</v>
  </rv>
  <rv s="0">
    <fb>308.25</fb>
    <v>1</v>
  </rv>
  <rv s="0">
    <fb>130.22</fb>
    <v>1</v>
  </rv>
  <rv s="0">
    <fb>36.380000000000003</fb>
    <v>1</v>
  </rv>
  <rv s="0">
    <fb>477.5</fb>
    <v>1</v>
  </rv>
  <rv s="0">
    <fb>43.48</fb>
    <v>1</v>
  </rv>
  <rv s="0">
    <fb>327.67</fb>
    <v>1</v>
  </rv>
  <rv s="0">
    <fb>45611</fb>
    <v>0</v>
  </rv>
  <rv s="0">
    <fb>415</fb>
    <v>1</v>
  </rv>
  <rv s="0">
    <fb>309.64</fb>
    <v>1</v>
  </rv>
  <rv s="0">
    <fb>458.32</fb>
    <v>1</v>
  </rv>
  <rv s="0">
    <fb>46.59</fb>
    <v>1</v>
  </rv>
  <rv s="0">
    <fb>340.65</fb>
    <v>1</v>
  </rv>
  <rv s="0">
    <fb>45614</fb>
    <v>0</v>
  </rv>
  <rv s="0">
    <fb>415.76</fb>
    <v>1</v>
  </rv>
  <rv s="0">
    <fb>312.16000000000003</fb>
    <v>1</v>
  </rv>
  <rv s="0">
    <fb>126.92</fb>
    <v>1</v>
  </rv>
  <rv s="0">
    <fb>38.01</fb>
    <v>1</v>
  </rv>
  <rv s="0">
    <fb>454.36</fb>
    <v>1</v>
  </rv>
  <rv s="0">
    <fb>44.89</fb>
    <v>1</v>
  </rv>
  <rv s="0">
    <fb>384.79</fb>
    <v>1</v>
  </rv>
  <rv s="0">
    <fb>45615</fb>
    <v>0</v>
  </rv>
  <rv s="0">
    <fb>417.79</fb>
    <v>1</v>
  </rv>
  <rv s="0">
    <fb>311.85000000000002</fb>
    <v>1</v>
  </rv>
  <rv s="0">
    <fb>38.89</fb>
    <v>1</v>
  </rv>
  <rv s="0">
    <fb>463.83</fb>
    <v>1</v>
  </rv>
  <rv s="0">
    <fb>46.38</fb>
    <v>1</v>
  </rv>
  <rv s="0">
    <fb>430.54</fb>
    <v>1</v>
  </rv>
  <rv s="0">
    <fb>45616</fb>
    <v>0</v>
  </rv>
  <rv s="0">
    <fb>415.49</fb>
    <v>1</v>
  </rv>
  <rv s="0">
    <fb>22.83</fb>
    <v>1</v>
  </rv>
  <rv s="0">
    <fb>307.39</fb>
    <v>1</v>
  </rv>
  <rv s="0">
    <fb>128.57</fb>
    <v>1</v>
  </rv>
  <rv s="0">
    <fb>38.380000000000003</fb>
    <v>1</v>
  </rv>
  <rv s="0">
    <fb>470.01</fb>
    <v>1</v>
  </rv>
  <rv s="0">
    <fb>48.03</fb>
    <v>1</v>
  </rv>
  <rv s="0">
    <fb>473.83</fb>
    <v>1</v>
  </rv>
  <rv s="0">
    <fb>45617</fb>
    <v>0</v>
  </rv>
  <rv s="0">
    <fb>412.87</fb>
    <v>1</v>
  </rv>
  <rv s="0">
    <fb>132.06</fb>
    <v>1</v>
  </rv>
  <rv s="0">
    <fb>40.51</fb>
    <v>1</v>
  </rv>
  <rv s="0">
    <fb>470.7</fb>
    <v>1</v>
  </rv>
  <rv s="0">
    <fb>397.28</fb>
    <v>1</v>
  </rv>
  <rv s="0">
    <fb>45618</fb>
    <v>0</v>
  </rv>
  <rv s="0">
    <fb>417</fb>
    <v>1</v>
  </rv>
  <rv s="0">
    <fb>23.18</fb>
    <v>1</v>
  </rv>
  <rv s="0">
    <fb>309.92</fb>
    <v>1</v>
  </rv>
  <rv s="0">
    <fb>133.84</fb>
    <v>1</v>
  </rv>
  <rv s="0">
    <fb>39.03</fb>
    <v>1</v>
  </rv>
  <rv s="0">
    <fb>475.04</fb>
    <v>1</v>
  </rv>
  <rv s="0">
    <fb>45.76</fb>
    <v>1</v>
  </rv>
  <rv s="0">
    <fb>421.88</fb>
    <v>1</v>
  </rv>
  <rv s="0">
    <fb>45621</fb>
    <v>0</v>
  </rv>
  <rv s="0">
    <fb>418.79</fb>
    <v>1</v>
  </rv>
  <rv s="0">
    <fb>23.1</fb>
    <v>1</v>
  </rv>
  <rv s="0">
    <fb>313.19</fb>
    <v>1</v>
  </rv>
  <rv s="0">
    <fb>38.58</fb>
    <v>1</v>
  </rv>
  <rv s="0">
    <fb>481.38</fb>
    <v>1</v>
  </rv>
  <rv s="0">
    <fb>43.88</fb>
    <v>1</v>
  </rv>
  <rv s="0">
    <fb>403.45</fb>
    <v>1</v>
  </rv>
  <rv s="0">
    <fb>45622</fb>
    <v>0</v>
  </rv>
  <rv s="0">
    <fb>427.99</fb>
    <v>1</v>
  </rv>
  <rv s="0">
    <fb>23.09</fb>
    <v>1</v>
  </rv>
  <rv s="0">
    <fb>311.82</fb>
    <v>1</v>
  </rv>
  <rv s="0">
    <fb>134.37</fb>
    <v>1</v>
  </rv>
  <rv s="0">
    <fb>39.630000000000003</fb>
    <v>1</v>
  </rv>
  <rv s="0">
    <fb>476.61</fb>
    <v>1</v>
  </rv>
  <rv s="0">
    <fb>43.61</fb>
    <v>1</v>
  </rv>
  <rv s="0">
    <fb>353.69</fb>
    <v>1</v>
  </rv>
  <rv s="0">
    <fb>45623</fb>
    <v>0</v>
  </rv>
  <rv s="0">
    <fb>422.99</fb>
    <v>1</v>
  </rv>
  <rv s="0">
    <fb>40.450000000000003</fb>
    <v>1</v>
  </rv>
  <rv s="0">
    <fb>475.24</fb>
    <v>1</v>
  </rv>
  <rv s="0">
    <fb>43.45</fb>
    <v>1</v>
  </rv>
  <rv s="0">
    <fb>388.84</fb>
    <v>1</v>
  </rv>
  <rv s="0">
    <fb>45625</fb>
    <v>0</v>
  </rv>
  <rv s="0">
    <fb>423.46</fb>
    <v>1</v>
  </rv>
  <rv s="0">
    <fb>23.16</fb>
    <v>1</v>
  </rv>
  <rv s="0">
    <fb>315.08</fb>
    <v>1</v>
  </rv>
  <rv s="0">
    <fb>137.97</fb>
    <v>1</v>
  </rv>
  <rv s="0">
    <fb>40.770000000000003</fb>
    <v>1</v>
  </rv>
  <rv s="0">
    <fb>42.585000000000001</fb>
    <v>1</v>
  </rv>
  <rv s="0">
    <fb>387.47</fb>
    <v>1</v>
  </rv>
  <rv s="0">
    <fb>45628</fb>
    <v>0</v>
  </rv>
  <rv s="0">
    <fb>430.98</fb>
    <v>1</v>
  </rv>
  <rv s="0">
    <fb>22.7</fb>
    <v>1</v>
  </rv>
  <rv s="0">
    <fb>316.64999999999998</fb>
    <v>1</v>
  </rv>
  <rv s="0">
    <fb>139.58000000000001</fb>
    <v>1</v>
  </rv>
  <rv s="0">
    <fb>40.950000000000003</fb>
    <v>1</v>
  </rv>
  <rv s="0">
    <fb>480.27</fb>
    <v>1</v>
  </rv>
  <rv s="0">
    <fb>42.3</fb>
    <v>1</v>
  </rv>
  <rv s="0">
    <fb>380.3</fb>
    <v>1</v>
  </rv>
  <rv s="0">
    <fb>45629</fb>
    <v>0</v>
  </rv>
  <rv s="0">
    <fb>431.2</fb>
    <v>1</v>
  </rv>
  <rv s="0">
    <fb>23.74</fb>
    <v>1</v>
  </rv>
  <rv s="0">
    <fb>313.01</fb>
    <v>1</v>
  </rv>
  <rv s="0">
    <fb>139.28</fb>
    <v>1</v>
  </rv>
  <rv s="0">
    <fb>37.67</fb>
    <v>1</v>
  </rv>
  <rv s="0">
    <fb>493.32</fb>
    <v>1</v>
  </rv>
  <rv s="0">
    <fb>42.07</fb>
    <v>1</v>
  </rv>
  <rv s="0">
    <fb>373.43</fb>
    <v>1</v>
  </rv>
  <rv s="0">
    <fb>45630</fb>
    <v>0</v>
  </rv>
  <rv s="0">
    <fb>437.42</fb>
    <v>1</v>
  </rv>
  <rv s="0">
    <fb>23.53</fb>
    <v>1</v>
  </rv>
  <rv s="0">
    <fb>140.19999999999999</fb>
    <v>1</v>
  </rv>
  <rv s="0">
    <fb>38.39</fb>
    <v>1</v>
  </rv>
  <rv s="0">
    <fb>502.38</fb>
    <v>1</v>
  </rv>
  <rv s="0">
    <fb>42.33</fb>
    <v>1</v>
  </rv>
  <rv s="0">
    <fb>406</fb>
    <v>1</v>
  </rv>
  <rv s="0">
    <fb>45631</fb>
    <v>0</v>
  </rv>
  <rv s="0">
    <fb>442.62</fb>
    <v>1</v>
  </rv>
  <rv s="0">
    <fb>23.83</fb>
    <v>1</v>
  </rv>
  <rv s="0">
    <fb>309.08</fb>
    <v>1</v>
  </rv>
  <rv s="0">
    <fb>137.87</fb>
    <v>1</v>
  </rv>
  <rv s="0">
    <fb>493.51</fb>
    <v>1</v>
  </rv>
  <rv s="0">
    <fb>42.42</fb>
    <v>1</v>
  </rv>
  <rv s="0">
    <fb>386.4</fb>
    <v>1</v>
  </rv>
  <rv s="0">
    <fb>45632</fb>
    <v>0</v>
  </rv>
  <rv s="0">
    <fb>443.57</fb>
    <v>1</v>
  </rv>
  <rv s="0">
    <fb>311.01</fb>
    <v>1</v>
  </rv>
  <rv s="0">
    <fb>140.58000000000001</fb>
    <v>1</v>
  </rv>
  <rv s="0">
    <fb>498.63</fb>
    <v>1</v>
  </rv>
  <rv s="0">
    <fb>41.76</fb>
    <v>1</v>
  </rv>
  <rv s="0">
    <fb>395.01</fb>
    <v>1</v>
  </rv>
  <rv s="0">
    <fb>45635</fb>
    <v>0</v>
  </rv>
  <rv s="0">
    <fb>446.02</fb>
    <v>1</v>
  </rv>
  <rv s="0">
    <fb>308.3</fb>
    <v>1</v>
  </rv>
  <rv s="0">
    <fb>144</fb>
    <v>1</v>
  </rv>
  <rv s="0">
    <fb>39.04</fb>
    <v>1</v>
  </rv>
  <rv s="0">
    <fb>482.52</fb>
    <v>1</v>
  </rv>
  <rv s="0">
    <fb>42.89</fb>
    <v>1</v>
  </rv>
  <rv s="0">
    <fb>365.34</fb>
    <v>1</v>
  </rv>
  <rv s="0">
    <fb>45636</fb>
    <v>0</v>
  </rv>
  <rv s="0">
    <fb>443.33</fb>
    <v>1</v>
  </rv>
  <rv s="0">
    <fb>23.51</fb>
    <v>1</v>
  </rv>
  <rv s="0">
    <fb>312.38</fb>
    <v>1</v>
  </rv>
  <rv s="0">
    <fb>141.93</fb>
    <v>1</v>
  </rv>
  <rv s="0">
    <fb>471.58</fb>
    <v>1</v>
  </rv>
  <rv s="0">
    <fb>42.46</fb>
    <v>1</v>
  </rv>
  <rv s="0">
    <fb>377.32</fb>
    <v>1</v>
  </rv>
  <rv s="0">
    <fb>45637</fb>
    <v>0</v>
  </rv>
  <rv s="0">
    <fb>448.99</fb>
    <v>1</v>
  </rv>
  <rv s="0">
    <fb>141.19</fb>
    <v>1</v>
  </rv>
  <rv s="0">
    <fb>476.91</fb>
    <v>1</v>
  </rv>
  <rv s="0">
    <fb>42.13</fb>
    <v>1</v>
  </rv>
  <rv s="0">
    <fb>411.4</fb>
    <v>1</v>
  </rv>
  <rv s="0">
    <fb>45638</fb>
    <v>0</v>
  </rv>
  <rv s="0">
    <fb>449.56</fb>
    <v>1</v>
  </rv>
  <rv s="0">
    <fb>314.23</fb>
    <v>1</v>
  </rv>
  <rv s="0">
    <fb>140.91</fb>
    <v>1</v>
  </rv>
  <rv s="0">
    <fb>34.020000000000003</fb>
    <v>1</v>
  </rv>
  <rv s="0">
    <fb>480.11</fb>
    <v>1</v>
  </rv>
  <rv s="0">
    <fb>42.47</fb>
    <v>1</v>
  </rv>
  <rv s="0">
    <fb>392.19</fb>
    <v>1</v>
  </rv>
  <rv s="0">
    <fb>45639</fb>
    <v>0</v>
  </rv>
  <rv s="0">
    <fb>447.27</fb>
    <v>1</v>
  </rv>
  <rv s="0">
    <fb>23.63</fb>
    <v>1</v>
  </rv>
  <rv s="0">
    <fb>314.74</fb>
    <v>1</v>
  </rv>
  <rv s="0">
    <fb>33.26</fb>
    <v>1</v>
  </rv>
  <rv s="0">
    <fb>483.31</fb>
    <v>1</v>
  </rv>
  <rv s="0">
    <fb>42.5</fb>
    <v>1</v>
  </rv>
  <rv s="0">
    <fb>408.67</fb>
    <v>1</v>
  </rv>
  <rv s="0">
    <fb>45642</fb>
    <v>0</v>
  </rv>
  <rv s="0">
    <fb>451.59</fb>
    <v>1</v>
  </rv>
  <rv s="0">
    <fb>315.89</fb>
    <v>1</v>
  </rv>
  <rv s="0">
    <fb>137.66999999999999</fb>
    <v>1</v>
  </rv>
  <rv s="0">
    <fb>32.74</fb>
    <v>1</v>
  </rv>
  <rv s="0">
    <fb>484.9</fb>
    <v>1</v>
  </rv>
  <rv s="0">
    <fb>43.22</fb>
    <v>1</v>
  </rv>
  <rv s="0">
    <fb>408.5</fb>
    <v>1</v>
  </rv>
  <rv s="0">
    <fb>45643</fb>
    <v>0</v>
  </rv>
  <rv s="0">
    <fb>454.46</fb>
    <v>1</v>
  </rv>
  <rv s="0">
    <fb>318.3</fb>
    <v>1</v>
  </rv>
  <rv s="0">
    <fb>136.46</fb>
    <v>1</v>
  </rv>
  <rv s="0">
    <fb>31.94</fb>
    <v>1</v>
  </rv>
  <rv s="0">
    <fb>474.37</fb>
    <v>1</v>
  </rv>
  <rv s="0">
    <fb>44.29</fb>
    <v>1</v>
  </rv>
  <rv s="0">
    <fb>386.42</fb>
    <v>1</v>
  </rv>
  <rv s="0">
    <fb>45644</fb>
    <v>0</v>
  </rv>
  <rv s="0">
    <fb>437.39</fb>
    <v>1</v>
  </rv>
  <rv s="0">
    <fb>309.77999999999997</fb>
    <v>1</v>
  </rv>
  <rv s="0">
    <fb>133.01</fb>
    <v>1</v>
  </rv>
  <rv s="0">
    <fb>30.98</fb>
    <v>1</v>
  </rv>
  <rv s="0">
    <fb>448.65</fb>
    <v>1</v>
  </rv>
  <rv s="0">
    <fb>51.72</fb>
    <v>1</v>
  </rv>
  <rv s="0">
    <fb>349.64</fb>
    <v>1</v>
  </rv>
  <rv s="0">
    <fb>45645</fb>
    <v>0</v>
  </rv>
  <rv s="0">
    <fb>437.03</fb>
    <v>1</v>
  </rv>
  <rv s="0">
    <fb>314.88</fb>
    <v>1</v>
  </rv>
  <rv s="0">
    <fb>31.72</fb>
    <v>1</v>
  </rv>
  <rv s="0">
    <fb>454.16</fb>
    <v>1</v>
  </rv>
  <rv s="0">
    <fb>56.14</fb>
    <v>1</v>
  </rv>
  <rv s="0">
    <fb>326.45999999999998</fb>
    <v>1</v>
  </rv>
  <rv s="0">
    <fb>45646</fb>
    <v>0</v>
  </rv>
  <rv s="0">
    <fb>436.6</fb>
    <v>1</v>
  </rv>
  <rv s="0">
    <fb>317.70999999999998</fb>
    <v>1</v>
  </rv>
  <rv s="0">
    <fb>134.51</fb>
    <v>1</v>
  </rv>
  <rv s="0">
    <fb>30.14</fb>
    <v>1</v>
  </rv>
  <rv s="0">
    <fb>460.88</fb>
    <v>1</v>
  </rv>
  <rv s="0">
    <fb>48.08</fb>
    <v>1</v>
  </rv>
  <rv s="0">
    <fb>364.2</fb>
    <v>1</v>
  </rv>
  <rv s="0">
    <fb>45649</fb>
    <v>0</v>
  </rv>
  <rv s="0">
    <fb>435.25</fb>
    <v>1</v>
  </rv>
  <rv s="0">
    <fb>317.22000000000003</fb>
    <v>1</v>
  </rv>
  <rv s="0">
    <fb>134.6</fb>
    <v>1</v>
  </rv>
  <rv s="0">
    <fb>456.29</fb>
    <v>1</v>
  </rv>
  <rv s="0">
    <fb>44.38</fb>
    <v>1</v>
  </rv>
  <rv s="0">
    <fb>332.23</fb>
    <v>1</v>
  </rv>
  <rv s="0">
    <fb>45650</fb>
    <v>0</v>
  </rv>
  <rv s="0">
    <fb>439.33</fb>
    <v>1</v>
  </rv>
  <rv s="0">
    <fb>22.95</fb>
    <v>1</v>
  </rv>
  <rv s="0">
    <fb>320.64999999999998</fb>
    <v>1</v>
  </rv>
  <rv s="0">
    <fb>136.1</fb>
    <v>1</v>
  </rv>
  <rv s="0">
    <fb>31.97</fb>
    <v>1</v>
  </rv>
  <rv s="0">
    <fb>461.64</fb>
    <v>1</v>
  </rv>
  <rv s="0">
    <fb>358.18</fb>
    <v>1</v>
  </rv>
  <rv s="0">
    <fb>45652</fb>
    <v>0</v>
  </rv>
  <rv s="0">
    <fb>438.11</fb>
    <v>1</v>
  </rv>
  <rv s="0">
    <fb>22.96</fb>
    <v>1</v>
  </rv>
  <rv s="0">
    <fb>320.91000000000003</fb>
    <v>1</v>
  </rv>
  <rv s="0">
    <fb>135.83000000000001</fb>
    <v>1</v>
  </rv>
  <rv s="0">
    <fb>31</fb>
    <v>1</v>
  </rv>
  <rv s="0">
    <fb>457.98</fb>
    <v>1</v>
  </rv>
  <rv s="0">
    <fb>42.55</fb>
    <v>1</v>
  </rv>
  <rv s="0">
    <fb>341.05</fb>
    <v>1</v>
  </rv>
  <rv s="0">
    <fb>45653</fb>
    <v>0</v>
  </rv>
  <rv s="0">
    <fb>430.53</fb>
    <v>1</v>
  </rv>
  <rv s="0">
    <fb>22.86</fb>
    <v>1</v>
  </rv>
  <rv s="0">
    <fb>318.66000000000003</fb>
    <v>1</v>
  </rv>
  <rv s="0">
    <fb>135.54</fb>
    <v>1</v>
  </rv>
  <rv s="0">
    <fb>31.14</fb>
    <v>1</v>
  </rv>
  <rv s="0">
    <fb>456.48</fb>
    <v>1</v>
  </rv>
  <rv s="0">
    <fb>330</fb>
    <v>1</v>
  </rv>
  <rv s="0">
    <fb>45656</fb>
    <v>0</v>
  </rv>
  <rv s="0">
    <fb>424.83</fb>
    <v>1</v>
  </rv>
  <rv s="0">
    <fb>315.31</fb>
    <v>1</v>
  </rv>
  <rv s="0">
    <fb>134.41999999999999</fb>
    <v>1</v>
  </rv>
  <rv s="0">
    <fb>451.79</fb>
    <v>1</v>
  </rv>
  <rv s="0">
    <fb>45.53</fb>
    <v>1</v>
  </rv>
  <rv s="0">
    <fb>302.95999999999998</fb>
    <v>1</v>
  </rv>
  <rv s="0">
    <fb>45657</fb>
    <v>0</v>
  </rv>
  <rv s="0">
    <fb>421.5</fb>
    <v>1</v>
  </rv>
  <rv s="0">
    <fb>316.04000000000002</fb>
    <v>1</v>
  </rv>
  <rv s="0">
    <fb>134.34</fb>
    <v>1</v>
  </rv>
  <rv s="0">
    <fb>33.99</fb>
    <v>1</v>
  </rv>
  <rv s="0">
    <fb>447.38</fb>
    <v>1</v>
  </rv>
  <rv s="0">
    <fb>45.8</fb>
    <v>1</v>
  </rv>
  <rv s="0">
    <fb>289.62</fb>
    <v>1</v>
  </rv>
  <rv s="4">
    <v>2</v>
    <v>V</v>
    <v>Daily</v>
    <v>44166</v>
    <v>45658</v>
    <v>0</v>
    <v>1</v>
    <v>638712000000000000,638743743187806703,0</v>
    <v>0</v>
    <v>a256cw</v>
    <v>XNYS:V</v>
    <v>1</v>
  </rv>
  <rv s="4">
    <v>2</v>
    <v>MSTR</v>
    <v>Daily</v>
    <v>44166</v>
    <v>45658</v>
    <v>0</v>
    <v>1</v>
    <v>638712000000000000,638743743187116574,0</v>
    <v>0</v>
    <v>a1y1qh</v>
    <v>XNAS:MSTR</v>
    <v>2</v>
  </rv>
  <rv s="4">
    <v>2</v>
    <v>A</v>
    <v>Daily</v>
    <v>44166</v>
    <v>45658</v>
    <v>0</v>
    <v>1</v>
    <v>638712000000000000,638743743187698756,0</v>
    <v>0</v>
    <v>a1mnrw</v>
    <v>XNYS:A</v>
    <v>3</v>
  </rv>
  <rv s="4">
    <v>2</v>
    <v>vxx</v>
    <v>Daily</v>
    <v>44166</v>
    <v>45658</v>
    <v>0</v>
    <v>1</v>
    <v>638712000000000000,638743743187257145,0</v>
    <v>0</v>
    <v>ayfa5r</v>
    <v>BATS:VXX</v>
    <v>4</v>
  </rv>
  <rv s="4">
    <v>2</v>
    <v>SPOT</v>
    <v>Daily</v>
    <v>44166</v>
    <v>45658</v>
    <v>0</v>
    <v>1</v>
    <v>638712000000000000,638743743187390420,0</v>
    <v>0</v>
    <v>azgv7w</v>
    <v>XNYS:SPOT</v>
    <v>5</v>
  </rv>
  <rv s="4">
    <v>2</v>
    <v>X</v>
    <v>Daily</v>
    <v>44166</v>
    <v>45658</v>
    <v>0</v>
    <v>1</v>
    <v>638712000000000000,638743743187531769,0</v>
    <v>0</v>
    <v>a265bh</v>
    <v>XNYS:X</v>
    <v>6</v>
  </rv>
  <rv s="4">
    <v>2</v>
    <v>MSFT</v>
    <v>Daily</v>
    <v>44166</v>
    <v>45658</v>
    <v>0</v>
    <v>1</v>
    <v>638712000000000000,638743743188059981,0</v>
    <v>0</v>
    <v>a1xzim</v>
    <v>XNAS:MSFT</v>
    <v>7</v>
  </rv>
  <rv s="4">
    <v>2</v>
    <v>T</v>
    <v>Daily</v>
    <v>44166</v>
    <v>45658</v>
    <v>0</v>
    <v>1</v>
    <v>638712000000000000,638743743187924150,0</v>
    <v>0</v>
    <v>a23www</v>
    <v>XNYS:T</v>
    <v>8</v>
  </rv>
</rvData>
</file>

<file path=xl/richData/rdrichvaluestructure.xml><?xml version="1.0" encoding="utf-8"?>
<rvStructures xmlns="http://schemas.microsoft.com/office/spreadsheetml/2017/richdata" count="5">
  <s t="_formattednumber">
    <k n="_Format" t="spb"/>
  </s>
  <s t="_error">
    <k n="errorType" t="i"/>
    <k n="propagated" t="b"/>
  </s>
  <s t="_error">
    <k n="argument" t="s"/>
    <k n="errorType" t="i"/>
    <k n="ptg" t="i"/>
    <k n="subType" t="i"/>
  </s>
  <s t="_error">
    <k n="errorType" t="i"/>
    <k n="propagated" t="b"/>
    <k n="ptg" t="i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2A76-E9C9-4764-87DC-A8C0840735A0}">
  <dimension ref="A1:AS1029"/>
  <sheetViews>
    <sheetView tabSelected="1" topLeftCell="N1" workbookViewId="0">
      <selection activeCell="AL15" sqref="AL15"/>
    </sheetView>
  </sheetViews>
  <sheetFormatPr defaultRowHeight="14.25" x14ac:dyDescent="0.45"/>
  <cols>
    <col min="1" max="1" width="19.3984375" customWidth="1"/>
    <col min="2" max="2" width="18" customWidth="1"/>
    <col min="3" max="3" width="15.9296875" customWidth="1"/>
    <col min="4" max="4" width="18.53125" customWidth="1"/>
    <col min="5" max="5" width="20.1328125" customWidth="1"/>
    <col min="6" max="6" width="19.19921875" customWidth="1"/>
    <col min="7" max="7" width="20.06640625" customWidth="1"/>
    <col min="8" max="8" width="15.3984375" customWidth="1"/>
    <col min="10" max="10" width="13" customWidth="1"/>
    <col min="12" max="12" width="17" customWidth="1"/>
    <col min="14" max="14" width="17.73046875" customWidth="1"/>
    <col min="15" max="15" width="19.9296875" customWidth="1"/>
    <col min="16" max="16" width="16.59765625" customWidth="1"/>
    <col min="17" max="17" width="16.33203125" customWidth="1"/>
    <col min="23" max="23" width="14.1328125" customWidth="1"/>
    <col min="24" max="24" width="15.265625" customWidth="1"/>
    <col min="25" max="25" width="18.59765625" customWidth="1"/>
    <col min="27" max="27" width="37.33203125" customWidth="1"/>
    <col min="28" max="28" width="33.06640625" customWidth="1"/>
    <col min="29" max="29" width="19.796875" customWidth="1"/>
    <col min="30" max="30" width="20.53125" customWidth="1"/>
    <col min="31" max="31" width="13.3984375" customWidth="1"/>
    <col min="32" max="32" width="19.59765625" customWidth="1"/>
    <col min="33" max="33" width="11" bestFit="1" customWidth="1"/>
    <col min="34" max="34" width="12" bestFit="1" customWidth="1"/>
    <col min="35" max="35" width="11" bestFit="1" customWidth="1"/>
    <col min="37" max="37" width="14.19921875" customWidth="1"/>
  </cols>
  <sheetData>
    <row r="1" spans="1:38" x14ac:dyDescent="0.45">
      <c r="A1" t="s">
        <v>35</v>
      </c>
      <c r="B1" s="1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3"/>
      <c r="R1" s="7" t="s">
        <v>8</v>
      </c>
      <c r="S1" s="8" t="s">
        <v>9</v>
      </c>
      <c r="T1" s="8" t="s">
        <v>10</v>
      </c>
      <c r="U1" s="8" t="s">
        <v>11</v>
      </c>
      <c r="V1" s="8" t="s">
        <v>12</v>
      </c>
      <c r="W1" s="8" t="s">
        <v>13</v>
      </c>
      <c r="X1" s="8" t="s">
        <v>14</v>
      </c>
      <c r="Y1" s="9" t="s">
        <v>15</v>
      </c>
      <c r="AA1" s="16" t="s">
        <v>18</v>
      </c>
      <c r="AB1" s="17" t="s">
        <v>19</v>
      </c>
      <c r="AC1" s="17" t="s">
        <v>20</v>
      </c>
      <c r="AD1" s="17" t="s">
        <v>21</v>
      </c>
      <c r="AE1" s="17" t="s">
        <v>22</v>
      </c>
      <c r="AF1" s="17" t="s">
        <v>17</v>
      </c>
      <c r="AG1" s="17" t="s">
        <v>23</v>
      </c>
      <c r="AH1" s="17" t="s">
        <v>24</v>
      </c>
      <c r="AI1" s="18" t="s">
        <v>25</v>
      </c>
    </row>
    <row r="2" spans="1:38" x14ac:dyDescent="0.45">
      <c r="B2" s="4" t="str" cm="1">
        <f t="array" aca="1" ref="B2:C1029" ca="1">_xlfn.STOCKHISTORY("MSFT", "12/1/2020", "1/1/2025")</f>
        <v>Date</v>
      </c>
      <c r="C2" s="5" t="str">
        <f ca="1"/>
        <v>Close</v>
      </c>
      <c r="D2" s="5" t="str" cm="1">
        <f t="array" aca="1" ref="D2:E1029" ca="1">_xlfn.STOCKHISTORY("T", "12/1/2020", "1/1/2025")</f>
        <v>Date</v>
      </c>
      <c r="E2" s="5" t="str">
        <f ca="1"/>
        <v>Close</v>
      </c>
      <c r="F2" s="5" t="str" cm="1">
        <f t="array" aca="1" ref="F2:G1029" ca="1">_xlfn.STOCKHISTORY("V", "12/1/2020", "1/1/2025")</f>
        <v>Date</v>
      </c>
      <c r="G2" s="5" t="str">
        <f ca="1"/>
        <v>Close</v>
      </c>
      <c r="H2" s="5" t="str" cm="1">
        <f t="array" aca="1" ref="H2:I1029" ca="1">_xlfn.STOCKHISTORY("A", "12/1/2020", "1/1/2025")</f>
        <v>Date</v>
      </c>
      <c r="I2" s="5" t="str">
        <f ca="1"/>
        <v>Close</v>
      </c>
      <c r="J2" s="5" t="str" cm="1">
        <f t="array" aca="1" ref="J2:K1029" ca="1">_xlfn.STOCKHISTORY("X", "12/1/2020", "1/1/2025")</f>
        <v>Date</v>
      </c>
      <c r="K2" s="5" t="str">
        <f ca="1"/>
        <v>Close</v>
      </c>
      <c r="L2" s="5" t="str" cm="1">
        <f t="array" aca="1" ref="L2:M1029" ca="1">_xlfn.STOCKHISTORY("SPOT", "12/1/2020", "1/1/2025")</f>
        <v>Date</v>
      </c>
      <c r="M2" s="5" t="str">
        <f ca="1"/>
        <v>Close</v>
      </c>
      <c r="N2" s="5" t="str" cm="1">
        <f t="array" aca="1" ref="N2:O1029" ca="1">_xlfn.STOCKHISTORY("vxx", "12/1/2020", "1/1/2025")</f>
        <v>Date</v>
      </c>
      <c r="O2" s="5" t="str">
        <f ca="1"/>
        <v>Close</v>
      </c>
      <c r="P2" s="5" t="str" cm="1">
        <f t="array" aca="1" ref="P2:Q1029" ca="1">_xlfn.STOCKHISTORY("MSTR", "12/1/2020", "1/1/2025")</f>
        <v>Date</v>
      </c>
      <c r="Q2" s="6" t="str">
        <f ca="1"/>
        <v>Close</v>
      </c>
      <c r="R2" s="10" t="s">
        <v>16</v>
      </c>
      <c r="S2" s="11" t="s">
        <v>16</v>
      </c>
      <c r="T2" s="11" t="s">
        <v>16</v>
      </c>
      <c r="U2" s="11" t="s">
        <v>16</v>
      </c>
      <c r="V2" s="11" t="s">
        <v>16</v>
      </c>
      <c r="W2" s="11" t="s">
        <v>16</v>
      </c>
      <c r="X2" s="11" t="s">
        <v>16</v>
      </c>
      <c r="Y2" s="12" t="s">
        <v>16</v>
      </c>
      <c r="AA2" s="4" t="s">
        <v>26</v>
      </c>
      <c r="AB2" s="45">
        <f ca="1">_xlfn.STDEV.P(C3:C1029)</f>
        <v>69.203995435023714</v>
      </c>
      <c r="AC2" s="45">
        <f ca="1">_xlfn.STDEV.P(E$3:E$1029)</f>
        <v>2.4909337825270228</v>
      </c>
      <c r="AD2" s="45">
        <f ca="1">_xlfn.STDEV.P(G$3:G$1029)</f>
        <v>30.276328763519132</v>
      </c>
      <c r="AE2" s="45">
        <f ca="1">_xlfn.STDEV.P(I3:I1029)</f>
        <v>14.097134172981168</v>
      </c>
      <c r="AF2" s="45">
        <f ca="1">_xlfn.STDEV.P(K$3:K$1029)</f>
        <v>8.0805043241962</v>
      </c>
      <c r="AG2" s="45">
        <f ca="1">_xlfn.STDEV.P('Data Set'!M$3:M$1029)</f>
        <v>97.463053172281263</v>
      </c>
      <c r="AH2" s="45">
        <f ca="1">_xlfn.STDEV.P('Data Set'!O3:O$1029)</f>
        <v>275.42595998248731</v>
      </c>
      <c r="AI2" s="45">
        <f ca="1">_xlfn.STDEV.P('Data Set'!Q$3:Q$1029)</f>
        <v>73.81698726898658</v>
      </c>
    </row>
    <row r="3" spans="1:38" ht="14.65" thickBot="1" x14ac:dyDescent="0.5">
      <c r="B3" s="4" vm="1">
        <f ca="1"/>
        <v>44166</v>
      </c>
      <c r="C3" s="5" vm="2">
        <f ca="1"/>
        <v>216.21</v>
      </c>
      <c r="D3" s="5" vm="1">
        <f ca="1"/>
        <v>44166</v>
      </c>
      <c r="E3" s="5" vm="3">
        <f ca="1"/>
        <v>21.802</v>
      </c>
      <c r="F3" s="5" vm="1">
        <f ca="1"/>
        <v>44166</v>
      </c>
      <c r="G3" s="5" vm="4">
        <f ca="1"/>
        <v>211.2</v>
      </c>
      <c r="H3" s="5" vm="1">
        <f ca="1"/>
        <v>44166</v>
      </c>
      <c r="I3" s="5" vm="5">
        <f ca="1"/>
        <v>115.36</v>
      </c>
      <c r="J3" s="5" vm="1">
        <f ca="1"/>
        <v>44166</v>
      </c>
      <c r="K3" s="5" vm="6">
        <f ca="1"/>
        <v>15.06</v>
      </c>
      <c r="L3" s="5" vm="1">
        <f ca="1"/>
        <v>44166</v>
      </c>
      <c r="M3" s="5" vm="7">
        <f ca="1"/>
        <v>284.99</v>
      </c>
      <c r="N3" s="5" vm="1">
        <f ca="1"/>
        <v>44166</v>
      </c>
      <c r="O3" s="5" vm="8">
        <f ca="1"/>
        <v>1110.4000000000001</v>
      </c>
      <c r="P3" s="5" vm="1">
        <f ca="1"/>
        <v>44166</v>
      </c>
      <c r="Q3" s="6" vm="9">
        <f ca="1"/>
        <v>32.4</v>
      </c>
      <c r="R3" s="13"/>
      <c r="S3" s="14"/>
      <c r="T3" s="14"/>
      <c r="U3" s="14"/>
      <c r="V3" s="14"/>
      <c r="W3" s="14"/>
      <c r="X3" s="14"/>
      <c r="Y3" s="15"/>
      <c r="AA3" s="4" t="s">
        <v>27</v>
      </c>
      <c r="AB3" s="45">
        <f ca="1">_xlfn.STDEV.S(C3:C1029)</f>
        <v>69.237712365372474</v>
      </c>
      <c r="AC3" s="45">
        <f ca="1">_xlfn.STDEV.S(E$3:E$1029)</f>
        <v>2.4921473922372792</v>
      </c>
      <c r="AD3" s="45">
        <f ca="1">_xlfn.STDEV.S(G$3:G$1029)</f>
        <v>30.291079716288834</v>
      </c>
      <c r="AE3" s="45">
        <f ca="1">_xlfn.STDEV.S(I$3:I$1029)</f>
        <v>14.104002448259761</v>
      </c>
      <c r="AF3" s="45">
        <f ca="1">_xlfn.STDEV.S(K$3:K$1029)</f>
        <v>8.0844412327485067</v>
      </c>
      <c r="AG3" s="45">
        <f ca="1">_xlfn.STDEV.S(M$3:M$1029)</f>
        <v>97.510538219274991</v>
      </c>
      <c r="AH3" s="45">
        <f ca="1">_xlfn.STDEV.S('Data Set'!O$3:O$1029)</f>
        <v>275.56015047034271</v>
      </c>
      <c r="AI3" s="45">
        <f ca="1">_xlfn.STDEV.S('Data Set'!Q$3:Q$1029)</f>
        <v>73.852951698535179</v>
      </c>
    </row>
    <row r="4" spans="1:38" x14ac:dyDescent="0.45">
      <c r="B4" vm="10">
        <f ca="1"/>
        <v>44167</v>
      </c>
      <c r="C4" vm="11">
        <f ca="1"/>
        <v>215.37</v>
      </c>
      <c r="D4" vm="10">
        <f ca="1"/>
        <v>44167</v>
      </c>
      <c r="E4" vm="12">
        <f ca="1"/>
        <v>21.9682</v>
      </c>
      <c r="F4" vm="10">
        <f ca="1"/>
        <v>44167</v>
      </c>
      <c r="G4" vm="13">
        <f ca="1"/>
        <v>210.18</v>
      </c>
      <c r="H4" vm="10">
        <f ca="1"/>
        <v>44167</v>
      </c>
      <c r="I4" vm="14">
        <f ca="1"/>
        <v>114.57</v>
      </c>
      <c r="J4" vm="10">
        <f ca="1"/>
        <v>44167</v>
      </c>
      <c r="K4" vm="15">
        <f ca="1"/>
        <v>15.57</v>
      </c>
      <c r="L4" vm="10">
        <f ca="1"/>
        <v>44167</v>
      </c>
      <c r="M4" vm="16">
        <f ca="1"/>
        <v>320.89</v>
      </c>
      <c r="N4" vm="10">
        <f ca="1"/>
        <v>44167</v>
      </c>
      <c r="O4" vm="17">
        <f ca="1"/>
        <v>1104.6400000000001</v>
      </c>
      <c r="P4" vm="10">
        <f ca="1"/>
        <v>44167</v>
      </c>
      <c r="Q4" vm="18">
        <f ca="1"/>
        <v>32.131999999999998</v>
      </c>
      <c r="R4" s="29">
        <f ca="1">(C4-C3)/C3</f>
        <v>-3.8851116969613035E-3</v>
      </c>
      <c r="S4" s="30">
        <f ca="1">(E4-E3)/E3</f>
        <v>7.623153839097326E-3</v>
      </c>
      <c r="T4" s="30">
        <f ca="1">(G4-G3)/G3</f>
        <v>-4.8295454545453686E-3</v>
      </c>
      <c r="U4" s="30">
        <f ca="1">(I4-I3)/I3</f>
        <v>-6.8481276005548392E-3</v>
      </c>
      <c r="V4" s="30">
        <f ca="1">(K4-K3)/K3</f>
        <v>3.3864541832669307E-2</v>
      </c>
      <c r="W4" s="30">
        <f ca="1">(M4-M3)/M3</f>
        <v>0.12596933225727211</v>
      </c>
      <c r="X4" s="30">
        <f ca="1">(O4-O3)/O3</f>
        <v>-5.187319884726216E-3</v>
      </c>
      <c r="Y4" s="31">
        <f ca="1">(Q4-Q3)/Q3</f>
        <v>-8.2716049382716272E-3</v>
      </c>
      <c r="AA4" s="4" t="s">
        <v>28</v>
      </c>
      <c r="AB4" s="45">
        <f ca="1">_xlfn.VAR.P(C$3:C$1029)</f>
        <v>4789.1929841707824</v>
      </c>
      <c r="AC4" s="45">
        <f ca="1">_xlfn.VAR.P(E$3:E$1029)</f>
        <v>6.2047511089343823</v>
      </c>
      <c r="AD4" s="45">
        <f ca="1">_xlfn.VAR.P('[2]Data Set'!G$3:G$1029)</f>
        <v>916.65608339669586</v>
      </c>
      <c r="AE4" s="45">
        <f ca="1">_xlfn.VAR.P(I$3:I$1029)</f>
        <v>198.72919189103342</v>
      </c>
      <c r="AF4" s="45">
        <f ca="1">_xlfn.VAR.P(K$3:K$1029)</f>
        <v>65.294550133353496</v>
      </c>
      <c r="AG4" s="45">
        <f ca="1">_xlfn.VAR.P('Data Set'!M$3:M$1029)</f>
        <v>9499.0467336629245</v>
      </c>
      <c r="AH4" s="45">
        <f ca="1">_xlfn.VAR.P('Data Set'!O$3:O$1029)</f>
        <v>75859.4594322747</v>
      </c>
      <c r="AI4" s="45">
        <f ca="1">_xlfn.VAR.P('Data Set'!Q$3:Q$1029)</f>
        <v>5448.9476094697266</v>
      </c>
    </row>
    <row r="5" spans="1:38" ht="14.65" thickBot="1" x14ac:dyDescent="0.5">
      <c r="B5" vm="19">
        <f ca="1"/>
        <v>44168</v>
      </c>
      <c r="C5" vm="20">
        <f ca="1"/>
        <v>214.24</v>
      </c>
      <c r="D5" vm="19">
        <f ca="1"/>
        <v>44168</v>
      </c>
      <c r="E5" vm="21">
        <f ca="1"/>
        <v>22.073899999999998</v>
      </c>
      <c r="F5" vm="19">
        <f ca="1"/>
        <v>44168</v>
      </c>
      <c r="G5" vm="22">
        <f ca="1"/>
        <v>208.05</v>
      </c>
      <c r="H5" vm="19">
        <f ca="1"/>
        <v>44168</v>
      </c>
      <c r="I5" vm="23">
        <f ca="1"/>
        <v>113.58</v>
      </c>
      <c r="J5" vm="19">
        <f ca="1"/>
        <v>44168</v>
      </c>
      <c r="K5" vm="24">
        <f ca="1"/>
        <v>15.22</v>
      </c>
      <c r="L5" vm="19">
        <f ca="1"/>
        <v>44168</v>
      </c>
      <c r="M5" vm="25">
        <f ca="1"/>
        <v>316.43</v>
      </c>
      <c r="N5" vm="19">
        <f ca="1"/>
        <v>44168</v>
      </c>
      <c r="O5" vm="26">
        <f ca="1"/>
        <v>1114.8800000000001</v>
      </c>
      <c r="P5" vm="19">
        <f ca="1"/>
        <v>44168</v>
      </c>
      <c r="Q5" vm="27">
        <f ca="1"/>
        <v>33.159999999999997</v>
      </c>
      <c r="R5" s="29">
        <f t="shared" ref="R5:R68" ca="1" si="0">(C5-C4)/C4</f>
        <v>-5.2467846032409129E-3</v>
      </c>
      <c r="S5" s="30">
        <f t="shared" ref="S5:S68" ca="1" si="1">(E5-E4)/E4</f>
        <v>4.8115002594659008E-3</v>
      </c>
      <c r="T5" s="30">
        <f t="shared" ref="T5:T68" ca="1" si="2">(G5-G4)/G4</f>
        <v>-1.0134170710819276E-2</v>
      </c>
      <c r="U5" s="30">
        <f t="shared" ref="U5:U68" ca="1" si="3">(I5-I4)/I4</f>
        <v>-8.641005498821637E-3</v>
      </c>
      <c r="V5" s="30">
        <f t="shared" ref="V5:V68" ca="1" si="4">(K5-K4)/K4</f>
        <v>-2.2479126525369278E-2</v>
      </c>
      <c r="W5" s="30">
        <f ca="1">(M5-M4)/M4</f>
        <v>-1.3898843840568356E-2</v>
      </c>
      <c r="X5" s="30">
        <f t="shared" ref="X5:X68" ca="1" si="5">(O5-O4)/O4</f>
        <v>9.2699884125144912E-3</v>
      </c>
      <c r="Y5" s="31">
        <f t="shared" ref="Y5:Y68" ca="1" si="6">(Q5-Q4)/Q4</f>
        <v>3.1993028756379896E-2</v>
      </c>
      <c r="AA5" s="19" t="s">
        <v>29</v>
      </c>
      <c r="AB5" s="45">
        <f ca="1">_xlfn.VAR.S(C$3:C$1029)</f>
        <v>4793.8608135900531</v>
      </c>
      <c r="AC5" s="45">
        <f ca="1">_xlfn.VAR.S(E$3:E$1029)</f>
        <v>6.2107986246350722</v>
      </c>
      <c r="AD5" s="45">
        <f ca="1">_xlfn.VAR.S(G$3:G$1029)</f>
        <v>917.54951037856483</v>
      </c>
      <c r="AE5" s="45">
        <f ca="1">_xlfn.VAR.S(I$3:I$1029)</f>
        <v>198.92288506051733</v>
      </c>
      <c r="AF5" s="45">
        <f ca="1">_xlfn.VAR.S(K$3:K$1029)</f>
        <v>65.358190045764189</v>
      </c>
      <c r="AG5" s="45">
        <f ca="1">_xlfn.VAR.S('Data Set'!M$3:M$1029)</f>
        <v>9508.3050638126897</v>
      </c>
      <c r="AH5" s="45">
        <f ca="1">_xlfn.VAR.S('Data Set'!O$3:O$1029)</f>
        <v>75933.396527237914</v>
      </c>
      <c r="AI5" s="45">
        <f ca="1">_xlfn.VAR.S('Data Set'!Q$3:Q$1029)</f>
        <v>5454.2584745861695</v>
      </c>
    </row>
    <row r="6" spans="1:38" x14ac:dyDescent="0.45">
      <c r="B6" vm="28">
        <f ca="1"/>
        <v>44169</v>
      </c>
      <c r="C6" vm="29">
        <f ca="1"/>
        <v>214.36</v>
      </c>
      <c r="D6" vm="28">
        <f ca="1"/>
        <v>44169</v>
      </c>
      <c r="E6" vm="30">
        <f ca="1"/>
        <v>22.308</v>
      </c>
      <c r="F6" vm="28">
        <f ca="1"/>
        <v>44169</v>
      </c>
      <c r="G6" vm="31">
        <f ca="1"/>
        <v>212.68</v>
      </c>
      <c r="H6" vm="28">
        <f ca="1"/>
        <v>44169</v>
      </c>
      <c r="I6" vm="32">
        <f ca="1"/>
        <v>115.15</v>
      </c>
      <c r="J6" vm="28">
        <f ca="1"/>
        <v>44169</v>
      </c>
      <c r="K6" vm="33">
        <f ca="1"/>
        <v>16.690000000000001</v>
      </c>
      <c r="L6" vm="28">
        <f ca="1"/>
        <v>44169</v>
      </c>
      <c r="M6" vm="34">
        <f ca="1"/>
        <v>319.77</v>
      </c>
      <c r="N6" vm="28">
        <f ca="1"/>
        <v>44169</v>
      </c>
      <c r="O6" vm="35">
        <f ca="1"/>
        <v>1095.04</v>
      </c>
      <c r="P6" vm="28">
        <f ca="1"/>
        <v>44169</v>
      </c>
      <c r="Q6" vm="36">
        <f ca="1"/>
        <v>32.799999999999997</v>
      </c>
      <c r="R6" s="29">
        <f t="shared" ca="1" si="0"/>
        <v>5.6011949215834834E-4</v>
      </c>
      <c r="S6" s="30">
        <f t="shared" ca="1" si="1"/>
        <v>1.0605284974562789E-2</v>
      </c>
      <c r="T6" s="30">
        <f t="shared" ca="1" si="2"/>
        <v>2.2254265801490005E-2</v>
      </c>
      <c r="U6" s="30">
        <f t="shared" ca="1" si="3"/>
        <v>1.382285613664384E-2</v>
      </c>
      <c r="V6" s="30">
        <f t="shared" ca="1" si="4"/>
        <v>9.6583442838370601E-2</v>
      </c>
      <c r="W6" s="30">
        <f t="shared" ref="W6:W69" ca="1" si="7">(M6-M5)/M5</f>
        <v>1.0555257086875375E-2</v>
      </c>
      <c r="X6" s="30">
        <f t="shared" ca="1" si="5"/>
        <v>-1.7795637198622403E-2</v>
      </c>
      <c r="Y6" s="31">
        <f t="shared" ca="1" si="6"/>
        <v>-1.0856453558504207E-2</v>
      </c>
      <c r="AA6" s="20" t="s">
        <v>30</v>
      </c>
      <c r="AB6" s="17" t="s">
        <v>19</v>
      </c>
      <c r="AC6" s="17" t="s">
        <v>20</v>
      </c>
      <c r="AD6" s="17" t="s">
        <v>21</v>
      </c>
      <c r="AE6" s="17" t="s">
        <v>22</v>
      </c>
      <c r="AF6" s="17" t="s">
        <v>17</v>
      </c>
      <c r="AG6" s="17" t="s">
        <v>23</v>
      </c>
      <c r="AH6" s="17" t="s">
        <v>24</v>
      </c>
      <c r="AI6" s="18" t="s">
        <v>25</v>
      </c>
    </row>
    <row r="7" spans="1:38" x14ac:dyDescent="0.45">
      <c r="B7" vm="37">
        <f ca="1"/>
        <v>44172</v>
      </c>
      <c r="C7" vm="38">
        <f ca="1"/>
        <v>214.29</v>
      </c>
      <c r="D7" vm="37">
        <f ca="1"/>
        <v>44172</v>
      </c>
      <c r="E7" vm="39">
        <f ca="1"/>
        <v>22.383500000000002</v>
      </c>
      <c r="F7" vm="37">
        <f ca="1"/>
        <v>44172</v>
      </c>
      <c r="G7" vm="40">
        <f ca="1"/>
        <v>212.65</v>
      </c>
      <c r="H7" vm="37">
        <f ca="1"/>
        <v>44172</v>
      </c>
      <c r="I7" vm="41">
        <f ca="1"/>
        <v>114.4</v>
      </c>
      <c r="J7" vm="37">
        <f ca="1"/>
        <v>44172</v>
      </c>
      <c r="K7" vm="42">
        <f ca="1"/>
        <v>17.190000000000001</v>
      </c>
      <c r="L7" vm="37">
        <f ca="1"/>
        <v>44172</v>
      </c>
      <c r="M7" vm="43">
        <f ca="1"/>
        <v>342</v>
      </c>
      <c r="N7" vm="37">
        <f ca="1"/>
        <v>44172</v>
      </c>
      <c r="O7" vm="44">
        <f ca="1"/>
        <v>1101.44</v>
      </c>
      <c r="P7" vm="37">
        <f ca="1"/>
        <v>44172</v>
      </c>
      <c r="Q7" vm="45">
        <f ca="1"/>
        <v>33.622</v>
      </c>
      <c r="R7" s="29">
        <f t="shared" ca="1" si="0"/>
        <v>-3.2655346146679228E-4</v>
      </c>
      <c r="S7" s="30">
        <f t="shared" ca="1" si="1"/>
        <v>3.3844360767438441E-3</v>
      </c>
      <c r="T7" s="30">
        <f t="shared" ca="1" si="2"/>
        <v>-1.4105698702276254E-4</v>
      </c>
      <c r="U7" s="30">
        <f t="shared" ca="1" si="3"/>
        <v>-6.5132435953104643E-3</v>
      </c>
      <c r="V7" s="30">
        <f t="shared" ca="1" si="4"/>
        <v>2.9958058717795083E-2</v>
      </c>
      <c r="W7" s="30">
        <f t="shared" ca="1" si="7"/>
        <v>6.9518716577540163E-2</v>
      </c>
      <c r="X7" s="30">
        <f t="shared" ca="1" si="5"/>
        <v>5.8445353594390077E-3</v>
      </c>
      <c r="Y7" s="31">
        <f t="shared" ca="1" si="6"/>
        <v>2.5060975609756182E-2</v>
      </c>
      <c r="AA7" s="4" t="s">
        <v>26</v>
      </c>
      <c r="AB7" s="24">
        <f ca="1">_xlfn.STDEV.P(R4:R1029)</f>
        <v>1.6324526562568574E-2</v>
      </c>
      <c r="AC7" s="24"/>
      <c r="AD7" s="24"/>
      <c r="AE7" s="24"/>
      <c r="AF7" s="24"/>
      <c r="AG7" s="24"/>
      <c r="AH7" s="24"/>
      <c r="AI7" s="25"/>
    </row>
    <row r="8" spans="1:38" x14ac:dyDescent="0.45">
      <c r="B8" vm="46">
        <f ca="1"/>
        <v>44173</v>
      </c>
      <c r="C8" vm="47">
        <f ca="1"/>
        <v>216.01</v>
      </c>
      <c r="D8" vm="46">
        <f ca="1"/>
        <v>44173</v>
      </c>
      <c r="E8" vm="48">
        <f ca="1"/>
        <v>23.267099999999999</v>
      </c>
      <c r="F8" vm="46">
        <f ca="1"/>
        <v>44173</v>
      </c>
      <c r="G8" vm="49">
        <f ca="1"/>
        <v>212.77</v>
      </c>
      <c r="H8" vm="46">
        <f ca="1"/>
        <v>44173</v>
      </c>
      <c r="I8" vm="50">
        <f ca="1"/>
        <v>117.01</v>
      </c>
      <c r="J8" vm="46">
        <f ca="1"/>
        <v>44173</v>
      </c>
      <c r="K8" vm="51">
        <f ca="1"/>
        <v>19.47</v>
      </c>
      <c r="L8" vm="46">
        <f ca="1"/>
        <v>44173</v>
      </c>
      <c r="M8" vm="52">
        <f ca="1"/>
        <v>332.86</v>
      </c>
      <c r="N8" vm="46">
        <f ca="1"/>
        <v>44173</v>
      </c>
      <c r="O8" vm="53">
        <f ca="1"/>
        <v>1061.76</v>
      </c>
      <c r="P8" vm="46">
        <f ca="1"/>
        <v>44173</v>
      </c>
      <c r="Q8" vm="54">
        <f ca="1"/>
        <v>28.945</v>
      </c>
      <c r="R8" s="29">
        <f t="shared" ca="1" si="0"/>
        <v>8.0265061365439316E-3</v>
      </c>
      <c r="S8" s="30">
        <f t="shared" ca="1" si="1"/>
        <v>3.9475506511492738E-2</v>
      </c>
      <c r="T8" s="30">
        <f t="shared" ca="1" si="2"/>
        <v>5.6430754761347074E-4</v>
      </c>
      <c r="U8" s="30">
        <f t="shared" ca="1" si="3"/>
        <v>2.281468531468531E-2</v>
      </c>
      <c r="V8" s="30">
        <f t="shared" ca="1" si="4"/>
        <v>0.13263525305410107</v>
      </c>
      <c r="W8" s="30">
        <f t="shared" ca="1" si="7"/>
        <v>-2.6725146198830371E-2</v>
      </c>
      <c r="X8" s="30">
        <f t="shared" ca="1" si="5"/>
        <v>-3.6025566531086635E-2</v>
      </c>
      <c r="Y8" s="31">
        <f t="shared" ca="1" si="6"/>
        <v>-0.13910534768901314</v>
      </c>
      <c r="AA8" s="4" t="s">
        <v>27</v>
      </c>
      <c r="AB8" s="28">
        <f ca="1">_xlfn.STDEV.S(R4:R1029)</f>
        <v>1.6332487804964563E-2</v>
      </c>
      <c r="AC8" s="24"/>
      <c r="AD8" s="24"/>
      <c r="AE8" s="24"/>
      <c r="AF8" s="24"/>
      <c r="AG8" s="24"/>
      <c r="AH8" s="24"/>
      <c r="AI8" s="25"/>
    </row>
    <row r="9" spans="1:38" x14ac:dyDescent="0.45">
      <c r="B9" vm="55">
        <f ca="1"/>
        <v>44174</v>
      </c>
      <c r="C9" vm="56">
        <f ca="1"/>
        <v>211.8</v>
      </c>
      <c r="D9" vm="55">
        <f ca="1"/>
        <v>44174</v>
      </c>
      <c r="E9" vm="57">
        <f ca="1"/>
        <v>23.757999999999999</v>
      </c>
      <c r="F9" vm="55">
        <f ca="1"/>
        <v>44174</v>
      </c>
      <c r="G9" vm="58">
        <f ca="1"/>
        <v>209.58</v>
      </c>
      <c r="H9" vm="55">
        <f ca="1"/>
        <v>44174</v>
      </c>
      <c r="I9" vm="59">
        <f ca="1"/>
        <v>116.4</v>
      </c>
      <c r="J9" vm="55">
        <f ca="1"/>
        <v>44174</v>
      </c>
      <c r="K9" vm="60">
        <f ca="1"/>
        <v>18.25</v>
      </c>
      <c r="L9" vm="55">
        <f ca="1"/>
        <v>44174</v>
      </c>
      <c r="M9" vm="61">
        <f ca="1"/>
        <v>332.45</v>
      </c>
      <c r="N9" vm="55">
        <f ca="1"/>
        <v>44174</v>
      </c>
      <c r="O9" vm="62">
        <f ca="1"/>
        <v>1100.8</v>
      </c>
      <c r="P9" vm="55">
        <f ca="1"/>
        <v>44174</v>
      </c>
      <c r="Q9" vm="63">
        <f ca="1"/>
        <v>28.620999999999999</v>
      </c>
      <c r="R9" s="29">
        <f t="shared" ca="1" si="0"/>
        <v>-1.9489838433405769E-2</v>
      </c>
      <c r="S9" s="30">
        <f t="shared" ca="1" si="1"/>
        <v>2.1098460916917017E-2</v>
      </c>
      <c r="T9" s="30">
        <f t="shared" ca="1" si="2"/>
        <v>-1.4992715138412358E-2</v>
      </c>
      <c r="U9" s="30">
        <f t="shared" ca="1" si="3"/>
        <v>-5.2132296384924314E-3</v>
      </c>
      <c r="V9" s="30">
        <f t="shared" ca="1" si="4"/>
        <v>-6.2660503338469384E-2</v>
      </c>
      <c r="W9" s="30">
        <f t="shared" ca="1" si="7"/>
        <v>-1.2317490836989274E-3</v>
      </c>
      <c r="X9" s="30">
        <f t="shared" ca="1" si="5"/>
        <v>3.6769138034960784E-2</v>
      </c>
      <c r="Y9" s="31">
        <f t="shared" ca="1" si="6"/>
        <v>-1.1193643116255023E-2</v>
      </c>
      <c r="AA9" s="4" t="s">
        <v>28</v>
      </c>
      <c r="AB9" s="24">
        <f ca="1">_xlfn.VAR.P(R4:R1029)</f>
        <v>2.6649016749200695E-4</v>
      </c>
      <c r="AC9" s="24"/>
      <c r="AD9" s="24"/>
      <c r="AE9" s="24"/>
      <c r="AF9" s="24"/>
      <c r="AG9" s="24"/>
      <c r="AH9" s="24"/>
      <c r="AI9" s="25"/>
    </row>
    <row r="10" spans="1:38" ht="14.65" thickBot="1" x14ac:dyDescent="0.5">
      <c r="B10" vm="64">
        <f ca="1"/>
        <v>44175</v>
      </c>
      <c r="C10" vm="65">
        <f ca="1"/>
        <v>210.52</v>
      </c>
      <c r="D10" vm="64">
        <f ca="1"/>
        <v>44175</v>
      </c>
      <c r="E10" vm="66">
        <f ca="1"/>
        <v>23.176500000000001</v>
      </c>
      <c r="F10" vm="64">
        <f ca="1"/>
        <v>44175</v>
      </c>
      <c r="G10" vm="67">
        <f ca="1"/>
        <v>207.61</v>
      </c>
      <c r="H10" vm="64">
        <f ca="1"/>
        <v>44175</v>
      </c>
      <c r="I10" vm="68">
        <f ca="1"/>
        <v>118.81</v>
      </c>
      <c r="J10" vm="64">
        <f ca="1"/>
        <v>44175</v>
      </c>
      <c r="K10" vm="69">
        <f ca="1"/>
        <v>18.850000000000001</v>
      </c>
      <c r="L10" vm="64">
        <f ca="1"/>
        <v>44175</v>
      </c>
      <c r="M10" vm="70">
        <f ca="1"/>
        <v>343.3</v>
      </c>
      <c r="N10" vm="64">
        <f ca="1"/>
        <v>44175</v>
      </c>
      <c r="O10" vm="71">
        <f ca="1"/>
        <v>1111.04</v>
      </c>
      <c r="P10" vm="64">
        <f ca="1"/>
        <v>44175</v>
      </c>
      <c r="Q10" vm="72">
        <f ca="1"/>
        <v>29.033000000000001</v>
      </c>
      <c r="R10" s="29">
        <f t="shared" ca="1" si="0"/>
        <v>-6.0434372049102975E-3</v>
      </c>
      <c r="S10" s="30">
        <f t="shared" ca="1" si="1"/>
        <v>-2.4475965990403165E-2</v>
      </c>
      <c r="T10" s="30">
        <f t="shared" ca="1" si="2"/>
        <v>-9.399751884721818E-3</v>
      </c>
      <c r="U10" s="30">
        <f t="shared" ca="1" si="3"/>
        <v>2.0704467353951858E-2</v>
      </c>
      <c r="V10" s="30">
        <f t="shared" ca="1" si="4"/>
        <v>3.2876712328767203E-2</v>
      </c>
      <c r="W10" s="30">
        <f t="shared" ca="1" si="7"/>
        <v>3.263648668972785E-2</v>
      </c>
      <c r="X10" s="30">
        <f t="shared" ca="1" si="5"/>
        <v>9.3023255813953574E-3</v>
      </c>
      <c r="Y10" s="31">
        <f t="shared" ca="1" si="6"/>
        <v>1.4395024632263114E-2</v>
      </c>
      <c r="AA10" s="19" t="s">
        <v>29</v>
      </c>
      <c r="AB10" s="26">
        <f ca="1">_xlfn.VAR.S(R5:R1030)</f>
        <v>2.6698934474185044E-4</v>
      </c>
      <c r="AC10" s="26"/>
      <c r="AD10" s="26"/>
      <c r="AE10" s="26"/>
      <c r="AF10" s="26"/>
      <c r="AG10" s="26"/>
      <c r="AH10" s="26"/>
      <c r="AI10" s="27"/>
    </row>
    <row r="11" spans="1:38" x14ac:dyDescent="0.45">
      <c r="B11" vm="73">
        <f ca="1"/>
        <v>44176</v>
      </c>
      <c r="C11" vm="74">
        <f ca="1"/>
        <v>213.26</v>
      </c>
      <c r="D11" vm="73">
        <f ca="1"/>
        <v>44176</v>
      </c>
      <c r="E11" vm="75">
        <f ca="1"/>
        <v>23.418099999999999</v>
      </c>
      <c r="F11" vm="73">
        <f ca="1"/>
        <v>44176</v>
      </c>
      <c r="G11" vm="76">
        <f ca="1"/>
        <v>206.24</v>
      </c>
      <c r="H11" vm="73">
        <f ca="1"/>
        <v>44176</v>
      </c>
      <c r="I11" vm="77">
        <f ca="1"/>
        <v>118.48</v>
      </c>
      <c r="J11" vm="73">
        <f ca="1"/>
        <v>44176</v>
      </c>
      <c r="K11" vm="78">
        <f ca="1"/>
        <v>18.309999999999999</v>
      </c>
      <c r="L11" vm="73">
        <f ca="1"/>
        <v>44176</v>
      </c>
      <c r="M11" vm="79">
        <f ca="1"/>
        <v>341.22</v>
      </c>
      <c r="N11" vm="73">
        <f ca="1"/>
        <v>44176</v>
      </c>
      <c r="O11" vm="80">
        <f ca="1"/>
        <v>1152</v>
      </c>
      <c r="P11" vm="73">
        <f ca="1"/>
        <v>44176</v>
      </c>
      <c r="Q11" vm="81">
        <f ca="1"/>
        <v>28.591999999999999</v>
      </c>
      <c r="R11" s="29">
        <f t="shared" ca="1" si="0"/>
        <v>1.3015390461713759E-2</v>
      </c>
      <c r="S11" s="30">
        <f t="shared" ca="1" si="1"/>
        <v>1.042435225336001E-2</v>
      </c>
      <c r="T11" s="30">
        <f t="shared" ca="1" si="2"/>
        <v>-6.5989114204518303E-3</v>
      </c>
      <c r="U11" s="30">
        <f t="shared" ca="1" si="3"/>
        <v>-2.7775439777796337E-3</v>
      </c>
      <c r="V11" s="30">
        <f t="shared" ca="1" si="4"/>
        <v>-2.8647214854111546E-2</v>
      </c>
      <c r="W11" s="30">
        <f t="shared" ca="1" si="7"/>
        <v>-6.0588406641421035E-3</v>
      </c>
      <c r="X11" s="30">
        <f t="shared" ca="1" si="5"/>
        <v>3.6866359447004643E-2</v>
      </c>
      <c r="Y11" s="31">
        <f t="shared" ca="1" si="6"/>
        <v>-1.5189611821031325E-2</v>
      </c>
    </row>
    <row r="12" spans="1:38" x14ac:dyDescent="0.45">
      <c r="B12" vm="82">
        <f ca="1"/>
        <v>44179</v>
      </c>
      <c r="C12" vm="83">
        <f ca="1"/>
        <v>214.2</v>
      </c>
      <c r="D12" vm="82">
        <f ca="1"/>
        <v>44179</v>
      </c>
      <c r="E12" vm="84">
        <f ca="1"/>
        <v>23.070699999999999</v>
      </c>
      <c r="F12" vm="82">
        <f ca="1"/>
        <v>44179</v>
      </c>
      <c r="G12" vm="85">
        <f ca="1"/>
        <v>207.25</v>
      </c>
      <c r="H12" vm="82">
        <f ca="1"/>
        <v>44179</v>
      </c>
      <c r="I12" vm="86">
        <f ca="1"/>
        <v>116.74</v>
      </c>
      <c r="J12" vm="82">
        <f ca="1"/>
        <v>44179</v>
      </c>
      <c r="K12" vm="87">
        <f ca="1"/>
        <v>17.260000000000002</v>
      </c>
      <c r="L12" vm="82">
        <f ca="1"/>
        <v>44179</v>
      </c>
      <c r="M12" vm="88">
        <f ca="1"/>
        <v>320.33999999999997</v>
      </c>
      <c r="N12" vm="82">
        <f ca="1"/>
        <v>44179</v>
      </c>
      <c r="O12" vm="89">
        <f ca="1"/>
        <v>1178.24</v>
      </c>
      <c r="P12" vm="82">
        <f ca="1"/>
        <v>44179</v>
      </c>
      <c r="Q12" vm="90">
        <f ca="1"/>
        <v>27.952999999999999</v>
      </c>
      <c r="R12" s="29">
        <f t="shared" ca="1" si="0"/>
        <v>4.4077651692769285E-3</v>
      </c>
      <c r="S12" s="30">
        <f t="shared" ca="1" si="1"/>
        <v>-1.4834679158428753E-2</v>
      </c>
      <c r="T12" s="30">
        <f t="shared" ca="1" si="2"/>
        <v>4.8972071373157046E-3</v>
      </c>
      <c r="U12" s="30">
        <f t="shared" ca="1" si="3"/>
        <v>-1.4686022957461251E-2</v>
      </c>
      <c r="V12" s="30">
        <f t="shared" ca="1" si="4"/>
        <v>-5.7345712725286574E-2</v>
      </c>
      <c r="W12" s="30">
        <f t="shared" ca="1" si="7"/>
        <v>-6.1192192720239291E-2</v>
      </c>
      <c r="X12" s="30">
        <f t="shared" ca="1" si="5"/>
        <v>2.2777777777777786E-2</v>
      </c>
      <c r="Y12" s="31">
        <f t="shared" ca="1" si="6"/>
        <v>-2.2348908785674294E-2</v>
      </c>
    </row>
    <row r="13" spans="1:38" x14ac:dyDescent="0.45">
      <c r="B13" vm="91">
        <f ca="1"/>
        <v>44180</v>
      </c>
      <c r="C13" vm="92">
        <f ca="1"/>
        <v>214.13</v>
      </c>
      <c r="D13" vm="91">
        <f ca="1"/>
        <v>44180</v>
      </c>
      <c r="E13" vm="93">
        <f ca="1"/>
        <v>23.093399999999999</v>
      </c>
      <c r="F13" vm="91">
        <f ca="1"/>
        <v>44180</v>
      </c>
      <c r="G13" vm="94">
        <f ca="1"/>
        <v>208.36</v>
      </c>
      <c r="H13" vm="91">
        <f ca="1"/>
        <v>44180</v>
      </c>
      <c r="I13" vm="95">
        <f ca="1"/>
        <v>117.39</v>
      </c>
      <c r="J13" vm="91">
        <f ca="1"/>
        <v>44180</v>
      </c>
      <c r="K13" vm="96">
        <f ca="1"/>
        <v>17.920000000000002</v>
      </c>
      <c r="L13" vm="91">
        <f ca="1"/>
        <v>44180</v>
      </c>
      <c r="M13" vm="97">
        <f ca="1"/>
        <v>326.97000000000003</v>
      </c>
      <c r="N13" vm="91">
        <f ca="1"/>
        <v>44180</v>
      </c>
      <c r="O13" vm="98">
        <f ca="1"/>
        <v>1123.8399999999999</v>
      </c>
      <c r="P13" vm="91">
        <f ca="1"/>
        <v>44180</v>
      </c>
      <c r="Q13" vm="99">
        <f ca="1"/>
        <v>28.579000000000001</v>
      </c>
      <c r="R13" s="29">
        <f t="shared" ca="1" si="0"/>
        <v>-3.2679738562088319E-4</v>
      </c>
      <c r="S13" s="30">
        <f t="shared" ca="1" si="1"/>
        <v>9.8393200032943903E-4</v>
      </c>
      <c r="T13" s="30">
        <f t="shared" ca="1" si="2"/>
        <v>5.3558504221954822E-3</v>
      </c>
      <c r="U13" s="30">
        <f t="shared" ca="1" si="3"/>
        <v>5.567928730512298E-3</v>
      </c>
      <c r="V13" s="30">
        <f t="shared" ca="1" si="4"/>
        <v>3.8238702201622253E-2</v>
      </c>
      <c r="W13" s="30">
        <f t="shared" ca="1" si="7"/>
        <v>2.0696759692826538E-2</v>
      </c>
      <c r="X13" s="30">
        <f t="shared" ca="1" si="5"/>
        <v>-4.6170559478544343E-2</v>
      </c>
      <c r="Y13" s="31">
        <f t="shared" ca="1" si="6"/>
        <v>2.2394734017815662E-2</v>
      </c>
      <c r="AA13" s="5" t="s">
        <v>48</v>
      </c>
      <c r="AB13" s="5" t="s">
        <v>19</v>
      </c>
      <c r="AC13" s="5" t="s">
        <v>20</v>
      </c>
      <c r="AD13" s="5" t="s">
        <v>21</v>
      </c>
      <c r="AE13" s="5" t="s">
        <v>22</v>
      </c>
      <c r="AF13" s="5" t="s">
        <v>17</v>
      </c>
      <c r="AG13" s="5" t="s">
        <v>23</v>
      </c>
      <c r="AH13" s="5" t="s">
        <v>24</v>
      </c>
      <c r="AI13" s="5" t="s">
        <v>25</v>
      </c>
    </row>
    <row r="14" spans="1:38" x14ac:dyDescent="0.45">
      <c r="B14" vm="100">
        <f ca="1"/>
        <v>44181</v>
      </c>
      <c r="C14" vm="101">
        <f ca="1"/>
        <v>219.28</v>
      </c>
      <c r="D14" vm="100">
        <f ca="1"/>
        <v>44181</v>
      </c>
      <c r="E14" vm="102">
        <f ca="1"/>
        <v>22.874400000000001</v>
      </c>
      <c r="F14" vm="100">
        <f ca="1"/>
        <v>44181</v>
      </c>
      <c r="G14" vm="103">
        <f ca="1"/>
        <v>208.27</v>
      </c>
      <c r="H14" vm="100">
        <f ca="1"/>
        <v>44181</v>
      </c>
      <c r="I14" vm="104">
        <f ca="1"/>
        <v>117.24</v>
      </c>
      <c r="J14" vm="100">
        <f ca="1"/>
        <v>44181</v>
      </c>
      <c r="K14" vm="105">
        <f ca="1"/>
        <v>18.37</v>
      </c>
      <c r="L14" vm="100">
        <f ca="1"/>
        <v>44181</v>
      </c>
      <c r="M14" vm="106">
        <f ca="1"/>
        <v>318.52999999999997</v>
      </c>
      <c r="N14" vm="100">
        <f ca="1"/>
        <v>44181</v>
      </c>
      <c r="O14" vm="107">
        <f ca="1"/>
        <v>1087.3599999999999</v>
      </c>
      <c r="P14" vm="100">
        <f ca="1"/>
        <v>44181</v>
      </c>
      <c r="Q14" vm="108">
        <f ca="1"/>
        <v>29.911999999999999</v>
      </c>
      <c r="R14" s="29">
        <f t="shared" ca="1" si="0"/>
        <v>2.4050810255452321E-2</v>
      </c>
      <c r="S14" s="30">
        <f t="shared" ca="1" si="1"/>
        <v>-9.4832289745120958E-3</v>
      </c>
      <c r="T14" s="30">
        <f t="shared" ca="1" si="2"/>
        <v>-4.3194471107699847E-4</v>
      </c>
      <c r="U14" s="30">
        <f t="shared" ca="1" si="3"/>
        <v>-1.2777919754664426E-3</v>
      </c>
      <c r="V14" s="30">
        <f t="shared" ca="1" si="4"/>
        <v>2.5111607142857102E-2</v>
      </c>
      <c r="W14" s="30">
        <f t="shared" ca="1" si="7"/>
        <v>-2.5812765697158926E-2</v>
      </c>
      <c r="X14" s="30">
        <f t="shared" ca="1" si="5"/>
        <v>-3.2460136674259697E-2</v>
      </c>
      <c r="Y14" s="31">
        <f t="shared" ca="1" si="6"/>
        <v>4.6642639700479313E-2</v>
      </c>
      <c r="AA14" s="5" t="s">
        <v>31</v>
      </c>
      <c r="AB14" s="35">
        <f>1/8</f>
        <v>0.125</v>
      </c>
      <c r="AC14" s="35">
        <f t="shared" ref="AC14:AI14" si="8">1/8</f>
        <v>0.125</v>
      </c>
      <c r="AD14" s="35">
        <f t="shared" si="8"/>
        <v>0.125</v>
      </c>
      <c r="AE14" s="35">
        <f t="shared" si="8"/>
        <v>0.125</v>
      </c>
      <c r="AF14" s="35">
        <f t="shared" si="8"/>
        <v>0.125</v>
      </c>
      <c r="AG14" s="35">
        <f t="shared" si="8"/>
        <v>0.125</v>
      </c>
      <c r="AH14" s="35">
        <f t="shared" si="8"/>
        <v>0.125</v>
      </c>
      <c r="AI14" s="35">
        <f t="shared" si="8"/>
        <v>0.125</v>
      </c>
      <c r="AK14" s="5" t="s">
        <v>49</v>
      </c>
    </row>
    <row r="15" spans="1:38" x14ac:dyDescent="0.45">
      <c r="B15" vm="109">
        <f ca="1"/>
        <v>44182</v>
      </c>
      <c r="C15" vm="110">
        <f ca="1"/>
        <v>219.42</v>
      </c>
      <c r="D15" vm="109">
        <f ca="1"/>
        <v>44182</v>
      </c>
      <c r="E15" vm="111">
        <f ca="1"/>
        <v>22.368400000000001</v>
      </c>
      <c r="F15" vm="109">
        <f ca="1"/>
        <v>44182</v>
      </c>
      <c r="G15" vm="112">
        <f ca="1"/>
        <v>211.18</v>
      </c>
      <c r="H15" vm="109">
        <f ca="1"/>
        <v>44182</v>
      </c>
      <c r="I15" vm="113">
        <f ca="1"/>
        <v>118.97</v>
      </c>
      <c r="J15" vm="109">
        <f ca="1"/>
        <v>44182</v>
      </c>
      <c r="K15" vm="114">
        <f ca="1"/>
        <v>18.559999999999999</v>
      </c>
      <c r="L15" vm="109">
        <f ca="1"/>
        <v>44182</v>
      </c>
      <c r="M15" vm="115">
        <f ca="1"/>
        <v>328.06</v>
      </c>
      <c r="N15" vm="109">
        <f ca="1"/>
        <v>44182</v>
      </c>
      <c r="O15" vm="116">
        <f ca="1"/>
        <v>1072</v>
      </c>
      <c r="P15" vm="109">
        <f ca="1"/>
        <v>44182</v>
      </c>
      <c r="Q15" vm="117">
        <f ca="1"/>
        <v>29.78</v>
      </c>
      <c r="R15" s="29">
        <f t="shared" ca="1" si="0"/>
        <v>6.3845311929946352E-4</v>
      </c>
      <c r="S15" s="30">
        <f t="shared" ca="1" si="1"/>
        <v>-2.2120798796908342E-2</v>
      </c>
      <c r="T15" s="30">
        <f t="shared" ca="1" si="2"/>
        <v>1.3972247563259214E-2</v>
      </c>
      <c r="U15" s="30">
        <f t="shared" ca="1" si="3"/>
        <v>1.4756055953599488E-2</v>
      </c>
      <c r="V15" s="30">
        <f t="shared" ca="1" si="4"/>
        <v>1.0342950462710818E-2</v>
      </c>
      <c r="W15" s="30">
        <f t="shared" ca="1" si="7"/>
        <v>2.9918688977490442E-2</v>
      </c>
      <c r="X15" s="30">
        <f t="shared" ca="1" si="5"/>
        <v>-1.4125956444967537E-2</v>
      </c>
      <c r="Y15" s="31">
        <f t="shared" ca="1" si="6"/>
        <v>-4.4129446376035674E-3</v>
      </c>
      <c r="AA15" s="5" t="s">
        <v>34</v>
      </c>
      <c r="AB15" s="40">
        <f ca="1">AVERAGE(R$4:$R$1029)</f>
        <v>7.8410251191999452E-4</v>
      </c>
      <c r="AC15" s="40">
        <f ca="1">AVERAGE(S4:S1027)</f>
        <v>1.6139016888478823E-4</v>
      </c>
      <c r="AD15" s="40">
        <f t="shared" ref="AD15:AI15" ca="1" si="9">AVERAGE(T4:T1027)</f>
        <v>5.0331466270356882E-4</v>
      </c>
      <c r="AE15" s="40">
        <f t="shared" ca="1" si="9"/>
        <v>3.0714660223758131E-4</v>
      </c>
      <c r="AF15" s="40">
        <f t="shared" ca="1" si="9"/>
        <v>1.3219526892523437E-3</v>
      </c>
      <c r="AG15" s="40">
        <f t="shared" ca="1" si="9"/>
        <v>9.3056498107166622E-4</v>
      </c>
      <c r="AH15" s="40">
        <f t="shared" ca="1" si="9"/>
        <v>-2.254546838407416E-3</v>
      </c>
      <c r="AI15" s="40">
        <f t="shared" ca="1" si="9"/>
        <v>4.1832642617598576E-3</v>
      </c>
      <c r="AK15" s="5" t="s">
        <v>50</v>
      </c>
      <c r="AL15" s="46" t="e" vm="118">
        <f>SUM(AB36:AI36)</f>
        <v>#VALUE!</v>
      </c>
    </row>
    <row r="16" spans="1:38" x14ac:dyDescent="0.45">
      <c r="B16" vm="119">
        <f ca="1"/>
        <v>44183</v>
      </c>
      <c r="C16" vm="120">
        <f ca="1"/>
        <v>218.59</v>
      </c>
      <c r="D16" vm="119">
        <f ca="1"/>
        <v>44183</v>
      </c>
      <c r="E16" vm="121">
        <f ca="1"/>
        <v>22.202300000000001</v>
      </c>
      <c r="F16" vm="119">
        <f ca="1"/>
        <v>44183</v>
      </c>
      <c r="G16" vm="122">
        <f ca="1"/>
        <v>211.31</v>
      </c>
      <c r="H16" vm="119">
        <f ca="1"/>
        <v>44183</v>
      </c>
      <c r="I16" vm="123">
        <f ca="1"/>
        <v>119.3</v>
      </c>
      <c r="J16" vm="119">
        <f ca="1"/>
        <v>44183</v>
      </c>
      <c r="K16" vm="124">
        <f ca="1"/>
        <v>16.87</v>
      </c>
      <c r="L16" vm="119">
        <f ca="1"/>
        <v>44183</v>
      </c>
      <c r="M16" vm="125">
        <f ca="1"/>
        <v>336.1</v>
      </c>
      <c r="N16" vm="119">
        <f ca="1"/>
        <v>44183</v>
      </c>
      <c r="O16" vm="126">
        <f ca="1"/>
        <v>1093.1199999999999</v>
      </c>
      <c r="P16" vm="119">
        <f ca="1"/>
        <v>44183</v>
      </c>
      <c r="Q16" vm="127">
        <f ca="1"/>
        <v>30.12</v>
      </c>
      <c r="R16" s="29">
        <f t="shared" ca="1" si="0"/>
        <v>-3.7826998450459582E-3</v>
      </c>
      <c r="S16" s="30">
        <f t="shared" ca="1" si="1"/>
        <v>-7.4256540476744038E-3</v>
      </c>
      <c r="T16" s="30">
        <f t="shared" ca="1" si="2"/>
        <v>6.1558859740503573E-4</v>
      </c>
      <c r="U16" s="30">
        <f t="shared" ca="1" si="3"/>
        <v>2.7738085231570841E-3</v>
      </c>
      <c r="V16" s="30">
        <f t="shared" ca="1" si="4"/>
        <v>-9.1056034482758508E-2</v>
      </c>
      <c r="W16" s="30">
        <f t="shared" ca="1" si="7"/>
        <v>2.4507712003901786E-2</v>
      </c>
      <c r="X16" s="30">
        <f t="shared" ca="1" si="5"/>
        <v>1.970149253731333E-2</v>
      </c>
      <c r="Y16" s="31">
        <f t="shared" ca="1" si="6"/>
        <v>1.1417058428475482E-2</v>
      </c>
      <c r="AA16" s="5" t="s">
        <v>32</v>
      </c>
      <c r="AB16" s="41">
        <f ca="1">SUM(R$4:R$1029)</f>
        <v>0.80448917722991442</v>
      </c>
      <c r="AC16" s="41">
        <f ca="1">SUM(S$4:S$1029)</f>
        <v>0.16140391477109897</v>
      </c>
      <c r="AD16" s="41">
        <f t="shared" ref="AD16:AI16" ca="1" si="10">SUM(T$4:T$1029)</f>
        <v>0.5071966242592203</v>
      </c>
      <c r="AE16" s="41">
        <f t="shared" ca="1" si="10"/>
        <v>0.30565972783695933</v>
      </c>
      <c r="AF16" s="41">
        <f t="shared" ca="1" si="10"/>
        <v>1.4455386761842972</v>
      </c>
      <c r="AG16" s="41">
        <f t="shared" ca="1" si="10"/>
        <v>0.93286309569594361</v>
      </c>
      <c r="AH16" s="41">
        <f t="shared" ca="1" si="10"/>
        <v>-2.277967760222988</v>
      </c>
      <c r="AI16" s="41">
        <f ca="1">SUM(Y$4:Y$1029)</f>
        <v>4.1576909946287097</v>
      </c>
    </row>
    <row r="17" spans="2:45" x14ac:dyDescent="0.45">
      <c r="B17" vm="128">
        <f ca="1"/>
        <v>44186</v>
      </c>
      <c r="C17" vm="129">
        <f ca="1"/>
        <v>222.59</v>
      </c>
      <c r="D17" vm="128">
        <f ca="1"/>
        <v>44186</v>
      </c>
      <c r="E17" vm="130">
        <f ca="1"/>
        <v>21.907800000000002</v>
      </c>
      <c r="F17" vm="128">
        <f ca="1"/>
        <v>44186</v>
      </c>
      <c r="G17" vm="131">
        <f ca="1"/>
        <v>209.01</v>
      </c>
      <c r="H17" vm="128">
        <f ca="1"/>
        <v>44186</v>
      </c>
      <c r="I17" vm="132">
        <f ca="1"/>
        <v>117.78</v>
      </c>
      <c r="J17" vm="128">
        <f ca="1"/>
        <v>44186</v>
      </c>
      <c r="K17" vm="133">
        <f ca="1"/>
        <v>17.38</v>
      </c>
      <c r="L17" vm="128">
        <f ca="1"/>
        <v>44186</v>
      </c>
      <c r="M17" vm="134">
        <f ca="1"/>
        <v>325.57</v>
      </c>
      <c r="N17" vm="128">
        <f ca="1"/>
        <v>44186</v>
      </c>
      <c r="O17" vm="135">
        <f ca="1"/>
        <v>1180.1600000000001</v>
      </c>
      <c r="P17" vm="128">
        <f ca="1"/>
        <v>44186</v>
      </c>
      <c r="Q17" vm="136">
        <f ca="1"/>
        <v>31.76</v>
      </c>
      <c r="R17" s="29">
        <f t="shared" ca="1" si="0"/>
        <v>1.8299098769385607E-2</v>
      </c>
      <c r="S17" s="30">
        <f t="shared" ca="1" si="1"/>
        <v>-1.3264391527003927E-2</v>
      </c>
      <c r="T17" s="30">
        <f t="shared" ca="1" si="2"/>
        <v>-1.0884482513842275E-2</v>
      </c>
      <c r="U17" s="30">
        <f t="shared" ca="1" si="3"/>
        <v>-1.2740989103101391E-2</v>
      </c>
      <c r="V17" s="30">
        <f t="shared" ca="1" si="4"/>
        <v>3.0231179608772848E-2</v>
      </c>
      <c r="W17" s="30">
        <f t="shared" ca="1" si="7"/>
        <v>-3.1329961321035493E-2</v>
      </c>
      <c r="X17" s="30">
        <f t="shared" ca="1" si="5"/>
        <v>7.9625292740047024E-2</v>
      </c>
      <c r="Y17" s="31">
        <f t="shared" ca="1" si="6"/>
        <v>5.4448871181938925E-2</v>
      </c>
      <c r="AA17" s="5" t="s">
        <v>33</v>
      </c>
      <c r="AB17" s="42">
        <f ca="1">$C$1029/$C$3</f>
        <v>1.9494935479395032</v>
      </c>
      <c r="AC17" s="42">
        <f ca="1">E$1029/$E$3</f>
        <v>1.0443995963673058</v>
      </c>
      <c r="AD17" s="42">
        <f ca="1">$G$1029/$G$3</f>
        <v>1.4964015151515153</v>
      </c>
      <c r="AE17" s="42">
        <f ca="1">$I$1029/$I$3</f>
        <v>1.1645284327323162</v>
      </c>
      <c r="AF17" s="42">
        <f ca="1">$K$1029/$K$3</f>
        <v>2.2569721115537851</v>
      </c>
      <c r="AG17" s="42">
        <f ca="1">$M$1029/$M$3</f>
        <v>1.5698094669988421</v>
      </c>
      <c r="AH17" s="42">
        <f ca="1">$O$1029/$O$3</f>
        <v>4.1246397694524491E-2</v>
      </c>
      <c r="AI17" s="42">
        <f ca="1">Q$1029/$Q$3</f>
        <v>8.93888888888889</v>
      </c>
    </row>
    <row r="18" spans="2:45" x14ac:dyDescent="0.45">
      <c r="B18" vm="137">
        <f ca="1"/>
        <v>44187</v>
      </c>
      <c r="C18" vm="138">
        <f ca="1"/>
        <v>223.94</v>
      </c>
      <c r="D18" vm="137">
        <f ca="1"/>
        <v>44187</v>
      </c>
      <c r="E18" vm="139">
        <f ca="1"/>
        <v>21.447099999999999</v>
      </c>
      <c r="F18" vm="137">
        <f ca="1"/>
        <v>44187</v>
      </c>
      <c r="G18" vm="140">
        <f ca="1"/>
        <v>205.84</v>
      </c>
      <c r="H18" vm="137">
        <f ca="1"/>
        <v>44187</v>
      </c>
      <c r="I18" vm="141">
        <f ca="1"/>
        <v>117.37</v>
      </c>
      <c r="J18" vm="137">
        <f ca="1"/>
        <v>44187</v>
      </c>
      <c r="K18" vm="142">
        <f ca="1"/>
        <v>16.88</v>
      </c>
      <c r="L18" vm="137">
        <f ca="1"/>
        <v>44187</v>
      </c>
      <c r="M18" vm="143">
        <f ca="1"/>
        <v>321.95999999999998</v>
      </c>
      <c r="N18" vm="137">
        <f ca="1"/>
        <v>44187</v>
      </c>
      <c r="O18" vm="144">
        <f ca="1"/>
        <v>1159.04</v>
      </c>
      <c r="P18" vm="137">
        <f ca="1"/>
        <v>44187</v>
      </c>
      <c r="Q18" vm="145">
        <f ca="1"/>
        <v>33.15</v>
      </c>
      <c r="R18" s="29">
        <f t="shared" ca="1" si="0"/>
        <v>6.0649624870838508E-3</v>
      </c>
      <c r="S18" s="30">
        <f t="shared" ca="1" si="1"/>
        <v>-2.1029039885337768E-2</v>
      </c>
      <c r="T18" s="30">
        <f t="shared" ca="1" si="2"/>
        <v>-1.5166738433567712E-2</v>
      </c>
      <c r="U18" s="30">
        <f t="shared" ca="1" si="3"/>
        <v>-3.4810663949736507E-3</v>
      </c>
      <c r="V18" s="30">
        <f t="shared" ca="1" si="4"/>
        <v>-2.8768699654775607E-2</v>
      </c>
      <c r="W18" s="30">
        <f t="shared" ca="1" si="7"/>
        <v>-1.1088245231440285E-2</v>
      </c>
      <c r="X18" s="30">
        <f t="shared" ca="1" si="5"/>
        <v>-1.7895878524945869E-2</v>
      </c>
      <c r="Y18" s="31">
        <f t="shared" ca="1" si="6"/>
        <v>4.3765743073047765E-2</v>
      </c>
    </row>
    <row r="19" spans="2:45" x14ac:dyDescent="0.45">
      <c r="B19" vm="146">
        <f ca="1"/>
        <v>44188</v>
      </c>
      <c r="C19" vm="147">
        <f ca="1"/>
        <v>221.02</v>
      </c>
      <c r="D19" vm="146">
        <f ca="1"/>
        <v>44188</v>
      </c>
      <c r="E19" vm="148">
        <f ca="1"/>
        <v>21.711400000000001</v>
      </c>
      <c r="F19" vm="146">
        <f ca="1"/>
        <v>44188</v>
      </c>
      <c r="G19" vm="149">
        <f ca="1"/>
        <v>205.3</v>
      </c>
      <c r="H19" vm="146">
        <f ca="1"/>
        <v>44188</v>
      </c>
      <c r="I19" vm="150">
        <f ca="1"/>
        <v>117.3</v>
      </c>
      <c r="J19" vm="146">
        <f ca="1"/>
        <v>44188</v>
      </c>
      <c r="K19" vm="124">
        <f ca="1"/>
        <v>16.87</v>
      </c>
      <c r="L19" vm="146">
        <f ca="1"/>
        <v>44188</v>
      </c>
      <c r="M19" vm="151">
        <f ca="1"/>
        <v>330.79</v>
      </c>
      <c r="N19" vm="146">
        <f ca="1"/>
        <v>44188</v>
      </c>
      <c r="O19" vm="152">
        <f ca="1"/>
        <v>1112.32</v>
      </c>
      <c r="P19" vm="146">
        <f ca="1"/>
        <v>44188</v>
      </c>
      <c r="Q19" vm="153">
        <f ca="1"/>
        <v>33.718000000000004</v>
      </c>
      <c r="R19" s="29">
        <f t="shared" ca="1" si="0"/>
        <v>-1.3039206930427738E-2</v>
      </c>
      <c r="S19" s="30">
        <f t="shared" ca="1" si="1"/>
        <v>1.2323344414862719E-2</v>
      </c>
      <c r="T19" s="30">
        <f t="shared" ca="1" si="2"/>
        <v>-2.6233968130586478E-3</v>
      </c>
      <c r="U19" s="30">
        <f t="shared" ca="1" si="3"/>
        <v>-5.964045326745113E-4</v>
      </c>
      <c r="V19" s="30">
        <f t="shared" ca="1" si="4"/>
        <v>-5.924170616112566E-4</v>
      </c>
      <c r="W19" s="30">
        <f t="shared" ca="1" si="7"/>
        <v>2.7425767176046844E-2</v>
      </c>
      <c r="X19" s="30">
        <f t="shared" ca="1" si="5"/>
        <v>-4.0309221424627305E-2</v>
      </c>
      <c r="Y19" s="31">
        <f t="shared" ca="1" si="6"/>
        <v>1.7134238310709048E-2</v>
      </c>
    </row>
    <row r="20" spans="2:45" x14ac:dyDescent="0.45">
      <c r="B20" vm="154">
        <f ca="1"/>
        <v>44189</v>
      </c>
      <c r="C20" vm="155">
        <f ca="1"/>
        <v>222.75</v>
      </c>
      <c r="D20" vm="154">
        <f ca="1"/>
        <v>44189</v>
      </c>
      <c r="E20" vm="156">
        <f ca="1"/>
        <v>21.6661</v>
      </c>
      <c r="F20" vm="154">
        <f ca="1"/>
        <v>44189</v>
      </c>
      <c r="G20" vm="157">
        <f ca="1"/>
        <v>208.7</v>
      </c>
      <c r="H20" vm="154">
        <f ca="1"/>
        <v>44189</v>
      </c>
      <c r="I20" vm="158">
        <f ca="1"/>
        <v>117.31</v>
      </c>
      <c r="J20" vm="154">
        <f ca="1"/>
        <v>44189</v>
      </c>
      <c r="K20" vm="159">
        <f ca="1"/>
        <v>16.79</v>
      </c>
      <c r="L20" vm="154">
        <f ca="1"/>
        <v>44189</v>
      </c>
      <c r="M20" vm="160">
        <f ca="1"/>
        <v>328.39</v>
      </c>
      <c r="N20" vm="154">
        <f ca="1"/>
        <v>44189</v>
      </c>
      <c r="O20" vm="161">
        <f ca="1"/>
        <v>1080.32</v>
      </c>
      <c r="P20" vm="154">
        <f ca="1"/>
        <v>44189</v>
      </c>
      <c r="Q20" vm="162">
        <f ca="1"/>
        <v>32.261000000000003</v>
      </c>
      <c r="R20" s="29">
        <f t="shared" ca="1" si="0"/>
        <v>7.8273459415437053E-3</v>
      </c>
      <c r="S20" s="30">
        <f t="shared" ca="1" si="1"/>
        <v>-2.0864614902770437E-3</v>
      </c>
      <c r="T20" s="30">
        <f t="shared" ca="1" si="2"/>
        <v>1.6561130053580016E-2</v>
      </c>
      <c r="U20" s="30">
        <f t="shared" ca="1" si="3"/>
        <v>8.5251491901151892E-5</v>
      </c>
      <c r="V20" s="30">
        <f t="shared" ca="1" si="4"/>
        <v>-4.7421458209841042E-3</v>
      </c>
      <c r="W20" s="30">
        <f t="shared" ca="1" si="7"/>
        <v>-7.255358384473636E-3</v>
      </c>
      <c r="X20" s="30">
        <f t="shared" ca="1" si="5"/>
        <v>-2.8768699654775607E-2</v>
      </c>
      <c r="Y20" s="31">
        <f t="shared" ca="1" si="6"/>
        <v>-4.3211341123435568E-2</v>
      </c>
      <c r="AA20" s="5" t="s">
        <v>36</v>
      </c>
      <c r="AB20" s="5" t="s">
        <v>19</v>
      </c>
      <c r="AC20" s="5" t="s">
        <v>20</v>
      </c>
      <c r="AD20" s="5" t="s">
        <v>21</v>
      </c>
      <c r="AE20" s="5" t="s">
        <v>22</v>
      </c>
      <c r="AF20" s="5" t="s">
        <v>17</v>
      </c>
      <c r="AG20" s="5" t="s">
        <v>23</v>
      </c>
      <c r="AH20" s="5" t="s">
        <v>24</v>
      </c>
      <c r="AI20" s="5" t="s">
        <v>25</v>
      </c>
    </row>
    <row r="21" spans="2:45" x14ac:dyDescent="0.45">
      <c r="B21" vm="163">
        <f ca="1"/>
        <v>44193</v>
      </c>
      <c r="C21" vm="164">
        <f ca="1"/>
        <v>224.96</v>
      </c>
      <c r="D21" vm="163">
        <f ca="1"/>
        <v>44193</v>
      </c>
      <c r="E21" vm="165">
        <f ca="1"/>
        <v>21.560400000000001</v>
      </c>
      <c r="F21" vm="163">
        <f ca="1"/>
        <v>44193</v>
      </c>
      <c r="G21" vm="166">
        <f ca="1"/>
        <v>212.63</v>
      </c>
      <c r="H21" vm="163">
        <f ca="1"/>
        <v>44193</v>
      </c>
      <c r="I21" vm="167">
        <f ca="1"/>
        <v>117.83</v>
      </c>
      <c r="J21" vm="163">
        <f ca="1"/>
        <v>44193</v>
      </c>
      <c r="K21" vm="168">
        <f ca="1"/>
        <v>16.309999999999999</v>
      </c>
      <c r="L21" vm="163">
        <f ca="1"/>
        <v>44193</v>
      </c>
      <c r="M21" vm="169">
        <f ca="1"/>
        <v>317.29000000000002</v>
      </c>
      <c r="N21" vm="163">
        <f ca="1"/>
        <v>44193</v>
      </c>
      <c r="O21" vm="170">
        <f ca="1"/>
        <v>1076.48</v>
      </c>
      <c r="P21" vm="163">
        <f ca="1"/>
        <v>44193</v>
      </c>
      <c r="Q21" vm="171">
        <f ca="1"/>
        <v>37</v>
      </c>
      <c r="R21" s="29">
        <f t="shared" ca="1" si="0"/>
        <v>9.9214365881032905E-3</v>
      </c>
      <c r="S21" s="30">
        <f t="shared" ca="1" si="1"/>
        <v>-4.8785891323310975E-3</v>
      </c>
      <c r="T21" s="30">
        <f t="shared" ca="1" si="2"/>
        <v>1.8830857690464817E-2</v>
      </c>
      <c r="U21" s="30">
        <f t="shared" ca="1" si="3"/>
        <v>4.4326996845963345E-3</v>
      </c>
      <c r="V21" s="30">
        <f t="shared" ca="1" si="4"/>
        <v>-2.8588445503275786E-2</v>
      </c>
      <c r="W21" s="30">
        <f t="shared" ca="1" si="7"/>
        <v>-3.3801272876762281E-2</v>
      </c>
      <c r="X21" s="30">
        <f t="shared" ca="1" si="5"/>
        <v>-3.5545023696681708E-3</v>
      </c>
      <c r="Y21" s="31">
        <f t="shared" ca="1" si="6"/>
        <v>0.14689563249744264</v>
      </c>
      <c r="AA21" s="5" t="s">
        <v>37</v>
      </c>
      <c r="AB21" s="43">
        <f ca="1">MAX(R$4:R$1029)</f>
        <v>8.2268050420916658E-2</v>
      </c>
      <c r="AC21" s="43">
        <f t="shared" ref="AC21:AI21" ca="1" si="11">MAX(S$4:S$1029)</f>
        <v>8.4758364312267701E-2</v>
      </c>
      <c r="AD21" s="43">
        <f t="shared" ca="1" si="11"/>
        <v>0.10599078341013822</v>
      </c>
      <c r="AE21" s="43">
        <f t="shared" ca="1" si="11"/>
        <v>8.7208282154763977E-2</v>
      </c>
      <c r="AF21" s="43">
        <f t="shared" ca="1" si="11"/>
        <v>0.36795774647887325</v>
      </c>
      <c r="AG21" s="43">
        <f t="shared" ca="1" si="11"/>
        <v>0.13458203260492543</v>
      </c>
      <c r="AH21" s="43">
        <f t="shared" ca="1" si="11"/>
        <v>0.39215060625398862</v>
      </c>
      <c r="AI21" s="43">
        <f t="shared" ca="1" si="11"/>
        <v>0.29156327543424321</v>
      </c>
    </row>
    <row r="22" spans="2:45" x14ac:dyDescent="0.45">
      <c r="B22" vm="172">
        <f ca="1"/>
        <v>44194</v>
      </c>
      <c r="C22" vm="173">
        <f ca="1"/>
        <v>224.15</v>
      </c>
      <c r="D22" vm="172">
        <f ca="1"/>
        <v>44194</v>
      </c>
      <c r="E22" vm="174">
        <f ca="1"/>
        <v>21.552800000000001</v>
      </c>
      <c r="F22" vm="172">
        <f ca="1"/>
        <v>44194</v>
      </c>
      <c r="G22" vm="175">
        <f ca="1"/>
        <v>214.37</v>
      </c>
      <c r="H22" vm="172">
        <f ca="1"/>
        <v>44194</v>
      </c>
      <c r="I22" vm="176">
        <f ca="1"/>
        <v>117.23</v>
      </c>
      <c r="J22" vm="172">
        <f ca="1"/>
        <v>44194</v>
      </c>
      <c r="K22" vm="177">
        <f ca="1"/>
        <v>16.440000000000001</v>
      </c>
      <c r="L22" vm="172">
        <f ca="1"/>
        <v>44194</v>
      </c>
      <c r="M22" vm="178">
        <f ca="1"/>
        <v>318.43</v>
      </c>
      <c r="N22" vm="172">
        <f ca="1"/>
        <v>44194</v>
      </c>
      <c r="O22" vm="179">
        <f ca="1"/>
        <v>1115.52</v>
      </c>
      <c r="P22" vm="172">
        <f ca="1"/>
        <v>44194</v>
      </c>
      <c r="Q22" vm="180">
        <f ca="1"/>
        <v>36.606999999999999</v>
      </c>
      <c r="R22" s="29">
        <f t="shared" ca="1" si="0"/>
        <v>-3.6006401137980183E-3</v>
      </c>
      <c r="S22" s="30">
        <f t="shared" ca="1" si="1"/>
        <v>-3.524980983655243E-4</v>
      </c>
      <c r="T22" s="30">
        <f t="shared" ca="1" si="2"/>
        <v>8.1832290833843257E-3</v>
      </c>
      <c r="U22" s="30">
        <f t="shared" ca="1" si="3"/>
        <v>-5.0920818127810769E-3</v>
      </c>
      <c r="V22" s="30">
        <f t="shared" ca="1" si="4"/>
        <v>7.9705702023300171E-3</v>
      </c>
      <c r="W22" s="30">
        <f t="shared" ca="1" si="7"/>
        <v>3.5929276056603935E-3</v>
      </c>
      <c r="X22" s="30">
        <f t="shared" ca="1" si="5"/>
        <v>3.6266349583828739E-2</v>
      </c>
      <c r="Y22" s="31">
        <f t="shared" ca="1" si="6"/>
        <v>-1.0621621621621641E-2</v>
      </c>
      <c r="AA22" s="5" t="s">
        <v>38</v>
      </c>
      <c r="AB22" s="44">
        <f ca="1">MIN(R$4:R$1029)</f>
        <v>-7.7156307348599712E-2</v>
      </c>
      <c r="AC22" s="44">
        <f t="shared" ref="AC22:AI22" ca="1" si="12">MIN(S$4:S$1029)</f>
        <v>-0.10406091370558379</v>
      </c>
      <c r="AD22" s="44">
        <f t="shared" ca="1" si="12"/>
        <v>-6.919161418341814E-2</v>
      </c>
      <c r="AE22" s="44">
        <f t="shared" ca="1" si="12"/>
        <v>-9.6645587022271121E-2</v>
      </c>
      <c r="AF22" s="44">
        <f t="shared" ca="1" si="12"/>
        <v>-0.17471910112359557</v>
      </c>
      <c r="AG22" s="44">
        <f t="shared" ca="1" si="12"/>
        <v>-0.16756982075864943</v>
      </c>
      <c r="AH22" s="44">
        <f t="shared" ca="1" si="12"/>
        <v>-0.19241347696539085</v>
      </c>
      <c r="AI22" s="44">
        <f t="shared" ca="1" si="12"/>
        <v>-0.25553969548667749</v>
      </c>
    </row>
    <row r="23" spans="2:45" x14ac:dyDescent="0.45">
      <c r="B23" vm="181">
        <f ca="1"/>
        <v>44195</v>
      </c>
      <c r="C23" vm="182">
        <f ca="1"/>
        <v>221.68</v>
      </c>
      <c r="D23" vm="181">
        <f ca="1"/>
        <v>44195</v>
      </c>
      <c r="E23" vm="183">
        <f ca="1"/>
        <v>21.5151</v>
      </c>
      <c r="F23" vm="181">
        <f ca="1"/>
        <v>44195</v>
      </c>
      <c r="G23" vm="184">
        <f ca="1"/>
        <v>218.36</v>
      </c>
      <c r="H23" vm="181">
        <f ca="1"/>
        <v>44195</v>
      </c>
      <c r="I23" vm="95">
        <f ca="1"/>
        <v>117.39</v>
      </c>
      <c r="J23" vm="181">
        <f ca="1"/>
        <v>44195</v>
      </c>
      <c r="K23" vm="185">
        <f ca="1"/>
        <v>16.84</v>
      </c>
      <c r="L23" vm="181">
        <f ca="1"/>
        <v>44195</v>
      </c>
      <c r="M23" vm="186">
        <f ca="1"/>
        <v>319.35000000000002</v>
      </c>
      <c r="N23" vm="181">
        <f ca="1"/>
        <v>44195</v>
      </c>
      <c r="O23" vm="187">
        <f ca="1"/>
        <v>1075.2</v>
      </c>
      <c r="P23" vm="181">
        <f ca="1"/>
        <v>44195</v>
      </c>
      <c r="Q23" vm="188">
        <f ca="1"/>
        <v>38.997</v>
      </c>
      <c r="R23" s="29">
        <f t="shared" ca="1" si="0"/>
        <v>-1.1019406647334369E-2</v>
      </c>
      <c r="S23" s="30">
        <f t="shared" ca="1" si="1"/>
        <v>-1.7491926803014435E-3</v>
      </c>
      <c r="T23" s="30">
        <f t="shared" ca="1" si="2"/>
        <v>1.8612679012921626E-2</v>
      </c>
      <c r="U23" s="30">
        <f t="shared" ca="1" si="3"/>
        <v>1.3648383519576609E-3</v>
      </c>
      <c r="V23" s="30">
        <f t="shared" ca="1" si="4"/>
        <v>2.4330900243308914E-2</v>
      </c>
      <c r="W23" s="30">
        <f t="shared" ca="1" si="7"/>
        <v>2.889175014916986E-3</v>
      </c>
      <c r="X23" s="30">
        <f t="shared" ca="1" si="5"/>
        <v>-3.6144578313252955E-2</v>
      </c>
      <c r="Y23" s="31">
        <f t="shared" ca="1" si="6"/>
        <v>6.528805966072064E-2</v>
      </c>
      <c r="AA23" s="5"/>
      <c r="AB23" s="5"/>
      <c r="AC23" s="5"/>
      <c r="AD23" s="5"/>
      <c r="AE23" s="5"/>
      <c r="AF23" s="5"/>
      <c r="AG23" s="5"/>
      <c r="AH23" s="5"/>
      <c r="AI23" s="5"/>
    </row>
    <row r="24" spans="2:45" x14ac:dyDescent="0.45">
      <c r="B24" vm="189">
        <f ca="1"/>
        <v>44196</v>
      </c>
      <c r="C24" vm="190">
        <f ca="1"/>
        <v>222.42</v>
      </c>
      <c r="D24" vm="189">
        <f ca="1"/>
        <v>44196</v>
      </c>
      <c r="E24" vm="191">
        <f ca="1"/>
        <v>21.719000000000001</v>
      </c>
      <c r="F24" vm="189">
        <f ca="1"/>
        <v>44196</v>
      </c>
      <c r="G24" vm="192">
        <f ca="1"/>
        <v>218.73</v>
      </c>
      <c r="H24" vm="189">
        <f ca="1"/>
        <v>44196</v>
      </c>
      <c r="I24" vm="193">
        <f ca="1"/>
        <v>118.49</v>
      </c>
      <c r="J24" vm="189">
        <f ca="1"/>
        <v>44196</v>
      </c>
      <c r="K24" vm="194">
        <f ca="1"/>
        <v>16.77</v>
      </c>
      <c r="L24" vm="189">
        <f ca="1"/>
        <v>44196</v>
      </c>
      <c r="M24" vm="195">
        <f ca="1"/>
        <v>314.66000000000003</v>
      </c>
      <c r="N24" vm="189">
        <f ca="1"/>
        <v>44196</v>
      </c>
      <c r="O24" vm="196">
        <f ca="1"/>
        <v>1074.56</v>
      </c>
      <c r="P24" vm="189">
        <f ca="1"/>
        <v>44196</v>
      </c>
      <c r="Q24" vm="197">
        <f ca="1"/>
        <v>38.854999999999997</v>
      </c>
      <c r="R24" s="29">
        <f t="shared" ca="1" si="0"/>
        <v>3.3381450739804253E-3</v>
      </c>
      <c r="S24" s="30">
        <f t="shared" ca="1" si="1"/>
        <v>9.4770649450851199E-3</v>
      </c>
      <c r="T24" s="30">
        <f t="shared" ca="1" si="2"/>
        <v>1.6944495328813708E-3</v>
      </c>
      <c r="U24" s="30">
        <f t="shared" ca="1" si="3"/>
        <v>9.3704744867535075E-3</v>
      </c>
      <c r="V24" s="30">
        <f t="shared" ca="1" si="4"/>
        <v>-4.1567695961995423E-3</v>
      </c>
      <c r="W24" s="30">
        <f t="shared" ca="1" si="7"/>
        <v>-1.4686081102238915E-2</v>
      </c>
      <c r="X24" s="30">
        <f t="shared" ca="1" si="5"/>
        <v>-5.9523809523818821E-4</v>
      </c>
      <c r="Y24" s="31">
        <f t="shared" ca="1" si="6"/>
        <v>-3.6413057414673698E-3</v>
      </c>
      <c r="AA24" s="5"/>
      <c r="AB24" s="5"/>
      <c r="AC24" s="5"/>
      <c r="AD24" s="5"/>
      <c r="AE24" s="5"/>
      <c r="AF24" s="5"/>
      <c r="AG24" s="5"/>
      <c r="AH24" s="5"/>
      <c r="AI24" s="5"/>
    </row>
    <row r="25" spans="2:45" x14ac:dyDescent="0.45">
      <c r="B25" vm="198">
        <f ca="1"/>
        <v>44200</v>
      </c>
      <c r="C25" vm="199">
        <f ca="1"/>
        <v>217.69</v>
      </c>
      <c r="D25" vm="198">
        <f ca="1"/>
        <v>44200</v>
      </c>
      <c r="E25" vm="200">
        <f ca="1"/>
        <v>22.232500000000002</v>
      </c>
      <c r="F25" vm="198">
        <f ca="1"/>
        <v>44200</v>
      </c>
      <c r="G25" vm="201">
        <f ca="1"/>
        <v>217.76</v>
      </c>
      <c r="H25" vm="198">
        <f ca="1"/>
        <v>44200</v>
      </c>
      <c r="I25" vm="202">
        <f ca="1"/>
        <v>118.64</v>
      </c>
      <c r="J25" vm="198">
        <f ca="1"/>
        <v>44200</v>
      </c>
      <c r="K25" vm="203">
        <f ca="1"/>
        <v>17.14</v>
      </c>
      <c r="L25" vm="198">
        <f ca="1"/>
        <v>44200</v>
      </c>
      <c r="M25" vm="204">
        <f ca="1"/>
        <v>311</v>
      </c>
      <c r="N25" vm="198">
        <f ca="1"/>
        <v>44200</v>
      </c>
      <c r="O25" vm="205">
        <f ca="1"/>
        <v>1168</v>
      </c>
      <c r="P25" vm="198">
        <f ca="1"/>
        <v>44200</v>
      </c>
      <c r="Q25" vm="206">
        <f ca="1"/>
        <v>42.521999999999998</v>
      </c>
      <c r="R25" s="29">
        <f t="shared" ca="1" si="0"/>
        <v>-2.1266073194856534E-2</v>
      </c>
      <c r="S25" s="30">
        <f t="shared" ca="1" si="1"/>
        <v>2.3642893319213616E-2</v>
      </c>
      <c r="T25" s="30">
        <f t="shared" ca="1" si="2"/>
        <v>-4.4346911717642705E-3</v>
      </c>
      <c r="U25" s="30">
        <f t="shared" ca="1" si="3"/>
        <v>1.2659296143134923E-3</v>
      </c>
      <c r="V25" s="30">
        <f t="shared" ca="1" si="4"/>
        <v>2.2063208109719797E-2</v>
      </c>
      <c r="W25" s="30">
        <f t="shared" ca="1" si="7"/>
        <v>-1.1631602364456952E-2</v>
      </c>
      <c r="X25" s="30">
        <f t="shared" ca="1" si="5"/>
        <v>8.6956521739130488E-2</v>
      </c>
      <c r="Y25" s="31">
        <f t="shared" ca="1" si="6"/>
        <v>9.4376528117359457E-2</v>
      </c>
      <c r="AA25" s="5" t="s">
        <v>39</v>
      </c>
      <c r="AB25" s="5"/>
      <c r="AC25" s="5" t="s">
        <v>40</v>
      </c>
      <c r="AD25" s="5" t="s">
        <v>41</v>
      </c>
      <c r="AE25" s="5" t="s">
        <v>42</v>
      </c>
      <c r="AF25" s="5"/>
      <c r="AG25" s="5"/>
      <c r="AH25" s="5"/>
      <c r="AI25" s="5"/>
    </row>
    <row r="26" spans="2:45" x14ac:dyDescent="0.45">
      <c r="B26" vm="207">
        <f ca="1"/>
        <v>44201</v>
      </c>
      <c r="C26" vm="208">
        <f ca="1"/>
        <v>217.9</v>
      </c>
      <c r="D26" vm="207">
        <f ca="1"/>
        <v>44201</v>
      </c>
      <c r="E26" vm="209">
        <f ca="1"/>
        <v>22.096599999999999</v>
      </c>
      <c r="F26" vm="207">
        <f ca="1"/>
        <v>44201</v>
      </c>
      <c r="G26" vm="210">
        <f ca="1"/>
        <v>214.51</v>
      </c>
      <c r="H26" vm="207">
        <f ca="1"/>
        <v>44201</v>
      </c>
      <c r="I26" vm="211">
        <f ca="1"/>
        <v>119.61</v>
      </c>
      <c r="J26" vm="207">
        <f ca="1"/>
        <v>44201</v>
      </c>
      <c r="K26" vm="212">
        <f ca="1"/>
        <v>18.2</v>
      </c>
      <c r="L26" vm="207">
        <f ca="1"/>
        <v>44201</v>
      </c>
      <c r="M26" vm="213">
        <f ca="1"/>
        <v>313.72000000000003</v>
      </c>
      <c r="N26" vm="207">
        <f ca="1"/>
        <v>44201</v>
      </c>
      <c r="O26" vm="214">
        <f ca="1"/>
        <v>1128.96</v>
      </c>
      <c r="P26" vm="207">
        <f ca="1"/>
        <v>44201</v>
      </c>
      <c r="Q26" vm="215">
        <f ca="1"/>
        <v>42.863</v>
      </c>
      <c r="R26" s="29">
        <f t="shared" ca="1" si="0"/>
        <v>9.6467453718594308E-4</v>
      </c>
      <c r="S26" s="30">
        <f t="shared" ca="1" si="1"/>
        <v>-6.1126728887890705E-3</v>
      </c>
      <c r="T26" s="30">
        <f t="shared" ca="1" si="2"/>
        <v>-1.4924687729610581E-2</v>
      </c>
      <c r="U26" s="30">
        <f t="shared" ca="1" si="3"/>
        <v>8.1759946055293235E-3</v>
      </c>
      <c r="V26" s="30">
        <f t="shared" ca="1" si="4"/>
        <v>6.1843640606767718E-2</v>
      </c>
      <c r="W26" s="30">
        <f t="shared" ca="1" si="7"/>
        <v>8.745980707395587E-3</v>
      </c>
      <c r="X26" s="30">
        <f t="shared" ca="1" si="5"/>
        <v>-3.3424657534246546E-2</v>
      </c>
      <c r="Y26" s="31">
        <f t="shared" ca="1" si="6"/>
        <v>8.0193782042237219E-3</v>
      </c>
      <c r="AA26" s="5" t="s">
        <v>43</v>
      </c>
      <c r="AB26" s="47" t="s">
        <v>46</v>
      </c>
      <c r="AC26" s="21">
        <v>5000</v>
      </c>
      <c r="AD26" s="21">
        <v>10000</v>
      </c>
      <c r="AE26" s="21">
        <v>15000</v>
      </c>
      <c r="AF26" s="5"/>
      <c r="AG26" s="5"/>
      <c r="AH26" s="5"/>
      <c r="AI26" s="5"/>
    </row>
    <row r="27" spans="2:45" x14ac:dyDescent="0.45">
      <c r="B27" vm="216">
        <f ca="1"/>
        <v>44202</v>
      </c>
      <c r="C27" vm="217">
        <f ca="1"/>
        <v>212.25</v>
      </c>
      <c r="D27" vm="216">
        <f ca="1"/>
        <v>44202</v>
      </c>
      <c r="E27" vm="218">
        <f ca="1"/>
        <v>22.527000000000001</v>
      </c>
      <c r="F27" vm="216">
        <f ca="1"/>
        <v>44202</v>
      </c>
      <c r="G27" vm="219">
        <f ca="1"/>
        <v>212.62</v>
      </c>
      <c r="H27" vm="216">
        <f ca="1"/>
        <v>44202</v>
      </c>
      <c r="I27" vm="220">
        <f ca="1"/>
        <v>122.89</v>
      </c>
      <c r="J27" vm="216">
        <f ca="1"/>
        <v>44202</v>
      </c>
      <c r="K27" vm="221">
        <f ca="1"/>
        <v>21.32</v>
      </c>
      <c r="L27" vm="216">
        <f ca="1"/>
        <v>44202</v>
      </c>
      <c r="M27" vm="222">
        <f ca="1"/>
        <v>314.24</v>
      </c>
      <c r="N27" vm="216">
        <f ca="1"/>
        <v>44202</v>
      </c>
      <c r="O27" vm="223">
        <f ca="1"/>
        <v>1123.2</v>
      </c>
      <c r="P27" vm="216">
        <f ca="1"/>
        <v>44202</v>
      </c>
      <c r="Q27" vm="224">
        <f ca="1"/>
        <v>48.055</v>
      </c>
      <c r="R27" s="29">
        <f t="shared" ca="1" si="0"/>
        <v>-2.592932537861407E-2</v>
      </c>
      <c r="S27" s="30">
        <f t="shared" ca="1" si="1"/>
        <v>1.9478109754441968E-2</v>
      </c>
      <c r="T27" s="30">
        <f t="shared" ca="1" si="2"/>
        <v>-8.8107780523051914E-3</v>
      </c>
      <c r="U27" s="30">
        <f t="shared" ca="1" si="3"/>
        <v>2.7422456316361518E-2</v>
      </c>
      <c r="V27" s="30">
        <f t="shared" ca="1" si="4"/>
        <v>0.17142857142857149</v>
      </c>
      <c r="W27" s="30">
        <f t="shared" ca="1" si="7"/>
        <v>1.65752900675756E-3</v>
      </c>
      <c r="X27" s="30">
        <f t="shared" ca="1" si="5"/>
        <v>-5.1020408163265224E-3</v>
      </c>
      <c r="Y27" s="31">
        <f t="shared" ca="1" si="6"/>
        <v>0.12113011221799688</v>
      </c>
      <c r="AA27" s="5"/>
      <c r="AB27" s="5"/>
      <c r="AC27" s="5"/>
      <c r="AD27" s="22"/>
      <c r="AE27" s="5"/>
      <c r="AF27" s="5"/>
      <c r="AG27" s="5"/>
      <c r="AH27" s="5"/>
      <c r="AI27" s="5"/>
    </row>
    <row r="28" spans="2:45" x14ac:dyDescent="0.45">
      <c r="B28" vm="225">
        <f ca="1"/>
        <v>44203</v>
      </c>
      <c r="C28" vm="226">
        <f ca="1"/>
        <v>218.29</v>
      </c>
      <c r="D28" vm="225">
        <f ca="1"/>
        <v>44203</v>
      </c>
      <c r="E28" vm="227">
        <f ca="1"/>
        <v>22.587399999999999</v>
      </c>
      <c r="F28" vm="225">
        <f ca="1"/>
        <v>44203</v>
      </c>
      <c r="G28" vm="228">
        <f ca="1"/>
        <v>213.81</v>
      </c>
      <c r="H28" vm="225">
        <f ca="1"/>
        <v>44203</v>
      </c>
      <c r="I28" vm="229">
        <f ca="1"/>
        <v>126.16</v>
      </c>
      <c r="J28" vm="225">
        <f ca="1"/>
        <v>44203</v>
      </c>
      <c r="K28" vm="230">
        <f ca="1"/>
        <v>20.45</v>
      </c>
      <c r="L28" vm="225">
        <f ca="1"/>
        <v>44203</v>
      </c>
      <c r="M28" vm="231">
        <f ca="1"/>
        <v>331.36</v>
      </c>
      <c r="N28" vm="225">
        <f ca="1"/>
        <v>44203</v>
      </c>
      <c r="O28" vm="232">
        <f ca="1"/>
        <v>1056</v>
      </c>
      <c r="P28" vm="225">
        <f ca="1"/>
        <v>44203</v>
      </c>
      <c r="Q28" vm="233">
        <f ca="1"/>
        <v>53.575000000000003</v>
      </c>
      <c r="R28" s="29">
        <f t="shared" ca="1" si="0"/>
        <v>2.8457008244994073E-2</v>
      </c>
      <c r="S28" s="30">
        <f t="shared" ca="1" si="1"/>
        <v>2.6812269720778528E-3</v>
      </c>
      <c r="T28" s="30">
        <f t="shared" ca="1" si="2"/>
        <v>5.5968394318502389E-3</v>
      </c>
      <c r="U28" s="30">
        <f t="shared" ca="1" si="3"/>
        <v>2.6609162665798648E-2</v>
      </c>
      <c r="V28" s="30">
        <f t="shared" ca="1" si="4"/>
        <v>-4.0806754221388415E-2</v>
      </c>
      <c r="W28" s="30">
        <f t="shared" ca="1" si="7"/>
        <v>5.4480651731160908E-2</v>
      </c>
      <c r="X28" s="30">
        <f t="shared" ca="1" si="5"/>
        <v>-5.9829059829059866E-2</v>
      </c>
      <c r="Y28" s="31">
        <f t="shared" ca="1" si="6"/>
        <v>0.11486837998127153</v>
      </c>
      <c r="AA28" s="5" t="s">
        <v>44</v>
      </c>
      <c r="AB28" s="5" t="s">
        <v>19</v>
      </c>
      <c r="AC28" s="5" t="s">
        <v>20</v>
      </c>
      <c r="AD28" s="5" t="s">
        <v>21</v>
      </c>
      <c r="AE28" s="5" t="s">
        <v>22</v>
      </c>
      <c r="AF28" s="5" t="s">
        <v>17</v>
      </c>
      <c r="AG28" s="5" t="s">
        <v>23</v>
      </c>
      <c r="AH28" s="5" t="s">
        <v>24</v>
      </c>
      <c r="AI28" s="5" t="s">
        <v>25</v>
      </c>
      <c r="AK28" s="5" t="s">
        <v>47</v>
      </c>
      <c r="AL28" s="5" t="s">
        <v>19</v>
      </c>
      <c r="AM28" s="5" t="s">
        <v>20</v>
      </c>
      <c r="AN28" s="5" t="s">
        <v>21</v>
      </c>
      <c r="AO28" s="5" t="s">
        <v>22</v>
      </c>
      <c r="AP28" s="5" t="s">
        <v>17</v>
      </c>
      <c r="AQ28" s="5" t="s">
        <v>23</v>
      </c>
      <c r="AR28" s="5" t="s">
        <v>24</v>
      </c>
      <c r="AS28" s="5" t="s">
        <v>25</v>
      </c>
    </row>
    <row r="29" spans="2:45" x14ac:dyDescent="0.45">
      <c r="B29" vm="234">
        <f ca="1"/>
        <v>44204</v>
      </c>
      <c r="C29" vm="235">
        <f ca="1"/>
        <v>219.62</v>
      </c>
      <c r="D29" vm="234">
        <f ca="1"/>
        <v>44204</v>
      </c>
      <c r="E29" vm="236">
        <f ca="1"/>
        <v>21.915299999999998</v>
      </c>
      <c r="F29" vm="234">
        <f ca="1"/>
        <v>44204</v>
      </c>
      <c r="G29" vm="237">
        <f ca="1"/>
        <v>215.45</v>
      </c>
      <c r="H29" vm="234">
        <f ca="1"/>
        <v>44204</v>
      </c>
      <c r="I29" vm="238">
        <f ca="1"/>
        <v>127.06</v>
      </c>
      <c r="J29" vm="234">
        <f ca="1"/>
        <v>44204</v>
      </c>
      <c r="K29" vm="239">
        <f ca="1"/>
        <v>22.29</v>
      </c>
      <c r="L29" vm="234">
        <f ca="1"/>
        <v>44204</v>
      </c>
      <c r="M29" vm="240">
        <f ca="1"/>
        <v>353.11</v>
      </c>
      <c r="N29" vm="234">
        <f ca="1"/>
        <v>44204</v>
      </c>
      <c r="O29" vm="241">
        <f ca="1"/>
        <v>1046.4000000000001</v>
      </c>
      <c r="P29" vm="234">
        <f ca="1"/>
        <v>44204</v>
      </c>
      <c r="Q29" vm="242">
        <f ca="1"/>
        <v>53.164000000000001</v>
      </c>
      <c r="R29" s="29">
        <f t="shared" ca="1" si="0"/>
        <v>6.0928123138944178E-3</v>
      </c>
      <c r="S29" s="30">
        <f t="shared" ca="1" si="1"/>
        <v>-2.9755527417940995E-2</v>
      </c>
      <c r="T29" s="30">
        <f t="shared" ca="1" si="2"/>
        <v>7.670361535943063E-3</v>
      </c>
      <c r="U29" s="30">
        <f t="shared" ca="1" si="3"/>
        <v>7.1337983512999815E-3</v>
      </c>
      <c r="V29" s="30">
        <f t="shared" ca="1" si="4"/>
        <v>8.9975550122249379E-2</v>
      </c>
      <c r="W29" s="30">
        <f t="shared" ca="1" si="7"/>
        <v>6.5638580395943988E-2</v>
      </c>
      <c r="X29" s="30">
        <f t="shared" ca="1" si="5"/>
        <v>-9.0909090909090055E-3</v>
      </c>
      <c r="Y29" s="31">
        <f t="shared" ca="1" si="6"/>
        <v>-7.6714885674288632E-3</v>
      </c>
      <c r="AA29" s="5" t="s">
        <v>45</v>
      </c>
      <c r="AB29" s="36" t="e" vm="243">
        <f>$AB$26*AB14</f>
        <v>#VALUE!</v>
      </c>
      <c r="AC29" s="36" t="e" vm="243">
        <f t="shared" ref="AC29:AI29" si="13">$AB$26*AC14</f>
        <v>#VALUE!</v>
      </c>
      <c r="AD29" s="36" t="e" vm="243">
        <f>$AB$26*AD14</f>
        <v>#VALUE!</v>
      </c>
      <c r="AE29" s="36" t="e" vm="243">
        <f t="shared" si="13"/>
        <v>#VALUE!</v>
      </c>
      <c r="AF29" s="36" t="e" vm="243">
        <f t="shared" si="13"/>
        <v>#VALUE!</v>
      </c>
      <c r="AG29" s="36" t="e" vm="243">
        <f t="shared" si="13"/>
        <v>#VALUE!</v>
      </c>
      <c r="AH29" s="36" t="e" vm="243">
        <f t="shared" si="13"/>
        <v>#VALUE!</v>
      </c>
      <c r="AI29" s="36" t="e" vm="243">
        <f t="shared" si="13"/>
        <v>#VALUE!</v>
      </c>
      <c r="AK29" s="23">
        <v>44166</v>
      </c>
      <c r="AL29" s="39" t="e" cm="1">
        <f t="array" ref="AL29">[1]!RiskNormal()</f>
        <v>#VALUE!</v>
      </c>
      <c r="AM29" s="39"/>
      <c r="AN29" s="39"/>
      <c r="AO29" s="39"/>
      <c r="AP29" s="39"/>
      <c r="AQ29" s="39"/>
      <c r="AR29" s="39"/>
      <c r="AS29" s="39"/>
    </row>
    <row r="30" spans="2:45" x14ac:dyDescent="0.45">
      <c r="B30" vm="244">
        <f ca="1"/>
        <v>44207</v>
      </c>
      <c r="C30" vm="245">
        <f ca="1"/>
        <v>217.49</v>
      </c>
      <c r="D30" vm="244">
        <f ca="1"/>
        <v>44207</v>
      </c>
      <c r="E30" vm="3">
        <f ca="1"/>
        <v>21.802</v>
      </c>
      <c r="F30" vm="244">
        <f ca="1"/>
        <v>44207</v>
      </c>
      <c r="G30" vm="246">
        <f ca="1"/>
        <v>212.89</v>
      </c>
      <c r="H30" vm="244">
        <f ca="1"/>
        <v>44207</v>
      </c>
      <c r="I30" vm="247">
        <f ca="1"/>
        <v>128.15</v>
      </c>
      <c r="J30" vm="244">
        <f ca="1"/>
        <v>44207</v>
      </c>
      <c r="K30" vm="248">
        <f ca="1"/>
        <v>22.77</v>
      </c>
      <c r="L30" vm="244">
        <f ca="1"/>
        <v>44207</v>
      </c>
      <c r="M30" vm="249">
        <f ca="1"/>
        <v>344.07</v>
      </c>
      <c r="N30" vm="244">
        <f ca="1"/>
        <v>44207</v>
      </c>
      <c r="O30" vm="250">
        <f ca="1"/>
        <v>1109.76</v>
      </c>
      <c r="P30" vm="244">
        <f ca="1"/>
        <v>44207</v>
      </c>
      <c r="Q30" vm="251">
        <f ca="1"/>
        <v>49.548999999999999</v>
      </c>
      <c r="R30" s="29">
        <f t="shared" ca="1" si="0"/>
        <v>-9.6985702577178558E-3</v>
      </c>
      <c r="S30" s="30">
        <f t="shared" ca="1" si="1"/>
        <v>-5.1699041309039278E-3</v>
      </c>
      <c r="T30" s="30">
        <f t="shared" ca="1" si="2"/>
        <v>-1.1882107217451856E-2</v>
      </c>
      <c r="U30" s="30">
        <f t="shared" ca="1" si="3"/>
        <v>8.5786242719975078E-3</v>
      </c>
      <c r="V30" s="30">
        <f t="shared" ca="1" si="4"/>
        <v>2.1534320323014826E-2</v>
      </c>
      <c r="W30" s="30">
        <f t="shared" ca="1" si="7"/>
        <v>-2.5601087479822208E-2</v>
      </c>
      <c r="X30" s="30">
        <f t="shared" ca="1" si="5"/>
        <v>6.055045871559623E-2</v>
      </c>
      <c r="Y30" s="31">
        <f t="shared" ca="1" si="6"/>
        <v>-6.7997140922428742E-2</v>
      </c>
      <c r="AA30" s="23">
        <v>45992</v>
      </c>
      <c r="AB30" s="37" t="e" vm="252">
        <f>AB29*(1+AL29)</f>
        <v>#VALUE!</v>
      </c>
      <c r="AC30" s="38"/>
      <c r="AD30" s="38"/>
      <c r="AE30" s="38"/>
      <c r="AF30" s="38"/>
      <c r="AG30" s="38"/>
      <c r="AH30" s="38"/>
      <c r="AI30" s="38"/>
      <c r="AK30" s="23">
        <v>44167</v>
      </c>
      <c r="AL30" s="39"/>
      <c r="AM30" s="39"/>
      <c r="AN30" s="39"/>
      <c r="AO30" s="39"/>
      <c r="AP30" s="39"/>
      <c r="AQ30" s="39"/>
      <c r="AR30" s="39"/>
      <c r="AS30" s="39"/>
    </row>
    <row r="31" spans="2:45" x14ac:dyDescent="0.45">
      <c r="B31" vm="253">
        <f ca="1"/>
        <v>44208</v>
      </c>
      <c r="C31" vm="254">
        <f ca="1"/>
        <v>214.93</v>
      </c>
      <c r="D31" vm="253">
        <f ca="1"/>
        <v>44208</v>
      </c>
      <c r="E31" vm="148">
        <f ca="1"/>
        <v>21.711400000000001</v>
      </c>
      <c r="F31" vm="253">
        <f ca="1"/>
        <v>44208</v>
      </c>
      <c r="G31" vm="255">
        <f ca="1"/>
        <v>208.86</v>
      </c>
      <c r="H31" vm="253">
        <f ca="1"/>
        <v>44208</v>
      </c>
      <c r="I31" vm="256">
        <f ca="1"/>
        <v>126.97</v>
      </c>
      <c r="J31" vm="253">
        <f ca="1"/>
        <v>44208</v>
      </c>
      <c r="K31" vm="257">
        <f ca="1"/>
        <v>23.86</v>
      </c>
      <c r="L31" vm="253">
        <f ca="1"/>
        <v>44208</v>
      </c>
      <c r="M31" vm="258">
        <f ca="1"/>
        <v>347.01</v>
      </c>
      <c r="N31" vm="253">
        <f ca="1"/>
        <v>44208</v>
      </c>
      <c r="O31" vm="116">
        <f ca="1"/>
        <v>1072</v>
      </c>
      <c r="P31" vm="253">
        <f ca="1"/>
        <v>44208</v>
      </c>
      <c r="Q31" vm="259">
        <f ca="1"/>
        <v>51.423999999999999</v>
      </c>
      <c r="R31" s="29">
        <f t="shared" ca="1" si="0"/>
        <v>-1.1770656122120568E-2</v>
      </c>
      <c r="S31" s="30">
        <f t="shared" ca="1" si="1"/>
        <v>-4.1555820566919763E-3</v>
      </c>
      <c r="T31" s="30">
        <f t="shared" ca="1" si="2"/>
        <v>-1.892996383108635E-2</v>
      </c>
      <c r="U31" s="30">
        <f t="shared" ca="1" si="3"/>
        <v>-9.2079594225517505E-3</v>
      </c>
      <c r="V31" s="30">
        <f t="shared" ca="1" si="4"/>
        <v>4.787000439174352E-2</v>
      </c>
      <c r="W31" s="30">
        <f t="shared" ca="1" si="7"/>
        <v>8.5447728659865663E-3</v>
      </c>
      <c r="X31" s="30">
        <f t="shared" ca="1" si="5"/>
        <v>-3.4025374855824672E-2</v>
      </c>
      <c r="Y31" s="31">
        <f t="shared" ca="1" si="6"/>
        <v>3.7841328785646534E-2</v>
      </c>
      <c r="AA31" s="23">
        <v>45993</v>
      </c>
      <c r="AB31" s="37" t="e" vm="252">
        <f t="shared" ref="AB31:AB36" si="14">AB30*(1+AL30)</f>
        <v>#VALUE!</v>
      </c>
      <c r="AC31" s="38"/>
      <c r="AD31" s="38"/>
      <c r="AE31" s="38"/>
      <c r="AF31" s="38"/>
      <c r="AG31" s="38"/>
      <c r="AH31" s="38"/>
      <c r="AI31" s="38"/>
      <c r="AK31" s="23">
        <v>44168</v>
      </c>
      <c r="AL31" s="39"/>
      <c r="AM31" s="39"/>
      <c r="AN31" s="39"/>
      <c r="AO31" s="39"/>
      <c r="AP31" s="39"/>
      <c r="AQ31" s="39"/>
      <c r="AR31" s="39"/>
      <c r="AS31" s="39"/>
    </row>
    <row r="32" spans="2:45" x14ac:dyDescent="0.45">
      <c r="B32" vm="260">
        <f ca="1"/>
        <v>44209</v>
      </c>
      <c r="C32" vm="261">
        <f ca="1"/>
        <v>216.34</v>
      </c>
      <c r="D32" vm="260">
        <f ca="1"/>
        <v>44209</v>
      </c>
      <c r="E32" vm="262">
        <f ca="1"/>
        <v>21.605699999999999</v>
      </c>
      <c r="F32" vm="260">
        <f ca="1"/>
        <v>44209</v>
      </c>
      <c r="G32" vm="263">
        <f ca="1"/>
        <v>209.35</v>
      </c>
      <c r="H32" vm="260">
        <f ca="1"/>
        <v>44209</v>
      </c>
      <c r="I32" vm="264">
        <f ca="1"/>
        <v>126.98</v>
      </c>
      <c r="J32" vm="260">
        <f ca="1"/>
        <v>44209</v>
      </c>
      <c r="K32" vm="265">
        <f ca="1"/>
        <v>22.6</v>
      </c>
      <c r="L32" vm="260">
        <f ca="1"/>
        <v>44209</v>
      </c>
      <c r="M32" vm="266">
        <f ca="1"/>
        <v>347.06</v>
      </c>
      <c r="N32" vm="260">
        <f ca="1"/>
        <v>44209</v>
      </c>
      <c r="O32" vm="267">
        <f ca="1"/>
        <v>1055.3599999999999</v>
      </c>
      <c r="P32" vm="260">
        <f ca="1"/>
        <v>44209</v>
      </c>
      <c r="Q32" vm="268">
        <f ca="1"/>
        <v>51.926000000000002</v>
      </c>
      <c r="R32" s="29">
        <f t="shared" ca="1" si="0"/>
        <v>6.5602754385148494E-3</v>
      </c>
      <c r="S32" s="30">
        <f t="shared" ca="1" si="1"/>
        <v>-4.8684101439797683E-3</v>
      </c>
      <c r="T32" s="30">
        <f t="shared" ca="1" si="2"/>
        <v>2.3460691372210124E-3</v>
      </c>
      <c r="U32" s="30">
        <f t="shared" ca="1" si="3"/>
        <v>7.8758761912303032E-5</v>
      </c>
      <c r="V32" s="30">
        <f t="shared" ca="1" si="4"/>
        <v>-5.2808046940486089E-2</v>
      </c>
      <c r="W32" s="30">
        <f t="shared" ca="1" si="7"/>
        <v>1.4408806662635478E-4</v>
      </c>
      <c r="X32" s="30">
        <f t="shared" ca="1" si="5"/>
        <v>-1.5522388059701585E-2</v>
      </c>
      <c r="Y32" s="31">
        <f t="shared" ca="1" si="6"/>
        <v>9.7619788425638305E-3</v>
      </c>
      <c r="AA32" s="23">
        <v>45994</v>
      </c>
      <c r="AB32" s="37" t="e" vm="252">
        <f t="shared" si="14"/>
        <v>#VALUE!</v>
      </c>
      <c r="AC32" s="38"/>
      <c r="AD32" s="38"/>
      <c r="AE32" s="38"/>
      <c r="AF32" s="38"/>
      <c r="AG32" s="38"/>
      <c r="AH32" s="38"/>
      <c r="AI32" s="38"/>
      <c r="AK32" s="23">
        <v>44169</v>
      </c>
      <c r="AL32" s="39"/>
      <c r="AM32" s="39"/>
      <c r="AN32" s="39"/>
      <c r="AO32" s="39"/>
      <c r="AP32" s="39"/>
      <c r="AQ32" s="39"/>
      <c r="AR32" s="39"/>
      <c r="AS32" s="39"/>
    </row>
    <row r="33" spans="2:45" x14ac:dyDescent="0.45">
      <c r="B33" vm="269">
        <f ca="1"/>
        <v>44210</v>
      </c>
      <c r="C33" vm="270">
        <f ca="1"/>
        <v>213.02</v>
      </c>
      <c r="D33" vm="269">
        <f ca="1"/>
        <v>44210</v>
      </c>
      <c r="E33" vm="271">
        <f ca="1"/>
        <v>22.119199999999999</v>
      </c>
      <c r="F33" vm="269">
        <f ca="1"/>
        <v>44210</v>
      </c>
      <c r="G33" vm="272">
        <f ca="1"/>
        <v>201.86</v>
      </c>
      <c r="H33" vm="269">
        <f ca="1"/>
        <v>44210</v>
      </c>
      <c r="I33" vm="273">
        <f ca="1"/>
        <v>126.03</v>
      </c>
      <c r="J33" vm="269">
        <f ca="1"/>
        <v>44210</v>
      </c>
      <c r="K33" vm="274">
        <f ca="1"/>
        <v>22.14</v>
      </c>
      <c r="L33" vm="269">
        <f ca="1"/>
        <v>44210</v>
      </c>
      <c r="M33" vm="275">
        <f ca="1"/>
        <v>342.27</v>
      </c>
      <c r="N33" vm="269">
        <f ca="1"/>
        <v>44210</v>
      </c>
      <c r="O33" vm="276">
        <f ca="1"/>
        <v>1067.52</v>
      </c>
      <c r="P33" vm="269">
        <f ca="1"/>
        <v>44210</v>
      </c>
      <c r="Q33" vm="277">
        <f ca="1"/>
        <v>63.1</v>
      </c>
      <c r="R33" s="29">
        <f t="shared" ca="1" si="0"/>
        <v>-1.5346214292317617E-2</v>
      </c>
      <c r="S33" s="30">
        <f t="shared" ca="1" si="1"/>
        <v>2.3766876333560151E-2</v>
      </c>
      <c r="T33" s="30">
        <f t="shared" ca="1" si="2"/>
        <v>-3.5777406257463486E-2</v>
      </c>
      <c r="U33" s="30">
        <f t="shared" ca="1" si="3"/>
        <v>-7.4814931485273489E-3</v>
      </c>
      <c r="V33" s="30">
        <f t="shared" ca="1" si="4"/>
        <v>-2.0353982300884994E-2</v>
      </c>
      <c r="W33" s="30">
        <f t="shared" ca="1" si="7"/>
        <v>-1.3801648130006398E-2</v>
      </c>
      <c r="X33" s="30">
        <f t="shared" ca="1" si="5"/>
        <v>1.1522134627046774E-2</v>
      </c>
      <c r="Y33" s="31">
        <f t="shared" ca="1" si="6"/>
        <v>0.21519084851519468</v>
      </c>
      <c r="AA33" s="23">
        <v>45995</v>
      </c>
      <c r="AB33" s="37" t="e" vm="252">
        <f t="shared" si="14"/>
        <v>#VALUE!</v>
      </c>
      <c r="AC33" s="38"/>
      <c r="AD33" s="38"/>
      <c r="AE33" s="38"/>
      <c r="AF33" s="38"/>
      <c r="AG33" s="38"/>
      <c r="AH33" s="38"/>
      <c r="AI33" s="38"/>
      <c r="AK33" s="23">
        <v>44170</v>
      </c>
      <c r="AL33" s="39"/>
      <c r="AM33" s="39"/>
      <c r="AN33" s="39"/>
      <c r="AO33" s="39"/>
      <c r="AP33" s="39"/>
      <c r="AQ33" s="39"/>
      <c r="AR33" s="39"/>
      <c r="AS33" s="39"/>
    </row>
    <row r="34" spans="2:45" x14ac:dyDescent="0.45">
      <c r="B34" vm="278">
        <f ca="1"/>
        <v>44211</v>
      </c>
      <c r="C34" vm="40">
        <f ca="1"/>
        <v>212.65</v>
      </c>
      <c r="D34" vm="278">
        <f ca="1"/>
        <v>44211</v>
      </c>
      <c r="E34" vm="279">
        <f ca="1"/>
        <v>22.028600000000001</v>
      </c>
      <c r="F34" vm="278">
        <f ca="1"/>
        <v>44211</v>
      </c>
      <c r="G34" vm="280">
        <f ca="1"/>
        <v>201.59</v>
      </c>
      <c r="H34" vm="278">
        <f ca="1"/>
        <v>44211</v>
      </c>
      <c r="I34" vm="281">
        <f ca="1"/>
        <v>126.21</v>
      </c>
      <c r="J34" vm="278">
        <f ca="1"/>
        <v>44211</v>
      </c>
      <c r="K34" vm="282">
        <f ca="1"/>
        <v>20.88</v>
      </c>
      <c r="L34" vm="278">
        <f ca="1"/>
        <v>44211</v>
      </c>
      <c r="M34" vm="283">
        <f ca="1"/>
        <v>319.82</v>
      </c>
      <c r="N34" vm="278">
        <f ca="1"/>
        <v>44211</v>
      </c>
      <c r="O34" vm="35">
        <f ca="1"/>
        <v>1095.04</v>
      </c>
      <c r="P34" vm="278">
        <f ca="1"/>
        <v>44211</v>
      </c>
      <c r="Q34" vm="284">
        <f ca="1"/>
        <v>57.807000000000002</v>
      </c>
      <c r="R34" s="29">
        <f t="shared" ca="1" si="0"/>
        <v>-1.7369261102244133E-3</v>
      </c>
      <c r="S34" s="30">
        <f t="shared" ca="1" si="1"/>
        <v>-4.0959890050272368E-3</v>
      </c>
      <c r="T34" s="30">
        <f t="shared" ca="1" si="2"/>
        <v>-1.3375606856237503E-3</v>
      </c>
      <c r="U34" s="30">
        <f t="shared" ca="1" si="3"/>
        <v>1.4282313734824456E-3</v>
      </c>
      <c r="V34" s="30">
        <f t="shared" ca="1" si="4"/>
        <v>-5.6910569105691124E-2</v>
      </c>
      <c r="W34" s="30">
        <f t="shared" ca="1" si="7"/>
        <v>-6.5591492096882545E-2</v>
      </c>
      <c r="X34" s="30">
        <f t="shared" ca="1" si="5"/>
        <v>2.5779376498800941E-2</v>
      </c>
      <c r="Y34" s="31">
        <f t="shared" ca="1" si="6"/>
        <v>-8.3882725832012658E-2</v>
      </c>
      <c r="AA34" s="23">
        <v>45996</v>
      </c>
      <c r="AB34" s="37" t="e" vm="252">
        <f t="shared" si="14"/>
        <v>#VALUE!</v>
      </c>
      <c r="AC34" s="38"/>
      <c r="AD34" s="38"/>
      <c r="AE34" s="38"/>
      <c r="AF34" s="38"/>
      <c r="AG34" s="38"/>
      <c r="AH34" s="38"/>
      <c r="AI34" s="38"/>
      <c r="AK34" s="23">
        <v>44171</v>
      </c>
      <c r="AL34" s="39"/>
      <c r="AM34" s="39"/>
      <c r="AN34" s="39"/>
      <c r="AO34" s="39"/>
      <c r="AP34" s="39"/>
      <c r="AQ34" s="39"/>
      <c r="AR34" s="39"/>
      <c r="AS34" s="39"/>
    </row>
    <row r="35" spans="2:45" x14ac:dyDescent="0.45">
      <c r="B35" vm="285">
        <f ca="1"/>
        <v>44215</v>
      </c>
      <c r="C35" vm="286">
        <f ca="1"/>
        <v>216.44</v>
      </c>
      <c r="D35" vm="285">
        <f ca="1"/>
        <v>44215</v>
      </c>
      <c r="E35" vm="287">
        <f ca="1"/>
        <v>21.862500000000001</v>
      </c>
      <c r="F35" vm="285">
        <f ca="1"/>
        <v>44215</v>
      </c>
      <c r="G35" vm="288">
        <f ca="1"/>
        <v>201.66</v>
      </c>
      <c r="H35" vm="285">
        <f ca="1"/>
        <v>44215</v>
      </c>
      <c r="I35" vm="289">
        <f ca="1"/>
        <v>127.35</v>
      </c>
      <c r="J35" vm="285">
        <f ca="1"/>
        <v>44215</v>
      </c>
      <c r="K35" vm="290">
        <f ca="1"/>
        <v>21.31</v>
      </c>
      <c r="L35" vm="285">
        <f ca="1"/>
        <v>44215</v>
      </c>
      <c r="M35" vm="291">
        <f ca="1"/>
        <v>319.75</v>
      </c>
      <c r="N35" vm="285">
        <f ca="1"/>
        <v>44215</v>
      </c>
      <c r="O35" vm="292">
        <f ca="1"/>
        <v>1064.32</v>
      </c>
      <c r="P35" vm="285">
        <f ca="1"/>
        <v>44215</v>
      </c>
      <c r="Q35" vm="293">
        <f ca="1"/>
        <v>59.220999999999997</v>
      </c>
      <c r="R35" s="29">
        <f t="shared" ca="1" si="0"/>
        <v>1.7822713378791405E-2</v>
      </c>
      <c r="S35" s="30">
        <f t="shared" ca="1" si="1"/>
        <v>-7.5401977429341918E-3</v>
      </c>
      <c r="T35" s="30">
        <f t="shared" ca="1" si="2"/>
        <v>3.4723944640107734E-4</v>
      </c>
      <c r="U35" s="30">
        <f t="shared" ca="1" si="3"/>
        <v>9.0325647729973899E-3</v>
      </c>
      <c r="V35" s="30">
        <f t="shared" ca="1" si="4"/>
        <v>2.0593869731800753E-2</v>
      </c>
      <c r="W35" s="30">
        <f t="shared" ca="1" si="7"/>
        <v>-2.1887311612780059E-4</v>
      </c>
      <c r="X35" s="30">
        <f t="shared" ca="1" si="5"/>
        <v>-2.8053769725306862E-2</v>
      </c>
      <c r="Y35" s="31">
        <f t="shared" ca="1" si="6"/>
        <v>2.446070545089685E-2</v>
      </c>
      <c r="AA35" s="23">
        <v>45997</v>
      </c>
      <c r="AB35" s="37" t="e" vm="252">
        <f t="shared" si="14"/>
        <v>#VALUE!</v>
      </c>
      <c r="AC35" s="38"/>
      <c r="AD35" s="38"/>
      <c r="AE35" s="38"/>
      <c r="AF35" s="38"/>
      <c r="AG35" s="38"/>
      <c r="AH35" s="38"/>
      <c r="AI35" s="38"/>
      <c r="AK35" s="23">
        <v>44172</v>
      </c>
      <c r="AL35" s="39"/>
      <c r="AM35" s="39"/>
      <c r="AN35" s="39"/>
      <c r="AO35" s="39"/>
      <c r="AP35" s="39"/>
      <c r="AQ35" s="39"/>
      <c r="AR35" s="39"/>
      <c r="AS35" s="39"/>
    </row>
    <row r="36" spans="2:45" x14ac:dyDescent="0.45">
      <c r="B36" vm="294">
        <f ca="1"/>
        <v>44216</v>
      </c>
      <c r="C36" vm="295">
        <f ca="1"/>
        <v>224.34</v>
      </c>
      <c r="D36" vm="294">
        <f ca="1"/>
        <v>44216</v>
      </c>
      <c r="E36" vm="296">
        <f ca="1"/>
        <v>21.87</v>
      </c>
      <c r="F36" vm="294">
        <f ca="1"/>
        <v>44216</v>
      </c>
      <c r="G36" vm="297">
        <f ca="1"/>
        <v>206.01</v>
      </c>
      <c r="H36" vm="294">
        <f ca="1"/>
        <v>44216</v>
      </c>
      <c r="I36" vm="298">
        <f ca="1"/>
        <v>128.11000000000001</v>
      </c>
      <c r="J36" vm="294">
        <f ca="1"/>
        <v>44216</v>
      </c>
      <c r="K36" vm="299">
        <f ca="1"/>
        <v>20.56</v>
      </c>
      <c r="L36" vm="294">
        <f ca="1"/>
        <v>44216</v>
      </c>
      <c r="M36" vm="300">
        <f ca="1"/>
        <v>331.41</v>
      </c>
      <c r="N36" vm="294">
        <f ca="1"/>
        <v>44216</v>
      </c>
      <c r="O36" vm="301">
        <f ca="1"/>
        <v>1043.8399999999999</v>
      </c>
      <c r="P36" vm="294">
        <f ca="1"/>
        <v>44216</v>
      </c>
      <c r="Q36" vm="302">
        <f ca="1"/>
        <v>55.082000000000001</v>
      </c>
      <c r="R36" s="29">
        <f t="shared" ca="1" si="0"/>
        <v>3.6499722786915566E-2</v>
      </c>
      <c r="S36" s="30">
        <f t="shared" ca="1" si="1"/>
        <v>3.4305317324186547E-4</v>
      </c>
      <c r="T36" s="30">
        <f t="shared" ca="1" si="2"/>
        <v>2.1570961023504882E-2</v>
      </c>
      <c r="U36" s="30">
        <f t="shared" ca="1" si="3"/>
        <v>5.9678052610916323E-3</v>
      </c>
      <c r="V36" s="30">
        <f t="shared" ca="1" si="4"/>
        <v>-3.5194744251525106E-2</v>
      </c>
      <c r="W36" s="30">
        <f t="shared" ca="1" si="7"/>
        <v>3.6465989053948475E-2</v>
      </c>
      <c r="X36" s="30">
        <f t="shared" ca="1" si="5"/>
        <v>-1.9242333132892381E-2</v>
      </c>
      <c r="Y36" s="31">
        <f t="shared" ca="1" si="6"/>
        <v>-6.9890748214315804E-2</v>
      </c>
      <c r="AA36" s="23">
        <v>45998</v>
      </c>
      <c r="AB36" s="37" t="e" vm="252">
        <f t="shared" si="14"/>
        <v>#VALUE!</v>
      </c>
      <c r="AC36" s="38"/>
      <c r="AD36" s="38"/>
      <c r="AE36" s="38"/>
      <c r="AF36" s="38"/>
      <c r="AG36" s="38"/>
      <c r="AH36" s="38"/>
      <c r="AI36" s="38"/>
    </row>
    <row r="37" spans="2:45" x14ac:dyDescent="0.45">
      <c r="B37" vm="303">
        <f ca="1"/>
        <v>44217</v>
      </c>
      <c r="C37" vm="304">
        <f ca="1"/>
        <v>224.97</v>
      </c>
      <c r="D37" vm="303">
        <f ca="1"/>
        <v>44217</v>
      </c>
      <c r="E37" vm="305">
        <f ca="1"/>
        <v>21.771799999999999</v>
      </c>
      <c r="F37" vm="303">
        <f ca="1"/>
        <v>44217</v>
      </c>
      <c r="G37" vm="306">
        <f ca="1"/>
        <v>205.14</v>
      </c>
      <c r="H37" vm="303">
        <f ca="1"/>
        <v>44217</v>
      </c>
      <c r="I37" vm="307">
        <f ca="1"/>
        <v>127</v>
      </c>
      <c r="J37" vm="303">
        <f ca="1"/>
        <v>44217</v>
      </c>
      <c r="K37" vm="308">
        <f ca="1"/>
        <v>19.23</v>
      </c>
      <c r="L37" vm="303">
        <f ca="1"/>
        <v>44217</v>
      </c>
      <c r="M37" vm="309">
        <f ca="1"/>
        <v>348.3</v>
      </c>
      <c r="N37" vm="303">
        <f ca="1"/>
        <v>44217</v>
      </c>
      <c r="O37" vm="310">
        <f ca="1"/>
        <v>1035.52</v>
      </c>
      <c r="P37" vm="303">
        <f ca="1"/>
        <v>44217</v>
      </c>
      <c r="Q37" vm="311">
        <f ca="1"/>
        <v>52.045999999999999</v>
      </c>
      <c r="R37" s="29">
        <f t="shared" ca="1" si="0"/>
        <v>2.8082374966568397E-3</v>
      </c>
      <c r="S37" s="30">
        <f t="shared" ca="1" si="1"/>
        <v>-4.4901691815273006E-3</v>
      </c>
      <c r="T37" s="30">
        <f t="shared" ca="1" si="2"/>
        <v>-4.2230959662152541E-3</v>
      </c>
      <c r="U37" s="30">
        <f t="shared" ca="1" si="3"/>
        <v>-8.6644290063227977E-3</v>
      </c>
      <c r="V37" s="30">
        <f t="shared" ca="1" si="4"/>
        <v>-6.4688715953307316E-2</v>
      </c>
      <c r="W37" s="30">
        <f t="shared" ca="1" si="7"/>
        <v>5.0964062641441071E-2</v>
      </c>
      <c r="X37" s="30">
        <f t="shared" ca="1" si="5"/>
        <v>-7.9705702023297985E-3</v>
      </c>
      <c r="Y37" s="31">
        <f t="shared" ca="1" si="6"/>
        <v>-5.5117824334628397E-2</v>
      </c>
    </row>
    <row r="38" spans="2:45" x14ac:dyDescent="0.45">
      <c r="B38" vm="312">
        <f ca="1"/>
        <v>44218</v>
      </c>
      <c r="C38" vm="313">
        <f ca="1"/>
        <v>225.95</v>
      </c>
      <c r="D38" vm="312">
        <f ca="1"/>
        <v>44218</v>
      </c>
      <c r="E38" vm="314">
        <f ca="1"/>
        <v>21.8474</v>
      </c>
      <c r="F38" vm="312">
        <f ca="1"/>
        <v>44218</v>
      </c>
      <c r="G38" vm="315">
        <f ca="1"/>
        <v>202.02</v>
      </c>
      <c r="H38" vm="312">
        <f ca="1"/>
        <v>44218</v>
      </c>
      <c r="I38" vm="316">
        <f ca="1"/>
        <v>126.33</v>
      </c>
      <c r="J38" vm="312">
        <f ca="1"/>
        <v>44218</v>
      </c>
      <c r="K38" vm="317">
        <f ca="1"/>
        <v>18.91</v>
      </c>
      <c r="L38" vm="312">
        <f ca="1"/>
        <v>44218</v>
      </c>
      <c r="M38" vm="318">
        <f ca="1"/>
        <v>338.96</v>
      </c>
      <c r="N38" vm="312">
        <f ca="1"/>
        <v>44218</v>
      </c>
      <c r="O38" vm="319">
        <f ca="1"/>
        <v>1049.5999999999999</v>
      </c>
      <c r="P38" vm="312">
        <f ca="1"/>
        <v>44218</v>
      </c>
      <c r="Q38" vm="320">
        <f ca="1"/>
        <v>57.703000000000003</v>
      </c>
      <c r="R38" s="29">
        <f t="shared" ca="1" si="0"/>
        <v>4.3561363737386755E-3</v>
      </c>
      <c r="S38" s="30">
        <f t="shared" ca="1" si="1"/>
        <v>3.4723817047741319E-3</v>
      </c>
      <c r="T38" s="30">
        <f t="shared" ca="1" si="2"/>
        <v>-1.5209125475285057E-2</v>
      </c>
      <c r="U38" s="30">
        <f t="shared" ca="1" si="3"/>
        <v>-5.2755905511811156E-3</v>
      </c>
      <c r="V38" s="30">
        <f t="shared" ca="1" si="4"/>
        <v>-1.6640665626625081E-2</v>
      </c>
      <c r="W38" s="30">
        <f t="shared" ca="1" si="7"/>
        <v>-2.6815963250071868E-2</v>
      </c>
      <c r="X38" s="30">
        <f t="shared" ca="1" si="5"/>
        <v>1.3597033374536395E-2</v>
      </c>
      <c r="Y38" s="31">
        <f t="shared" ca="1" si="6"/>
        <v>0.10869231064827276</v>
      </c>
    </row>
    <row r="39" spans="2:45" x14ac:dyDescent="0.45">
      <c r="B39" vm="321">
        <f ca="1"/>
        <v>44221</v>
      </c>
      <c r="C39" vm="322">
        <f ca="1"/>
        <v>229.53</v>
      </c>
      <c r="D39" vm="321">
        <f ca="1"/>
        <v>44221</v>
      </c>
      <c r="E39" vm="323">
        <f ca="1"/>
        <v>21.9833</v>
      </c>
      <c r="F39" vm="321">
        <f ca="1"/>
        <v>44221</v>
      </c>
      <c r="G39" vm="324">
        <f ca="1"/>
        <v>200.98</v>
      </c>
      <c r="H39" vm="321">
        <f ca="1"/>
        <v>44221</v>
      </c>
      <c r="I39" vm="325">
        <f ca="1"/>
        <v>125.48</v>
      </c>
      <c r="J39" vm="321">
        <f ca="1"/>
        <v>44221</v>
      </c>
      <c r="K39" vm="326">
        <f ca="1"/>
        <v>19.03</v>
      </c>
      <c r="L39" vm="321">
        <f ca="1"/>
        <v>44221</v>
      </c>
      <c r="M39" vm="327">
        <f ca="1"/>
        <v>333.61</v>
      </c>
      <c r="N39" vm="321">
        <f ca="1"/>
        <v>44221</v>
      </c>
      <c r="O39" vm="328">
        <f ca="1"/>
        <v>1091.8399999999999</v>
      </c>
      <c r="P39" vm="321">
        <f ca="1"/>
        <v>44221</v>
      </c>
      <c r="Q39" vm="329">
        <f ca="1"/>
        <v>57.142000000000003</v>
      </c>
      <c r="R39" s="29">
        <f t="shared" ca="1" si="0"/>
        <v>1.5844213321531367E-2</v>
      </c>
      <c r="S39" s="30">
        <f t="shared" ca="1" si="1"/>
        <v>6.2204198211228551E-3</v>
      </c>
      <c r="T39" s="30">
        <f t="shared" ca="1" si="2"/>
        <v>-5.1480051480052493E-3</v>
      </c>
      <c r="U39" s="30">
        <f t="shared" ca="1" si="3"/>
        <v>-6.7284097205730573E-3</v>
      </c>
      <c r="V39" s="30">
        <f t="shared" ca="1" si="4"/>
        <v>6.3458487572713379E-3</v>
      </c>
      <c r="W39" s="30">
        <f t="shared" ca="1" si="7"/>
        <v>-1.5783573282983143E-2</v>
      </c>
      <c r="X39" s="30">
        <f t="shared" ca="1" si="5"/>
        <v>4.0243902439024405E-2</v>
      </c>
      <c r="Y39" s="31">
        <f t="shared" ca="1" si="6"/>
        <v>-9.7221981526090483E-3</v>
      </c>
    </row>
    <row r="40" spans="2:45" x14ac:dyDescent="0.45">
      <c r="B40" vm="330">
        <f ca="1"/>
        <v>44222</v>
      </c>
      <c r="C40" vm="331">
        <f ca="1"/>
        <v>232.33</v>
      </c>
      <c r="D40" vm="330">
        <f ca="1"/>
        <v>44222</v>
      </c>
      <c r="E40" vm="332">
        <f ca="1"/>
        <v>22.4666</v>
      </c>
      <c r="F40" vm="330">
        <f ca="1"/>
        <v>44222</v>
      </c>
      <c r="G40" vm="333">
        <f ca="1"/>
        <v>202.01</v>
      </c>
      <c r="H40" vm="330">
        <f ca="1"/>
        <v>44222</v>
      </c>
      <c r="I40" vm="334">
        <f ca="1"/>
        <v>123.92</v>
      </c>
      <c r="J40" vm="330">
        <f ca="1"/>
        <v>44222</v>
      </c>
      <c r="K40" vm="335">
        <f ca="1"/>
        <v>18.14</v>
      </c>
      <c r="L40" vm="330">
        <f ca="1"/>
        <v>44222</v>
      </c>
      <c r="M40" vm="336">
        <f ca="1"/>
        <v>337.01</v>
      </c>
      <c r="N40" vm="330">
        <f ca="1"/>
        <v>44222</v>
      </c>
      <c r="O40" vm="62">
        <f ca="1"/>
        <v>1100.8</v>
      </c>
      <c r="P40" vm="330">
        <f ca="1"/>
        <v>44222</v>
      </c>
      <c r="Q40" vm="337">
        <f ca="1"/>
        <v>55.981000000000002</v>
      </c>
      <c r="R40" s="29">
        <f t="shared" ca="1" si="0"/>
        <v>1.219884111009459E-2</v>
      </c>
      <c r="S40" s="30">
        <f t="shared" ca="1" si="1"/>
        <v>2.1984870333389431E-2</v>
      </c>
      <c r="T40" s="30">
        <f t="shared" ca="1" si="2"/>
        <v>5.1248880485620521E-3</v>
      </c>
      <c r="U40" s="30">
        <f t="shared" ca="1" si="3"/>
        <v>-1.243226012113486E-2</v>
      </c>
      <c r="V40" s="30">
        <f t="shared" ca="1" si="4"/>
        <v>-4.6768260641093039E-2</v>
      </c>
      <c r="W40" s="30">
        <f t="shared" ca="1" si="7"/>
        <v>1.019154102095254E-2</v>
      </c>
      <c r="X40" s="30">
        <f t="shared" ca="1" si="5"/>
        <v>8.2063305978898344E-3</v>
      </c>
      <c r="Y40" s="31">
        <f t="shared" ca="1" si="6"/>
        <v>-2.031780476707153E-2</v>
      </c>
    </row>
    <row r="41" spans="2:45" x14ac:dyDescent="0.45">
      <c r="B41" vm="338">
        <f ca="1"/>
        <v>44223</v>
      </c>
      <c r="C41" vm="339">
        <f ca="1"/>
        <v>232.9</v>
      </c>
      <c r="D41" vm="338">
        <f ca="1"/>
        <v>44223</v>
      </c>
      <c r="E41" vm="340">
        <f ca="1"/>
        <v>22.0059</v>
      </c>
      <c r="F41" vm="338">
        <f ca="1"/>
        <v>44223</v>
      </c>
      <c r="G41" vm="341">
        <f ca="1"/>
        <v>194.97</v>
      </c>
      <c r="H41" vm="338">
        <f ca="1"/>
        <v>44223</v>
      </c>
      <c r="I41" vm="342">
        <f ca="1"/>
        <v>118.8</v>
      </c>
      <c r="J41" vm="338">
        <f ca="1"/>
        <v>44223</v>
      </c>
      <c r="K41" vm="343">
        <f ca="1"/>
        <v>18.38</v>
      </c>
      <c r="L41" vm="338">
        <f ca="1"/>
        <v>44223</v>
      </c>
      <c r="M41" vm="344">
        <f ca="1"/>
        <v>330.19</v>
      </c>
      <c r="N41" vm="338">
        <f ca="1"/>
        <v>44223</v>
      </c>
      <c r="O41" vm="345">
        <f ca="1"/>
        <v>1296</v>
      </c>
      <c r="P41" vm="338">
        <f ca="1"/>
        <v>44223</v>
      </c>
      <c r="Q41" vm="346">
        <f ca="1"/>
        <v>54.01</v>
      </c>
      <c r="R41" s="29">
        <f t="shared" ca="1" si="0"/>
        <v>2.4534067920629842E-3</v>
      </c>
      <c r="S41" s="30">
        <f t="shared" ca="1" si="1"/>
        <v>-2.0505995566752391E-2</v>
      </c>
      <c r="T41" s="30">
        <f t="shared" ca="1" si="2"/>
        <v>-3.4849759912875561E-2</v>
      </c>
      <c r="U41" s="30">
        <f t="shared" ca="1" si="3"/>
        <v>-4.1316978695932899E-2</v>
      </c>
      <c r="V41" s="30">
        <f t="shared" ca="1" si="4"/>
        <v>1.3230429988974555E-2</v>
      </c>
      <c r="W41" s="30">
        <f t="shared" ca="1" si="7"/>
        <v>-2.0236788225868649E-2</v>
      </c>
      <c r="X41" s="30">
        <f t="shared" ca="1" si="5"/>
        <v>0.17732558139534887</v>
      </c>
      <c r="Y41" s="31">
        <f t="shared" ca="1" si="6"/>
        <v>-3.5208374269841615E-2</v>
      </c>
    </row>
    <row r="42" spans="2:45" x14ac:dyDescent="0.45">
      <c r="B42" vm="347">
        <f ca="1"/>
        <v>44224</v>
      </c>
      <c r="C42" vm="348">
        <f ca="1"/>
        <v>238.93</v>
      </c>
      <c r="D42" vm="347">
        <f ca="1"/>
        <v>44224</v>
      </c>
      <c r="E42" vm="349">
        <f ca="1"/>
        <v>21.749199999999998</v>
      </c>
      <c r="F42" vm="347">
        <f ca="1"/>
        <v>44224</v>
      </c>
      <c r="G42" vm="350">
        <f ca="1"/>
        <v>198.22</v>
      </c>
      <c r="H42" vm="347">
        <f ca="1"/>
        <v>44224</v>
      </c>
      <c r="I42" vm="351">
        <f ca="1"/>
        <v>121.56</v>
      </c>
      <c r="J42" vm="347">
        <f ca="1"/>
        <v>44224</v>
      </c>
      <c r="K42" vm="352">
        <f ca="1"/>
        <v>18.73</v>
      </c>
      <c r="L42" vm="347">
        <f ca="1"/>
        <v>44224</v>
      </c>
      <c r="M42" vm="353">
        <f ca="1"/>
        <v>325.44</v>
      </c>
      <c r="N42" vm="347">
        <f ca="1"/>
        <v>44224</v>
      </c>
      <c r="O42" vm="354">
        <f ca="1"/>
        <v>1266.56</v>
      </c>
      <c r="P42" vm="347">
        <f ca="1"/>
        <v>44224</v>
      </c>
      <c r="Q42" vm="355">
        <f ca="1"/>
        <v>57.837499999999999</v>
      </c>
      <c r="R42" s="29">
        <f t="shared" ca="1" si="0"/>
        <v>2.5890940317732938E-2</v>
      </c>
      <c r="S42" s="30">
        <f t="shared" ca="1" si="1"/>
        <v>-1.1665053462935037E-2</v>
      </c>
      <c r="T42" s="30">
        <f t="shared" ca="1" si="2"/>
        <v>1.6669231163768786E-2</v>
      </c>
      <c r="U42" s="30">
        <f t="shared" ca="1" si="3"/>
        <v>2.3232323232323274E-2</v>
      </c>
      <c r="V42" s="30">
        <f t="shared" ca="1" si="4"/>
        <v>1.9042437431991372E-2</v>
      </c>
      <c r="W42" s="30">
        <f t="shared" ca="1" si="7"/>
        <v>-1.4385656743087314E-2</v>
      </c>
      <c r="X42" s="30">
        <f t="shared" ca="1" si="5"/>
        <v>-2.271604938271609E-2</v>
      </c>
      <c r="Y42" s="31">
        <f t="shared" ca="1" si="6"/>
        <v>7.0866506202555093E-2</v>
      </c>
    </row>
    <row r="43" spans="2:45" x14ac:dyDescent="0.45">
      <c r="B43" vm="356">
        <f ca="1"/>
        <v>44225</v>
      </c>
      <c r="C43" vm="357">
        <f ca="1"/>
        <v>231.96</v>
      </c>
      <c r="D43" vm="356">
        <f ca="1"/>
        <v>44225</v>
      </c>
      <c r="E43" vm="358">
        <f ca="1"/>
        <v>21.620799999999999</v>
      </c>
      <c r="F43" vm="356">
        <f ca="1"/>
        <v>44225</v>
      </c>
      <c r="G43" vm="359">
        <f ca="1"/>
        <v>193.25</v>
      </c>
      <c r="H43" vm="356">
        <f ca="1"/>
        <v>44225</v>
      </c>
      <c r="I43" vm="360">
        <f ca="1"/>
        <v>120.17</v>
      </c>
      <c r="J43" vm="356">
        <f ca="1"/>
        <v>44225</v>
      </c>
      <c r="K43" vm="361">
        <f ca="1"/>
        <v>17.760000000000002</v>
      </c>
      <c r="L43" vm="356">
        <f ca="1"/>
        <v>44225</v>
      </c>
      <c r="M43" vm="362">
        <f ca="1"/>
        <v>315</v>
      </c>
      <c r="N43" vm="356">
        <f ca="1"/>
        <v>44225</v>
      </c>
      <c r="O43" vm="363">
        <f ca="1"/>
        <v>1349.12</v>
      </c>
      <c r="P43" vm="356">
        <f ca="1"/>
        <v>44225</v>
      </c>
      <c r="Q43" vm="364">
        <f ca="1"/>
        <v>61.731000000000002</v>
      </c>
      <c r="R43" s="29">
        <f t="shared" ca="1" si="0"/>
        <v>-2.9171723935880797E-2</v>
      </c>
      <c r="S43" s="30">
        <f t="shared" ca="1" si="1"/>
        <v>-5.9036654221764108E-3</v>
      </c>
      <c r="T43" s="30">
        <f t="shared" ca="1" si="2"/>
        <v>-2.5073151044294213E-2</v>
      </c>
      <c r="U43" s="30">
        <f t="shared" ca="1" si="3"/>
        <v>-1.1434682461335971E-2</v>
      </c>
      <c r="V43" s="30">
        <f t="shared" ca="1" si="4"/>
        <v>-5.1788574479444682E-2</v>
      </c>
      <c r="W43" s="30">
        <f t="shared" ca="1" si="7"/>
        <v>-3.2079646017699109E-2</v>
      </c>
      <c r="X43" s="30">
        <f t="shared" ca="1" si="5"/>
        <v>6.5184436584133365E-2</v>
      </c>
      <c r="Y43" s="31">
        <f t="shared" ca="1" si="6"/>
        <v>6.7317916576615566E-2</v>
      </c>
    </row>
    <row r="44" spans="2:45" x14ac:dyDescent="0.45">
      <c r="B44" vm="365">
        <f ca="1"/>
        <v>44228</v>
      </c>
      <c r="C44" vm="366">
        <f ca="1"/>
        <v>239.65</v>
      </c>
      <c r="D44" vm="365">
        <f ca="1"/>
        <v>44228</v>
      </c>
      <c r="E44" vm="367">
        <f ca="1"/>
        <v>21.635899999999999</v>
      </c>
      <c r="F44" vm="365">
        <f ca="1"/>
        <v>44228</v>
      </c>
      <c r="G44" vm="368">
        <f ca="1"/>
        <v>198.36</v>
      </c>
      <c r="H44" vm="365">
        <f ca="1"/>
        <v>44228</v>
      </c>
      <c r="I44" vm="369">
        <f ca="1"/>
        <v>120.83</v>
      </c>
      <c r="J44" vm="365">
        <f ca="1"/>
        <v>44228</v>
      </c>
      <c r="K44" vm="370">
        <f ca="1"/>
        <v>18.149999999999999</v>
      </c>
      <c r="L44" vm="365">
        <f ca="1"/>
        <v>44228</v>
      </c>
      <c r="M44" vm="371">
        <f ca="1"/>
        <v>332.65</v>
      </c>
      <c r="N44" vm="365">
        <f ca="1"/>
        <v>44228</v>
      </c>
      <c r="O44" vm="372">
        <f ca="1"/>
        <v>1272.32</v>
      </c>
      <c r="P44" vm="365">
        <f ca="1"/>
        <v>44228</v>
      </c>
      <c r="Q44" vm="373">
        <f ca="1"/>
        <v>63.456000000000003</v>
      </c>
      <c r="R44" s="29">
        <f t="shared" ca="1" si="0"/>
        <v>3.3152267632350393E-2</v>
      </c>
      <c r="S44" s="30">
        <f t="shared" ca="1" si="1"/>
        <v>6.9840153925850739E-4</v>
      </c>
      <c r="T44" s="30">
        <f t="shared" ca="1" si="2"/>
        <v>2.6442432082794377E-2</v>
      </c>
      <c r="U44" s="30">
        <f t="shared" ca="1" si="3"/>
        <v>5.4922193559124293E-3</v>
      </c>
      <c r="V44" s="30">
        <f t="shared" ca="1" si="4"/>
        <v>2.1959459459459291E-2</v>
      </c>
      <c r="W44" s="30">
        <f t="shared" ca="1" si="7"/>
        <v>5.603174603174596E-2</v>
      </c>
      <c r="X44" s="30">
        <f t="shared" ca="1" si="5"/>
        <v>-5.6925996204933556E-2</v>
      </c>
      <c r="Y44" s="31">
        <f t="shared" ca="1" si="6"/>
        <v>2.7943820770763496E-2</v>
      </c>
    </row>
    <row r="45" spans="2:45" x14ac:dyDescent="0.45">
      <c r="B45" vm="374">
        <f ca="1"/>
        <v>44229</v>
      </c>
      <c r="C45" vm="375">
        <f ca="1"/>
        <v>239.51</v>
      </c>
      <c r="D45" vm="374">
        <f ca="1"/>
        <v>44229</v>
      </c>
      <c r="E45" vm="174">
        <f ca="1"/>
        <v>21.552800000000001</v>
      </c>
      <c r="F45" vm="374">
        <f ca="1"/>
        <v>44229</v>
      </c>
      <c r="G45" vm="376">
        <f ca="1"/>
        <v>202.61</v>
      </c>
      <c r="H45" vm="374">
        <f ca="1"/>
        <v>44229</v>
      </c>
      <c r="I45" vm="377">
        <f ca="1"/>
        <v>123.19</v>
      </c>
      <c r="J45" vm="374">
        <f ca="1"/>
        <v>44229</v>
      </c>
      <c r="K45" vm="378">
        <f ca="1"/>
        <v>17.64</v>
      </c>
      <c r="L45" vm="374">
        <f ca="1"/>
        <v>44229</v>
      </c>
      <c r="M45" vm="379">
        <f ca="1"/>
        <v>345.05</v>
      </c>
      <c r="N45" vm="374">
        <f ca="1"/>
        <v>44229</v>
      </c>
      <c r="O45" vm="380">
        <f ca="1"/>
        <v>1164.1600000000001</v>
      </c>
      <c r="P45" vm="374">
        <f ca="1"/>
        <v>44229</v>
      </c>
      <c r="Q45" vm="381">
        <f ca="1"/>
        <v>68.792000000000002</v>
      </c>
      <c r="R45" s="29">
        <f t="shared" ca="1" si="0"/>
        <v>-5.8418527018574908E-4</v>
      </c>
      <c r="S45" s="30">
        <f t="shared" ca="1" si="1"/>
        <v>-3.8408386062053429E-3</v>
      </c>
      <c r="T45" s="30">
        <f t="shared" ca="1" si="2"/>
        <v>2.142569066344021E-2</v>
      </c>
      <c r="U45" s="30">
        <f t="shared" ca="1" si="3"/>
        <v>1.9531573284780265E-2</v>
      </c>
      <c r="V45" s="30">
        <f t="shared" ca="1" si="4"/>
        <v>-2.8099173553718902E-2</v>
      </c>
      <c r="W45" s="30">
        <f t="shared" ca="1" si="7"/>
        <v>3.7276416654141095E-2</v>
      </c>
      <c r="X45" s="30">
        <f t="shared" ca="1" si="5"/>
        <v>-8.5010060362172929E-2</v>
      </c>
      <c r="Y45" s="31">
        <f t="shared" ca="1" si="6"/>
        <v>8.4089762985375668E-2</v>
      </c>
    </row>
    <row r="46" spans="2:45" x14ac:dyDescent="0.45">
      <c r="B46" vm="382">
        <f ca="1"/>
        <v>44230</v>
      </c>
      <c r="C46" vm="383">
        <f ca="1"/>
        <v>243</v>
      </c>
      <c r="D46" vm="382">
        <f ca="1"/>
        <v>44230</v>
      </c>
      <c r="E46" vm="384">
        <f ca="1"/>
        <v>21.530200000000001</v>
      </c>
      <c r="F46" vm="382">
        <f ca="1"/>
        <v>44230</v>
      </c>
      <c r="G46" vm="385">
        <f ca="1"/>
        <v>201.36</v>
      </c>
      <c r="H46" vm="382">
        <f ca="1"/>
        <v>44230</v>
      </c>
      <c r="I46" vm="386">
        <f ca="1"/>
        <v>122.15</v>
      </c>
      <c r="J46" vm="382">
        <f ca="1"/>
        <v>44230</v>
      </c>
      <c r="K46" vm="387">
        <f ca="1"/>
        <v>16.260000000000002</v>
      </c>
      <c r="L46" vm="382">
        <f ca="1"/>
        <v>44230</v>
      </c>
      <c r="M46" vm="388">
        <f ca="1"/>
        <v>317.25</v>
      </c>
      <c r="N46" vm="382">
        <f ca="1"/>
        <v>44230</v>
      </c>
      <c r="O46" vm="389">
        <f ca="1"/>
        <v>1104</v>
      </c>
      <c r="P46" vm="382">
        <f ca="1"/>
        <v>44230</v>
      </c>
      <c r="Q46" vm="390">
        <f ca="1"/>
        <v>74.119</v>
      </c>
      <c r="R46" s="29">
        <f t="shared" ca="1" si="0"/>
        <v>1.4571416642311425E-2</v>
      </c>
      <c r="S46" s="30">
        <f t="shared" ca="1" si="1"/>
        <v>-1.0485876545043159E-3</v>
      </c>
      <c r="T46" s="30">
        <f t="shared" ca="1" si="2"/>
        <v>-6.1694881792606479E-3</v>
      </c>
      <c r="U46" s="30">
        <f t="shared" ca="1" si="3"/>
        <v>-8.4422436886110244E-3</v>
      </c>
      <c r="V46" s="30">
        <f t="shared" ca="1" si="4"/>
        <v>-7.8231292517006737E-2</v>
      </c>
      <c r="W46" s="30">
        <f t="shared" ca="1" si="7"/>
        <v>-8.0568033618316215E-2</v>
      </c>
      <c r="X46" s="30">
        <f t="shared" ca="1" si="5"/>
        <v>-5.167674546454102E-2</v>
      </c>
      <c r="Y46" s="31">
        <f t="shared" ca="1" si="6"/>
        <v>7.7436329805791349E-2</v>
      </c>
    </row>
    <row r="47" spans="2:45" x14ac:dyDescent="0.45">
      <c r="B47" vm="391">
        <f ca="1"/>
        <v>44231</v>
      </c>
      <c r="C47" vm="392">
        <f ca="1"/>
        <v>242.01</v>
      </c>
      <c r="D47" vm="391">
        <f ca="1"/>
        <v>44231</v>
      </c>
      <c r="E47" vm="393">
        <f ca="1"/>
        <v>21.8172</v>
      </c>
      <c r="F47" vm="391">
        <f ca="1"/>
        <v>44231</v>
      </c>
      <c r="G47" vm="394">
        <f ca="1"/>
        <v>209.25</v>
      </c>
      <c r="H47" vm="391">
        <f ca="1"/>
        <v>44231</v>
      </c>
      <c r="I47" vm="395">
        <f ca="1"/>
        <v>124.07</v>
      </c>
      <c r="J47" vm="391">
        <f ca="1"/>
        <v>44231</v>
      </c>
      <c r="K47" vm="396">
        <f ca="1"/>
        <v>16.5</v>
      </c>
      <c r="L47" vm="391">
        <f ca="1"/>
        <v>44231</v>
      </c>
      <c r="M47" vm="397">
        <f ca="1"/>
        <v>314.7</v>
      </c>
      <c r="N47" vm="391">
        <f ca="1"/>
        <v>44231</v>
      </c>
      <c r="O47" vm="232">
        <f ca="1"/>
        <v>1056</v>
      </c>
      <c r="P47" vm="391">
        <f ca="1"/>
        <v>44231</v>
      </c>
      <c r="Q47" vm="398">
        <f ca="1"/>
        <v>76.558999999999997</v>
      </c>
      <c r="R47" s="29">
        <f t="shared" ca="1" si="0"/>
        <v>-4.0740740740741119E-3</v>
      </c>
      <c r="S47" s="30">
        <f t="shared" ca="1" si="1"/>
        <v>1.3330113050505755E-2</v>
      </c>
      <c r="T47" s="30">
        <f t="shared" ca="1" si="2"/>
        <v>3.9183551847437353E-2</v>
      </c>
      <c r="U47" s="30">
        <f t="shared" ca="1" si="3"/>
        <v>1.5718379042161175E-2</v>
      </c>
      <c r="V47" s="30">
        <f t="shared" ca="1" si="4"/>
        <v>1.4760147601475917E-2</v>
      </c>
      <c r="W47" s="30">
        <f t="shared" ca="1" si="7"/>
        <v>-8.0378250591016907E-3</v>
      </c>
      <c r="X47" s="30">
        <f t="shared" ca="1" si="5"/>
        <v>-4.3478260869565216E-2</v>
      </c>
      <c r="Y47" s="31">
        <f t="shared" ca="1" si="6"/>
        <v>3.2920033999379344E-2</v>
      </c>
    </row>
    <row r="48" spans="2:45" x14ac:dyDescent="0.45">
      <c r="B48" vm="399">
        <f ca="1"/>
        <v>44232</v>
      </c>
      <c r="C48" vm="400">
        <f ca="1"/>
        <v>242.2</v>
      </c>
      <c r="D48" vm="399">
        <f ca="1"/>
        <v>44232</v>
      </c>
      <c r="E48" vm="314">
        <f ca="1"/>
        <v>21.8474</v>
      </c>
      <c r="F48" vm="399">
        <f ca="1"/>
        <v>44232</v>
      </c>
      <c r="G48" vm="401">
        <f ca="1"/>
        <v>208.77</v>
      </c>
      <c r="H48" vm="399">
        <f ca="1"/>
        <v>44232</v>
      </c>
      <c r="I48" vm="402">
        <f ca="1"/>
        <v>123.18</v>
      </c>
      <c r="J48" vm="399">
        <f ca="1"/>
        <v>44232</v>
      </c>
      <c r="K48" vm="403">
        <f ca="1"/>
        <v>16.55</v>
      </c>
      <c r="L48" vm="399">
        <f ca="1"/>
        <v>44232</v>
      </c>
      <c r="M48" vm="404">
        <f ca="1"/>
        <v>310.77</v>
      </c>
      <c r="N48" vm="399">
        <f ca="1"/>
        <v>44232</v>
      </c>
      <c r="O48" vm="405">
        <f ca="1"/>
        <v>1054.08</v>
      </c>
      <c r="P48" vm="399">
        <f ca="1"/>
        <v>44232</v>
      </c>
      <c r="Q48" vm="406">
        <f ca="1"/>
        <v>80.599999999999994</v>
      </c>
      <c r="R48" s="29">
        <f t="shared" ca="1" si="0"/>
        <v>7.8509152514357979E-4</v>
      </c>
      <c r="S48" s="30">
        <f t="shared" ca="1" si="1"/>
        <v>1.384228956969761E-3</v>
      </c>
      <c r="T48" s="30">
        <f t="shared" ca="1" si="2"/>
        <v>-2.2939068100357933E-3</v>
      </c>
      <c r="U48" s="30">
        <f t="shared" ca="1" si="3"/>
        <v>-7.173369871846429E-3</v>
      </c>
      <c r="V48" s="30">
        <f t="shared" ca="1" si="4"/>
        <v>3.0303030303030732E-3</v>
      </c>
      <c r="W48" s="30">
        <f t="shared" ca="1" si="7"/>
        <v>-1.2488083889418517E-2</v>
      </c>
      <c r="X48" s="30">
        <f t="shared" ca="1" si="5"/>
        <v>-1.8181818181818871E-3</v>
      </c>
      <c r="Y48" s="31">
        <f t="shared" ca="1" si="6"/>
        <v>5.2782821092229482E-2</v>
      </c>
    </row>
    <row r="49" spans="2:25" x14ac:dyDescent="0.45">
      <c r="B49" vm="407">
        <f ca="1"/>
        <v>44235</v>
      </c>
      <c r="C49" vm="408">
        <f ca="1"/>
        <v>242.47</v>
      </c>
      <c r="D49" vm="407">
        <f ca="1"/>
        <v>44235</v>
      </c>
      <c r="E49" vm="409">
        <f ca="1"/>
        <v>21.726500000000001</v>
      </c>
      <c r="F49" vm="407">
        <f ca="1"/>
        <v>44235</v>
      </c>
      <c r="G49" vm="410">
        <f ca="1"/>
        <v>206.89</v>
      </c>
      <c r="H49" vm="407">
        <f ca="1"/>
        <v>44235</v>
      </c>
      <c r="I49" vm="411">
        <f ca="1"/>
        <v>123.41</v>
      </c>
      <c r="J49" vm="407">
        <f ca="1"/>
        <v>44235</v>
      </c>
      <c r="K49" vm="185">
        <f ca="1"/>
        <v>16.84</v>
      </c>
      <c r="L49" vm="407">
        <f ca="1"/>
        <v>44235</v>
      </c>
      <c r="M49" vm="412">
        <f ca="1"/>
        <v>323.79000000000002</v>
      </c>
      <c r="N49" vm="407">
        <f ca="1"/>
        <v>44235</v>
      </c>
      <c r="O49" vm="413">
        <f ca="1"/>
        <v>1045.1199999999999</v>
      </c>
      <c r="P49" vm="407">
        <f ca="1"/>
        <v>44235</v>
      </c>
      <c r="Q49" vm="414">
        <f ca="1"/>
        <v>104.1</v>
      </c>
      <c r="R49" s="29">
        <f t="shared" ca="1" si="0"/>
        <v>1.1147811725846831E-3</v>
      </c>
      <c r="S49" s="30">
        <f t="shared" ca="1" si="1"/>
        <v>-5.5338392669150053E-3</v>
      </c>
      <c r="T49" s="30">
        <f t="shared" ca="1" si="2"/>
        <v>-9.0051252574604775E-3</v>
      </c>
      <c r="U49" s="30">
        <f t="shared" ca="1" si="3"/>
        <v>1.8671862315310095E-3</v>
      </c>
      <c r="V49" s="30">
        <f t="shared" ca="1" si="4"/>
        <v>1.752265861027185E-2</v>
      </c>
      <c r="W49" s="30">
        <f t="shared" ca="1" si="7"/>
        <v>4.1895935901148887E-2</v>
      </c>
      <c r="X49" s="30">
        <f t="shared" ca="1" si="5"/>
        <v>-8.5003035822708312E-3</v>
      </c>
      <c r="Y49" s="31">
        <f t="shared" ca="1" si="6"/>
        <v>0.29156327543424321</v>
      </c>
    </row>
    <row r="50" spans="2:25" x14ac:dyDescent="0.45">
      <c r="B50" vm="415">
        <f ca="1"/>
        <v>44236</v>
      </c>
      <c r="C50" vm="416">
        <f ca="1"/>
        <v>243.77</v>
      </c>
      <c r="D50" vm="415">
        <f ca="1"/>
        <v>44236</v>
      </c>
      <c r="E50" vm="417">
        <f ca="1"/>
        <v>21.613299999999999</v>
      </c>
      <c r="F50" vm="415">
        <f ca="1"/>
        <v>44236</v>
      </c>
      <c r="G50" vm="418">
        <f ca="1"/>
        <v>206.52</v>
      </c>
      <c r="H50" vm="415">
        <f ca="1"/>
        <v>44236</v>
      </c>
      <c r="I50" vm="419">
        <f ca="1"/>
        <v>123.24</v>
      </c>
      <c r="J50" vm="415">
        <f ca="1"/>
        <v>44236</v>
      </c>
      <c r="K50" vm="177">
        <f ca="1"/>
        <v>16.440000000000001</v>
      </c>
      <c r="L50" vm="415">
        <f ca="1"/>
        <v>44236</v>
      </c>
      <c r="M50" vm="420">
        <f ca="1"/>
        <v>334</v>
      </c>
      <c r="N50" vm="415">
        <f ca="1"/>
        <v>44236</v>
      </c>
      <c r="O50" vm="319">
        <f ca="1"/>
        <v>1049.5999999999999</v>
      </c>
      <c r="P50" vm="415">
        <f ca="1"/>
        <v>44236</v>
      </c>
      <c r="Q50" vm="421">
        <f ca="1"/>
        <v>127.294</v>
      </c>
      <c r="R50" s="29">
        <f t="shared" ca="1" si="0"/>
        <v>5.3614880191364348E-3</v>
      </c>
      <c r="S50" s="30">
        <f t="shared" ca="1" si="1"/>
        <v>-5.2102271419696049E-3</v>
      </c>
      <c r="T50" s="30">
        <f t="shared" ca="1" si="2"/>
        <v>-1.7883899656821313E-3</v>
      </c>
      <c r="U50" s="30">
        <f t="shared" ca="1" si="3"/>
        <v>-1.3775220808686631E-3</v>
      </c>
      <c r="V50" s="30">
        <f t="shared" ca="1" si="4"/>
        <v>-2.3752969121140059E-2</v>
      </c>
      <c r="W50" s="30">
        <f t="shared" ca="1" si="7"/>
        <v>3.1532783594304885E-2</v>
      </c>
      <c r="X50" s="30">
        <f t="shared" ca="1" si="5"/>
        <v>4.2865890998163066E-3</v>
      </c>
      <c r="Y50" s="31">
        <f t="shared" ca="1" si="6"/>
        <v>0.22280499519692606</v>
      </c>
    </row>
    <row r="51" spans="2:25" x14ac:dyDescent="0.45">
      <c r="B51" vm="422">
        <f ca="1"/>
        <v>44237</v>
      </c>
      <c r="C51" vm="423">
        <f ca="1"/>
        <v>242.82</v>
      </c>
      <c r="D51" vm="422">
        <f ca="1"/>
        <v>44237</v>
      </c>
      <c r="E51" vm="165">
        <f ca="1"/>
        <v>21.560400000000001</v>
      </c>
      <c r="F51" vm="422">
        <f ca="1"/>
        <v>44237</v>
      </c>
      <c r="G51" vm="424">
        <f ca="1"/>
        <v>206.44</v>
      </c>
      <c r="H51" vm="422">
        <f ca="1"/>
        <v>44237</v>
      </c>
      <c r="I51" vm="425">
        <f ca="1"/>
        <v>125.08</v>
      </c>
      <c r="J51" vm="422">
        <f ca="1"/>
        <v>44237</v>
      </c>
      <c r="K51" vm="426">
        <f ca="1"/>
        <v>16.41</v>
      </c>
      <c r="L51" vm="422">
        <f ca="1"/>
        <v>44237</v>
      </c>
      <c r="M51" vm="427">
        <f ca="1"/>
        <v>335.71</v>
      </c>
      <c r="N51" vm="422">
        <f ca="1"/>
        <v>44237</v>
      </c>
      <c r="O51" vm="428">
        <f ca="1"/>
        <v>1066.8800000000001</v>
      </c>
      <c r="P51" vm="422">
        <f ca="1"/>
        <v>44237</v>
      </c>
      <c r="Q51" vm="429">
        <f ca="1"/>
        <v>97.447999999999993</v>
      </c>
      <c r="R51" s="29">
        <f t="shared" ca="1" si="0"/>
        <v>-3.8971161340608648E-3</v>
      </c>
      <c r="S51" s="30">
        <f t="shared" ca="1" si="1"/>
        <v>-2.4475670073518391E-3</v>
      </c>
      <c r="T51" s="30">
        <f t="shared" ca="1" si="2"/>
        <v>-3.8737168313002376E-4</v>
      </c>
      <c r="U51" s="30">
        <f t="shared" ca="1" si="3"/>
        <v>1.4930217461863059E-2</v>
      </c>
      <c r="V51" s="30">
        <f t="shared" ca="1" si="4"/>
        <v>-1.8248175182482443E-3</v>
      </c>
      <c r="W51" s="30">
        <f t="shared" ca="1" si="7"/>
        <v>5.1197604790418549E-3</v>
      </c>
      <c r="X51" s="30">
        <f t="shared" ca="1" si="5"/>
        <v>1.6463414634146533E-2</v>
      </c>
      <c r="Y51" s="31">
        <f t="shared" ca="1" si="6"/>
        <v>-0.23446509654814843</v>
      </c>
    </row>
    <row r="52" spans="2:25" x14ac:dyDescent="0.45">
      <c r="B52" vm="430">
        <f ca="1"/>
        <v>44238</v>
      </c>
      <c r="C52" vm="431">
        <f ca="1"/>
        <v>244.49</v>
      </c>
      <c r="D52" vm="430">
        <f ca="1"/>
        <v>44238</v>
      </c>
      <c r="E52" vm="156">
        <f ca="1"/>
        <v>21.6661</v>
      </c>
      <c r="F52" vm="430">
        <f ca="1"/>
        <v>44238</v>
      </c>
      <c r="G52" vm="432">
        <f ca="1"/>
        <v>210.66</v>
      </c>
      <c r="H52" vm="430">
        <f ca="1"/>
        <v>44238</v>
      </c>
      <c r="I52" vm="433">
        <f ca="1"/>
        <v>126.96</v>
      </c>
      <c r="J52" vm="430">
        <f ca="1"/>
        <v>44238</v>
      </c>
      <c r="K52" vm="434">
        <f ca="1"/>
        <v>16.52</v>
      </c>
      <c r="L52" vm="430">
        <f ca="1"/>
        <v>44238</v>
      </c>
      <c r="M52" vm="435">
        <f ca="1"/>
        <v>331.9</v>
      </c>
      <c r="N52" vm="430">
        <f ca="1"/>
        <v>44238</v>
      </c>
      <c r="O52" vm="436">
        <f ca="1"/>
        <v>1041.92</v>
      </c>
      <c r="P52" vm="430">
        <f ca="1"/>
        <v>44238</v>
      </c>
      <c r="Q52" vm="437">
        <f ca="1"/>
        <v>100.994</v>
      </c>
      <c r="R52" s="29">
        <f t="shared" ca="1" si="0"/>
        <v>6.8775224446092414E-3</v>
      </c>
      <c r="S52" s="30">
        <f t="shared" ca="1" si="1"/>
        <v>4.9025064470046373E-3</v>
      </c>
      <c r="T52" s="30">
        <f t="shared" ca="1" si="2"/>
        <v>2.0441774849835299E-2</v>
      </c>
      <c r="U52" s="30">
        <f t="shared" ca="1" si="3"/>
        <v>1.503038055644384E-2</v>
      </c>
      <c r="V52" s="30">
        <f t="shared" ca="1" si="4"/>
        <v>6.7032297379646206E-3</v>
      </c>
      <c r="W52" s="30">
        <f t="shared" ca="1" si="7"/>
        <v>-1.1349081052098545E-2</v>
      </c>
      <c r="X52" s="30">
        <f t="shared" ca="1" si="5"/>
        <v>-2.3395320935812869E-2</v>
      </c>
      <c r="Y52" s="31">
        <f t="shared" ca="1" si="6"/>
        <v>3.6388638042853694E-2</v>
      </c>
    </row>
    <row r="53" spans="2:25" x14ac:dyDescent="0.45">
      <c r="B53" vm="438">
        <f ca="1"/>
        <v>44239</v>
      </c>
      <c r="C53" vm="439">
        <f ca="1"/>
        <v>244.99</v>
      </c>
      <c r="D53" vm="438">
        <f ca="1"/>
        <v>44239</v>
      </c>
      <c r="E53" vm="349">
        <f ca="1"/>
        <v>21.749199999999998</v>
      </c>
      <c r="F53" vm="438">
        <f ca="1"/>
        <v>44239</v>
      </c>
      <c r="G53" vm="440">
        <f ca="1"/>
        <v>209.96</v>
      </c>
      <c r="H53" vm="438">
        <f ca="1"/>
        <v>44239</v>
      </c>
      <c r="I53" vm="441">
        <f ca="1"/>
        <v>127.98</v>
      </c>
      <c r="J53" vm="438">
        <f ca="1"/>
        <v>44239</v>
      </c>
      <c r="K53" vm="396">
        <f ca="1"/>
        <v>16.5</v>
      </c>
      <c r="L53" vm="438">
        <f ca="1"/>
        <v>44239</v>
      </c>
      <c r="M53" vm="442">
        <f ca="1"/>
        <v>339.7</v>
      </c>
      <c r="N53" vm="438">
        <f ca="1"/>
        <v>44239</v>
      </c>
      <c r="O53" vm="443">
        <f ca="1"/>
        <v>1007.36</v>
      </c>
      <c r="P53" vm="438">
        <f ca="1"/>
        <v>44239</v>
      </c>
      <c r="Q53" vm="444">
        <f ca="1"/>
        <v>103.431</v>
      </c>
      <c r="R53" s="29">
        <f t="shared" ca="1" si="0"/>
        <v>2.0450734181357111E-3</v>
      </c>
      <c r="S53" s="30">
        <f t="shared" ca="1" si="1"/>
        <v>3.8354849280672651E-3</v>
      </c>
      <c r="T53" s="30">
        <f t="shared" ca="1" si="2"/>
        <v>-3.3228899648722523E-3</v>
      </c>
      <c r="U53" s="30">
        <f t="shared" ca="1" si="3"/>
        <v>8.0340264650284356E-3</v>
      </c>
      <c r="V53" s="30">
        <f t="shared" ca="1" si="4"/>
        <v>-1.2106537530266086E-3</v>
      </c>
      <c r="W53" s="30">
        <f t="shared" ca="1" si="7"/>
        <v>2.350105453449838E-2</v>
      </c>
      <c r="X53" s="30">
        <f t="shared" ca="1" si="5"/>
        <v>-3.3169533169533222E-2</v>
      </c>
      <c r="Y53" s="31">
        <f t="shared" ca="1" si="6"/>
        <v>2.4130146345327421E-2</v>
      </c>
    </row>
    <row r="54" spans="2:25" x14ac:dyDescent="0.45">
      <c r="B54" vm="445">
        <f ca="1"/>
        <v>44243</v>
      </c>
      <c r="C54" vm="446">
        <f ca="1"/>
        <v>243.7</v>
      </c>
      <c r="D54" vm="445">
        <f ca="1"/>
        <v>44243</v>
      </c>
      <c r="E54" vm="447">
        <f ca="1"/>
        <v>21.877600000000001</v>
      </c>
      <c r="F54" vm="445">
        <f ca="1"/>
        <v>44243</v>
      </c>
      <c r="G54" vm="448">
        <f ca="1"/>
        <v>207.9</v>
      </c>
      <c r="H54" vm="445">
        <f ca="1"/>
        <v>44243</v>
      </c>
      <c r="I54" vm="449">
        <f ca="1"/>
        <v>127.95</v>
      </c>
      <c r="J54" vm="445">
        <f ca="1"/>
        <v>44243</v>
      </c>
      <c r="K54" vm="450">
        <f ca="1"/>
        <v>18.48</v>
      </c>
      <c r="L54" vm="445">
        <f ca="1"/>
        <v>44243</v>
      </c>
      <c r="M54" vm="451">
        <f ca="1"/>
        <v>353.73</v>
      </c>
      <c r="N54" vm="445">
        <f ca="1"/>
        <v>44243</v>
      </c>
      <c r="O54" vm="452">
        <f ca="1"/>
        <v>1018.24</v>
      </c>
      <c r="P54" vm="445">
        <f ca="1"/>
        <v>44243</v>
      </c>
      <c r="Q54" vm="453">
        <f ca="1"/>
        <v>95.5</v>
      </c>
      <c r="R54" s="29">
        <f t="shared" ca="1" si="0"/>
        <v>-5.265521041675254E-3</v>
      </c>
      <c r="S54" s="30">
        <f t="shared" ca="1" si="1"/>
        <v>5.9036654221765739E-3</v>
      </c>
      <c r="T54" s="30">
        <f t="shared" ca="1" si="2"/>
        <v>-9.8113926462183379E-3</v>
      </c>
      <c r="U54" s="30">
        <f t="shared" ca="1" si="3"/>
        <v>-2.3441162681669898E-4</v>
      </c>
      <c r="V54" s="30">
        <f t="shared" ca="1" si="4"/>
        <v>0.12000000000000002</v>
      </c>
      <c r="W54" s="30">
        <f t="shared" ca="1" si="7"/>
        <v>4.1301148071828171E-2</v>
      </c>
      <c r="X54" s="30">
        <f t="shared" ca="1" si="5"/>
        <v>1.0800508259212194E-2</v>
      </c>
      <c r="Y54" s="31">
        <f t="shared" ca="1" si="6"/>
        <v>-7.667913874950448E-2</v>
      </c>
    </row>
    <row r="55" spans="2:25" x14ac:dyDescent="0.45">
      <c r="B55" vm="454">
        <f ca="1"/>
        <v>44244</v>
      </c>
      <c r="C55" vm="455">
        <f ca="1"/>
        <v>244.2</v>
      </c>
      <c r="D55" vm="454">
        <f ca="1"/>
        <v>44244</v>
      </c>
      <c r="E55" vm="456">
        <f ca="1"/>
        <v>22.3307</v>
      </c>
      <c r="F55" vm="454">
        <f ca="1"/>
        <v>44244</v>
      </c>
      <c r="G55" vm="457">
        <f ca="1"/>
        <v>207.51</v>
      </c>
      <c r="H55" vm="454">
        <f ca="1"/>
        <v>44244</v>
      </c>
      <c r="I55" vm="458">
        <f ca="1"/>
        <v>130.12</v>
      </c>
      <c r="J55" vm="454">
        <f ca="1"/>
        <v>44244</v>
      </c>
      <c r="K55" vm="459">
        <f ca="1"/>
        <v>17.88</v>
      </c>
      <c r="L55" vm="454">
        <f ca="1"/>
        <v>44244</v>
      </c>
      <c r="M55" vm="460">
        <f ca="1"/>
        <v>355.19</v>
      </c>
      <c r="N55" vm="454">
        <f ca="1"/>
        <v>44244</v>
      </c>
      <c r="O55" vm="461">
        <f ca="1"/>
        <v>997.12</v>
      </c>
      <c r="P55" vm="454">
        <f ca="1"/>
        <v>44244</v>
      </c>
      <c r="Q55" vm="462">
        <f ca="1"/>
        <v>94.18</v>
      </c>
      <c r="R55" s="29">
        <f t="shared" ca="1" si="0"/>
        <v>2.051702913418137E-3</v>
      </c>
      <c r="S55" s="30">
        <f t="shared" ca="1" si="1"/>
        <v>2.0710681244743442E-2</v>
      </c>
      <c r="T55" s="30">
        <f t="shared" ca="1" si="2"/>
        <v>-1.875901875901947E-3</v>
      </c>
      <c r="U55" s="30">
        <f t="shared" ca="1" si="3"/>
        <v>1.6959749902305601E-2</v>
      </c>
      <c r="V55" s="30">
        <f t="shared" ca="1" si="4"/>
        <v>-3.2467532467532541E-2</v>
      </c>
      <c r="W55" s="30">
        <f t="shared" ca="1" si="7"/>
        <v>4.1274418341672447E-3</v>
      </c>
      <c r="X55" s="30">
        <f t="shared" ca="1" si="5"/>
        <v>-2.0741671904462605E-2</v>
      </c>
      <c r="Y55" s="31">
        <f t="shared" ca="1" si="6"/>
        <v>-1.382198952879574E-2</v>
      </c>
    </row>
    <row r="56" spans="2:25" x14ac:dyDescent="0.45">
      <c r="B56" vm="463">
        <f ca="1"/>
        <v>44245</v>
      </c>
      <c r="C56" vm="464">
        <f ca="1"/>
        <v>243.79</v>
      </c>
      <c r="D56" vm="463">
        <f ca="1"/>
        <v>44245</v>
      </c>
      <c r="E56" vm="21">
        <f ca="1"/>
        <v>22.073899999999998</v>
      </c>
      <c r="F56" vm="463">
        <f ca="1"/>
        <v>44245</v>
      </c>
      <c r="G56" vm="263">
        <f ca="1"/>
        <v>209.35</v>
      </c>
      <c r="H56" vm="463">
        <f ca="1"/>
        <v>44245</v>
      </c>
      <c r="I56" vm="465">
        <f ca="1"/>
        <v>127.68</v>
      </c>
      <c r="J56" vm="463">
        <f ca="1"/>
        <v>44245</v>
      </c>
      <c r="K56" vm="466">
        <f ca="1"/>
        <v>17</v>
      </c>
      <c r="L56" vm="463">
        <f ca="1"/>
        <v>44245</v>
      </c>
      <c r="M56" vm="467">
        <f ca="1"/>
        <v>354.88</v>
      </c>
      <c r="N56" vm="463">
        <f ca="1"/>
        <v>44245</v>
      </c>
      <c r="O56" vm="468">
        <f ca="1"/>
        <v>1002.24</v>
      </c>
      <c r="P56" vm="463">
        <f ca="1"/>
        <v>44245</v>
      </c>
      <c r="Q56" vm="469">
        <f ca="1"/>
        <v>92.778000000000006</v>
      </c>
      <c r="R56" s="29">
        <f t="shared" ca="1" si="0"/>
        <v>-1.678951678951665E-3</v>
      </c>
      <c r="S56" s="30">
        <f t="shared" ca="1" si="1"/>
        <v>-1.1499863416731312E-2</v>
      </c>
      <c r="T56" s="30">
        <f t="shared" ca="1" si="2"/>
        <v>8.8670425521661777E-3</v>
      </c>
      <c r="U56" s="30">
        <f t="shared" ca="1" si="3"/>
        <v>-1.8751921303412217E-2</v>
      </c>
      <c r="V56" s="30">
        <f t="shared" ca="1" si="4"/>
        <v>-4.921700223713641E-2</v>
      </c>
      <c r="W56" s="30">
        <f t="shared" ca="1" si="7"/>
        <v>-8.7277231904051998E-4</v>
      </c>
      <c r="X56" s="30">
        <f t="shared" ca="1" si="5"/>
        <v>5.1347881899871679E-3</v>
      </c>
      <c r="Y56" s="31">
        <f t="shared" ca="1" si="6"/>
        <v>-1.4886387768103641E-2</v>
      </c>
    </row>
    <row r="57" spans="2:25" x14ac:dyDescent="0.45">
      <c r="B57" vm="470">
        <f ca="1"/>
        <v>44246</v>
      </c>
      <c r="C57" vm="471">
        <f ca="1"/>
        <v>240.97</v>
      </c>
      <c r="D57" vm="470">
        <f ca="1"/>
        <v>44246</v>
      </c>
      <c r="E57" vm="472">
        <f ca="1"/>
        <v>21.900200000000002</v>
      </c>
      <c r="F57" vm="470">
        <f ca="1"/>
        <v>44246</v>
      </c>
      <c r="G57" vm="473">
        <f ca="1"/>
        <v>204.73</v>
      </c>
      <c r="H57" vm="470">
        <f ca="1"/>
        <v>44246</v>
      </c>
      <c r="I57" vm="474">
        <f ca="1"/>
        <v>126.87</v>
      </c>
      <c r="J57" vm="470">
        <f ca="1"/>
        <v>44246</v>
      </c>
      <c r="K57" vm="475">
        <f ca="1"/>
        <v>17.899999999999999</v>
      </c>
      <c r="L57" vm="470">
        <f ca="1"/>
        <v>44246</v>
      </c>
      <c r="M57" vm="476">
        <f ca="1"/>
        <v>364.59</v>
      </c>
      <c r="N57" vm="470">
        <f ca="1"/>
        <v>44246</v>
      </c>
      <c r="O57" vm="477">
        <f ca="1"/>
        <v>966.4</v>
      </c>
      <c r="P57" vm="470">
        <f ca="1"/>
        <v>44246</v>
      </c>
      <c r="Q57" vm="478">
        <f ca="1"/>
        <v>96.372</v>
      </c>
      <c r="R57" s="29">
        <f t="shared" ca="1" si="0"/>
        <v>-1.1567332540301052E-2</v>
      </c>
      <c r="S57" s="30">
        <f t="shared" ca="1" si="1"/>
        <v>-7.8690217859099052E-3</v>
      </c>
      <c r="T57" s="30">
        <f t="shared" ca="1" si="2"/>
        <v>-2.206830666348223E-2</v>
      </c>
      <c r="U57" s="30">
        <f t="shared" ca="1" si="3"/>
        <v>-6.3439849624060329E-3</v>
      </c>
      <c r="V57" s="30">
        <f t="shared" ca="1" si="4"/>
        <v>5.2941176470588151E-2</v>
      </c>
      <c r="W57" s="30">
        <f t="shared" ca="1" si="7"/>
        <v>2.736136158701527E-2</v>
      </c>
      <c r="X57" s="30">
        <f t="shared" ca="1" si="5"/>
        <v>-3.575989782886338E-2</v>
      </c>
      <c r="Y57" s="31">
        <f t="shared" ca="1" si="6"/>
        <v>3.8737631766151394E-2</v>
      </c>
    </row>
    <row r="58" spans="2:25" x14ac:dyDescent="0.45">
      <c r="B58" vm="479">
        <f ca="1"/>
        <v>44249</v>
      </c>
      <c r="C58" vm="480">
        <f ca="1"/>
        <v>234.51</v>
      </c>
      <c r="D58" vm="479">
        <f ca="1"/>
        <v>44249</v>
      </c>
      <c r="E58" vm="481">
        <f ca="1"/>
        <v>22.1419</v>
      </c>
      <c r="F58" vm="479">
        <f ca="1"/>
        <v>44249</v>
      </c>
      <c r="G58" vm="482">
        <f ca="1"/>
        <v>208.32</v>
      </c>
      <c r="H58" vm="479">
        <f ca="1"/>
        <v>44249</v>
      </c>
      <c r="I58" vm="483">
        <f ca="1"/>
        <v>123.5</v>
      </c>
      <c r="J58" vm="479">
        <f ca="1"/>
        <v>44249</v>
      </c>
      <c r="K58" vm="484">
        <f ca="1"/>
        <v>18.87</v>
      </c>
      <c r="L58" vm="479">
        <f ca="1"/>
        <v>44249</v>
      </c>
      <c r="M58" vm="485">
        <f ca="1"/>
        <v>349.91</v>
      </c>
      <c r="N58" vm="479">
        <f ca="1"/>
        <v>44249</v>
      </c>
      <c r="O58" vm="486">
        <f ca="1"/>
        <v>1006.72</v>
      </c>
      <c r="P58" vm="479">
        <f ca="1"/>
        <v>44249</v>
      </c>
      <c r="Q58" vm="487">
        <f ca="1"/>
        <v>87.6</v>
      </c>
      <c r="R58" s="29">
        <f t="shared" ca="1" si="0"/>
        <v>-2.680831638793214E-2</v>
      </c>
      <c r="S58" s="30">
        <f t="shared" ca="1" si="1"/>
        <v>1.1036428891060265E-2</v>
      </c>
      <c r="T58" s="30">
        <f t="shared" ca="1" si="2"/>
        <v>1.7535290382454959E-2</v>
      </c>
      <c r="U58" s="30">
        <f t="shared" ca="1" si="3"/>
        <v>-2.6562623157562894E-2</v>
      </c>
      <c r="V58" s="30">
        <f t="shared" ca="1" si="4"/>
        <v>5.4189944134078349E-2</v>
      </c>
      <c r="W58" s="30">
        <f t="shared" ca="1" si="7"/>
        <v>-4.0264406593707863E-2</v>
      </c>
      <c r="X58" s="30">
        <f t="shared" ca="1" si="5"/>
        <v>4.1721854304635812E-2</v>
      </c>
      <c r="Y58" s="31">
        <f t="shared" ca="1" si="6"/>
        <v>-9.1022288631552789E-2</v>
      </c>
    </row>
    <row r="59" spans="2:25" x14ac:dyDescent="0.45">
      <c r="B59" vm="488">
        <f ca="1"/>
        <v>44250</v>
      </c>
      <c r="C59" vm="489">
        <f ca="1"/>
        <v>233.27</v>
      </c>
      <c r="D59" vm="488">
        <f ca="1"/>
        <v>44250</v>
      </c>
      <c r="E59" vm="490">
        <f ca="1"/>
        <v>22.036200000000001</v>
      </c>
      <c r="F59" vm="488">
        <f ca="1"/>
        <v>44250</v>
      </c>
      <c r="G59" vm="491">
        <f ca="1"/>
        <v>212.11</v>
      </c>
      <c r="H59" vm="488">
        <f ca="1"/>
        <v>44250</v>
      </c>
      <c r="I59" vm="492">
        <f ca="1"/>
        <v>122.42</v>
      </c>
      <c r="J59" vm="488">
        <f ca="1"/>
        <v>44250</v>
      </c>
      <c r="K59" vm="335">
        <f ca="1"/>
        <v>18.14</v>
      </c>
      <c r="L59" vm="488">
        <f ca="1"/>
        <v>44250</v>
      </c>
      <c r="M59" vm="493">
        <f ca="1"/>
        <v>336.31</v>
      </c>
      <c r="N59" vm="488">
        <f ca="1"/>
        <v>44250</v>
      </c>
      <c r="O59" vm="494">
        <f ca="1"/>
        <v>965.12</v>
      </c>
      <c r="P59" vm="488">
        <f ca="1"/>
        <v>44250</v>
      </c>
      <c r="Q59" vm="495">
        <f ca="1"/>
        <v>69.123000000000005</v>
      </c>
      <c r="R59" s="29">
        <f t="shared" ca="1" si="0"/>
        <v>-5.2876209969723283E-3</v>
      </c>
      <c r="S59" s="30">
        <f t="shared" ca="1" si="1"/>
        <v>-4.7737547364950072E-3</v>
      </c>
      <c r="T59" s="30">
        <f t="shared" ca="1" si="2"/>
        <v>1.8193164362519301E-2</v>
      </c>
      <c r="U59" s="30">
        <f t="shared" ca="1" si="3"/>
        <v>-8.7449392712550464E-3</v>
      </c>
      <c r="V59" s="30">
        <f t="shared" ca="1" si="4"/>
        <v>-3.8685744568097528E-2</v>
      </c>
      <c r="W59" s="30">
        <f t="shared" ca="1" si="7"/>
        <v>-3.8867137263867917E-2</v>
      </c>
      <c r="X59" s="30">
        <f t="shared" ca="1" si="5"/>
        <v>-4.1322314049586799E-2</v>
      </c>
      <c r="Y59" s="31">
        <f t="shared" ca="1" si="6"/>
        <v>-0.21092465753424647</v>
      </c>
    </row>
    <row r="60" spans="2:25" x14ac:dyDescent="0.45">
      <c r="B60" vm="496">
        <f ca="1"/>
        <v>44251</v>
      </c>
      <c r="C60" vm="497">
        <f ca="1"/>
        <v>234.55</v>
      </c>
      <c r="D60" vm="496">
        <f ca="1"/>
        <v>44251</v>
      </c>
      <c r="E60" vm="498">
        <f ca="1"/>
        <v>22.187200000000001</v>
      </c>
      <c r="F60" vm="496">
        <f ca="1"/>
        <v>44251</v>
      </c>
      <c r="G60" vm="499">
        <f ca="1"/>
        <v>219.43</v>
      </c>
      <c r="H60" vm="496">
        <f ca="1"/>
        <v>44251</v>
      </c>
      <c r="I60" vm="500">
        <f ca="1"/>
        <v>125.02</v>
      </c>
      <c r="J60" vm="496">
        <f ca="1"/>
        <v>44251</v>
      </c>
      <c r="K60" vm="501">
        <f ca="1"/>
        <v>19.309999999999999</v>
      </c>
      <c r="L60" vm="496">
        <f ca="1"/>
        <v>44251</v>
      </c>
      <c r="M60" vm="502">
        <f ca="1"/>
        <v>334.69</v>
      </c>
      <c r="N60" vm="496">
        <f ca="1"/>
        <v>44251</v>
      </c>
      <c r="O60" vm="503">
        <f ca="1"/>
        <v>926.72</v>
      </c>
      <c r="P60" vm="496">
        <f ca="1"/>
        <v>44251</v>
      </c>
      <c r="Q60" vm="504">
        <f ca="1"/>
        <v>81.769000000000005</v>
      </c>
      <c r="R60" s="29">
        <f t="shared" ca="1" si="0"/>
        <v>5.4872036695674583E-3</v>
      </c>
      <c r="S60" s="30">
        <f t="shared" ca="1" si="1"/>
        <v>6.852361114892758E-3</v>
      </c>
      <c r="T60" s="30">
        <f t="shared" ca="1" si="2"/>
        <v>3.451039554947901E-2</v>
      </c>
      <c r="U60" s="30">
        <f t="shared" ca="1" si="3"/>
        <v>2.1238359745139636E-2</v>
      </c>
      <c r="V60" s="30">
        <f t="shared" ca="1" si="4"/>
        <v>6.4498346196251277E-2</v>
      </c>
      <c r="W60" s="30">
        <f t="shared" ca="1" si="7"/>
        <v>-4.8169843299337052E-3</v>
      </c>
      <c r="X60" s="30">
        <f t="shared" ca="1" si="5"/>
        <v>-3.9787798408488041E-2</v>
      </c>
      <c r="Y60" s="31">
        <f t="shared" ca="1" si="6"/>
        <v>0.18294923542091635</v>
      </c>
    </row>
    <row r="61" spans="2:25" x14ac:dyDescent="0.45">
      <c r="B61" vm="505">
        <f ca="1"/>
        <v>44252</v>
      </c>
      <c r="C61" vm="506">
        <f ca="1"/>
        <v>228.99</v>
      </c>
      <c r="D61" vm="505">
        <f ca="1"/>
        <v>44252</v>
      </c>
      <c r="E61" vm="358">
        <f ca="1"/>
        <v>21.620799999999999</v>
      </c>
      <c r="F61" vm="505">
        <f ca="1"/>
        <v>44252</v>
      </c>
      <c r="G61" vm="507">
        <f ca="1"/>
        <v>213.75</v>
      </c>
      <c r="H61" vm="505">
        <f ca="1"/>
        <v>44252</v>
      </c>
      <c r="I61" vm="508">
        <f ca="1"/>
        <v>122.1</v>
      </c>
      <c r="J61" vm="505">
        <f ca="1"/>
        <v>44252</v>
      </c>
      <c r="K61" vm="509">
        <f ca="1"/>
        <v>17.59</v>
      </c>
      <c r="L61" vm="505">
        <f ca="1"/>
        <v>44252</v>
      </c>
      <c r="M61" vm="510">
        <f ca="1"/>
        <v>303.06</v>
      </c>
      <c r="N61" vm="505">
        <f ca="1"/>
        <v>44252</v>
      </c>
      <c r="O61" vm="196">
        <f ca="1"/>
        <v>1074.56</v>
      </c>
      <c r="P61" vm="505">
        <f ca="1"/>
        <v>44252</v>
      </c>
      <c r="Q61" vm="511">
        <f ca="1"/>
        <v>73.161000000000001</v>
      </c>
      <c r="R61" s="29">
        <f t="shared" ca="1" si="0"/>
        <v>-2.3704966958004697E-2</v>
      </c>
      <c r="S61" s="30">
        <f t="shared" ca="1" si="1"/>
        <v>-2.5528232494411263E-2</v>
      </c>
      <c r="T61" s="30">
        <f t="shared" ca="1" si="2"/>
        <v>-2.5885248142915766E-2</v>
      </c>
      <c r="U61" s="30">
        <f t="shared" ca="1" si="3"/>
        <v>-2.3356262997920346E-2</v>
      </c>
      <c r="V61" s="30">
        <f t="shared" ca="1" si="4"/>
        <v>-8.9073019161056394E-2</v>
      </c>
      <c r="W61" s="30">
        <f t="shared" ca="1" si="7"/>
        <v>-9.45053631718904E-2</v>
      </c>
      <c r="X61" s="30">
        <f t="shared" ca="1" si="5"/>
        <v>0.1595303867403314</v>
      </c>
      <c r="Y61" s="31">
        <f t="shared" ca="1" si="6"/>
        <v>-0.10527216915946146</v>
      </c>
    </row>
    <row r="62" spans="2:25" x14ac:dyDescent="0.45">
      <c r="B62" vm="512">
        <f ca="1"/>
        <v>44253</v>
      </c>
      <c r="C62" vm="513">
        <f ca="1"/>
        <v>232.38</v>
      </c>
      <c r="D62" vm="512">
        <f ca="1"/>
        <v>44253</v>
      </c>
      <c r="E62" vm="514">
        <f ca="1"/>
        <v>21.062000000000001</v>
      </c>
      <c r="F62" vm="512">
        <f ca="1"/>
        <v>44253</v>
      </c>
      <c r="G62" vm="515">
        <f ca="1"/>
        <v>212.39</v>
      </c>
      <c r="H62" vm="512">
        <f ca="1"/>
        <v>44253</v>
      </c>
      <c r="I62" vm="516">
        <f ca="1"/>
        <v>122.07</v>
      </c>
      <c r="J62" vm="512">
        <f ca="1"/>
        <v>44253</v>
      </c>
      <c r="K62" vm="517">
        <f ca="1"/>
        <v>16.61</v>
      </c>
      <c r="L62" vm="512">
        <f ca="1"/>
        <v>44253</v>
      </c>
      <c r="M62" vm="518">
        <f ca="1"/>
        <v>307.38</v>
      </c>
      <c r="N62" vm="512">
        <f ca="1"/>
        <v>44253</v>
      </c>
      <c r="O62" vm="519">
        <f ca="1"/>
        <v>1025.92</v>
      </c>
      <c r="P62" vm="512">
        <f ca="1"/>
        <v>44253</v>
      </c>
      <c r="Q62" vm="520">
        <f ca="1"/>
        <v>75.040999999999997</v>
      </c>
      <c r="R62" s="29">
        <f t="shared" ca="1" si="0"/>
        <v>1.4804139918773685E-2</v>
      </c>
      <c r="S62" s="30">
        <f t="shared" ca="1" si="1"/>
        <v>-2.5845482128320784E-2</v>
      </c>
      <c r="T62" s="30">
        <f t="shared" ca="1" si="2"/>
        <v>-6.3625730994152684E-3</v>
      </c>
      <c r="U62" s="30">
        <f t="shared" ca="1" si="3"/>
        <v>-2.4570024570025502E-4</v>
      </c>
      <c r="V62" s="30">
        <f t="shared" ca="1" si="4"/>
        <v>-5.5713473564525322E-2</v>
      </c>
      <c r="W62" s="30">
        <f t="shared" ca="1" si="7"/>
        <v>1.4254603048901185E-2</v>
      </c>
      <c r="X62" s="30">
        <f t="shared" ca="1" si="5"/>
        <v>-4.5265038713519834E-2</v>
      </c>
      <c r="Y62" s="31">
        <f t="shared" ca="1" si="6"/>
        <v>2.5696751001216434E-2</v>
      </c>
    </row>
    <row r="63" spans="2:25" x14ac:dyDescent="0.45">
      <c r="B63" vm="521">
        <f ca="1"/>
        <v>44256</v>
      </c>
      <c r="C63" vm="522">
        <f ca="1"/>
        <v>236.94</v>
      </c>
      <c r="D63" vm="521">
        <f ca="1"/>
        <v>44256</v>
      </c>
      <c r="E63" vm="523">
        <f ca="1"/>
        <v>21.213000000000001</v>
      </c>
      <c r="F63" vm="521">
        <f ca="1"/>
        <v>44256</v>
      </c>
      <c r="G63" vm="524">
        <f ca="1"/>
        <v>216.63</v>
      </c>
      <c r="H63" vm="521">
        <f ca="1"/>
        <v>44256</v>
      </c>
      <c r="I63" vm="525">
        <f ca="1"/>
        <v>124.48</v>
      </c>
      <c r="J63" vm="521">
        <f ca="1"/>
        <v>44256</v>
      </c>
      <c r="K63" vm="526">
        <f ca="1"/>
        <v>18.3</v>
      </c>
      <c r="L63" vm="521">
        <f ca="1"/>
        <v>44256</v>
      </c>
      <c r="M63" vm="527">
        <f ca="1"/>
        <v>321.27999999999997</v>
      </c>
      <c r="N63" vm="521">
        <f ca="1"/>
        <v>44256</v>
      </c>
      <c r="O63" vm="528">
        <f ca="1"/>
        <v>949.76</v>
      </c>
      <c r="P63" vm="521">
        <f ca="1"/>
        <v>44256</v>
      </c>
      <c r="Q63" vm="529">
        <f ca="1"/>
        <v>78.244</v>
      </c>
      <c r="R63" s="29">
        <f t="shared" ca="1" si="0"/>
        <v>1.9623031241931328E-2</v>
      </c>
      <c r="S63" s="30">
        <f t="shared" ca="1" si="1"/>
        <v>7.169309657202535E-3</v>
      </c>
      <c r="T63" s="30">
        <f t="shared" ca="1" si="2"/>
        <v>1.9963275107114316E-2</v>
      </c>
      <c r="U63" s="30">
        <f t="shared" ca="1" si="3"/>
        <v>1.9742770541492677E-2</v>
      </c>
      <c r="V63" s="30">
        <f t="shared" ca="1" si="4"/>
        <v>0.10174593618302236</v>
      </c>
      <c r="W63" s="30">
        <f t="shared" ca="1" si="7"/>
        <v>4.5220899212700817E-2</v>
      </c>
      <c r="X63" s="30">
        <f t="shared" ca="1" si="5"/>
        <v>-7.4235807860262085E-2</v>
      </c>
      <c r="Y63" s="31">
        <f t="shared" ca="1" si="6"/>
        <v>4.2683333111232569E-2</v>
      </c>
    </row>
    <row r="64" spans="2:25" x14ac:dyDescent="0.45">
      <c r="B64" vm="530">
        <f ca="1"/>
        <v>44257</v>
      </c>
      <c r="C64" vm="531">
        <f ca="1"/>
        <v>233.87</v>
      </c>
      <c r="D64" vm="530">
        <f ca="1"/>
        <v>44257</v>
      </c>
      <c r="E64" vm="532">
        <f ca="1"/>
        <v>21.311199999999999</v>
      </c>
      <c r="F64" vm="530">
        <f ca="1"/>
        <v>44257</v>
      </c>
      <c r="G64" vm="533">
        <f ca="1"/>
        <v>215.77</v>
      </c>
      <c r="H64" vm="530">
        <f ca="1"/>
        <v>44257</v>
      </c>
      <c r="I64" vm="534">
        <f ca="1"/>
        <v>123.64</v>
      </c>
      <c r="J64" vm="530">
        <f ca="1"/>
        <v>44257</v>
      </c>
      <c r="K64" vm="535">
        <f ca="1"/>
        <v>18.57</v>
      </c>
      <c r="L64" vm="530">
        <f ca="1"/>
        <v>44257</v>
      </c>
      <c r="M64" vm="536">
        <f ca="1"/>
        <v>322.74</v>
      </c>
      <c r="N64" vm="530">
        <f ca="1"/>
        <v>44257</v>
      </c>
      <c r="O64" vm="537">
        <f ca="1"/>
        <v>958.08</v>
      </c>
      <c r="P64" vm="530">
        <f ca="1"/>
        <v>44257</v>
      </c>
      <c r="Q64" vm="538">
        <f ca="1"/>
        <v>74.849999999999994</v>
      </c>
      <c r="R64" s="29">
        <f t="shared" ca="1" si="0"/>
        <v>-1.2956866717312372E-2</v>
      </c>
      <c r="S64" s="30">
        <f t="shared" ca="1" si="1"/>
        <v>4.629236788761538E-3</v>
      </c>
      <c r="T64" s="30">
        <f t="shared" ca="1" si="2"/>
        <v>-3.9699025989012844E-3</v>
      </c>
      <c r="U64" s="30">
        <f t="shared" ca="1" si="3"/>
        <v>-6.7480719794344741E-3</v>
      </c>
      <c r="V64" s="30">
        <f t="shared" ca="1" si="4"/>
        <v>1.4754098360655714E-2</v>
      </c>
      <c r="W64" s="30">
        <f t="shared" ca="1" si="7"/>
        <v>4.5443227091634605E-3</v>
      </c>
      <c r="X64" s="30">
        <f t="shared" ca="1" si="5"/>
        <v>8.7601078167116424E-3</v>
      </c>
      <c r="Y64" s="31">
        <f t="shared" ca="1" si="6"/>
        <v>-4.337712795869339E-2</v>
      </c>
    </row>
    <row r="65" spans="2:25" x14ac:dyDescent="0.45">
      <c r="B65" vm="539">
        <f ca="1"/>
        <v>44258</v>
      </c>
      <c r="C65" vm="540">
        <f ca="1"/>
        <v>227.56</v>
      </c>
      <c r="D65" vm="539">
        <f ca="1"/>
        <v>44258</v>
      </c>
      <c r="E65" vm="541">
        <f ca="1"/>
        <v>21.688800000000001</v>
      </c>
      <c r="F65" vm="539">
        <f ca="1"/>
        <v>44258</v>
      </c>
      <c r="G65" vm="542">
        <f ca="1"/>
        <v>214.85</v>
      </c>
      <c r="H65" vm="539">
        <f ca="1"/>
        <v>44258</v>
      </c>
      <c r="I65" vm="123">
        <f ca="1"/>
        <v>119.3</v>
      </c>
      <c r="J65" vm="539">
        <f ca="1"/>
        <v>44258</v>
      </c>
      <c r="K65" vm="543">
        <f ca="1"/>
        <v>18.75</v>
      </c>
      <c r="L65" vm="539">
        <f ca="1"/>
        <v>44258</v>
      </c>
      <c r="M65" vm="544">
        <f ca="1"/>
        <v>300.24</v>
      </c>
      <c r="N65" vm="539">
        <f ca="1"/>
        <v>44258</v>
      </c>
      <c r="O65" vm="545">
        <f ca="1"/>
        <v>999.04</v>
      </c>
      <c r="P65" vm="539">
        <f ca="1"/>
        <v>44258</v>
      </c>
      <c r="Q65" vm="546">
        <f ca="1"/>
        <v>73.156999999999996</v>
      </c>
      <c r="R65" s="29">
        <f t="shared" ca="1" si="0"/>
        <v>-2.6980801299867456E-2</v>
      </c>
      <c r="S65" s="30">
        <f t="shared" ca="1" si="1"/>
        <v>1.771838282217806E-2</v>
      </c>
      <c r="T65" s="30">
        <f t="shared" ca="1" si="2"/>
        <v>-4.2637994160449359E-3</v>
      </c>
      <c r="U65" s="30">
        <f t="shared" ca="1" si="3"/>
        <v>-3.5101908767389223E-2</v>
      </c>
      <c r="V65" s="30">
        <f t="shared" ca="1" si="4"/>
        <v>9.693053311793199E-3</v>
      </c>
      <c r="W65" s="30">
        <f t="shared" ca="1" si="7"/>
        <v>-6.9715560513106525E-2</v>
      </c>
      <c r="X65" s="30">
        <f t="shared" ca="1" si="5"/>
        <v>4.2752171008683955E-2</v>
      </c>
      <c r="Y65" s="31">
        <f t="shared" ca="1" si="6"/>
        <v>-2.2618570474281868E-2</v>
      </c>
    </row>
    <row r="66" spans="2:25" x14ac:dyDescent="0.45">
      <c r="B66" vm="547">
        <f ca="1"/>
        <v>44259</v>
      </c>
      <c r="C66" vm="548">
        <f ca="1"/>
        <v>226.73</v>
      </c>
      <c r="D66" vm="547">
        <f ca="1"/>
        <v>44259</v>
      </c>
      <c r="E66" vm="549">
        <f ca="1"/>
        <v>21.8398</v>
      </c>
      <c r="F66" vm="547">
        <f ca="1"/>
        <v>44259</v>
      </c>
      <c r="G66" vm="550">
        <f ca="1"/>
        <v>211.5</v>
      </c>
      <c r="H66" vm="547">
        <f ca="1"/>
        <v>44259</v>
      </c>
      <c r="I66" vm="551">
        <f ca="1"/>
        <v>114.99</v>
      </c>
      <c r="J66" vm="547">
        <f ca="1"/>
        <v>44259</v>
      </c>
      <c r="K66" vm="552">
        <f ca="1"/>
        <v>17.52</v>
      </c>
      <c r="L66" vm="547">
        <f ca="1"/>
        <v>44259</v>
      </c>
      <c r="M66" vm="553">
        <f ca="1"/>
        <v>285.01</v>
      </c>
      <c r="N66" vm="547">
        <f ca="1"/>
        <v>44259</v>
      </c>
      <c r="O66" vm="554">
        <f ca="1"/>
        <v>1041.28</v>
      </c>
      <c r="P66" vm="547">
        <f ca="1"/>
        <v>44259</v>
      </c>
      <c r="Q66" vm="555">
        <f ca="1"/>
        <v>64.566000000000003</v>
      </c>
      <c r="R66" s="29">
        <f t="shared" ca="1" si="0"/>
        <v>-3.6473896994199881E-3</v>
      </c>
      <c r="S66" s="30">
        <f t="shared" ca="1" si="1"/>
        <v>6.9621186972077661E-3</v>
      </c>
      <c r="T66" s="30">
        <f t="shared" ca="1" si="2"/>
        <v>-1.5592273679311121E-2</v>
      </c>
      <c r="U66" s="30">
        <f t="shared" ca="1" si="3"/>
        <v>-3.6127409891031033E-2</v>
      </c>
      <c r="V66" s="30">
        <f t="shared" ca="1" si="4"/>
        <v>-6.5600000000000019E-2</v>
      </c>
      <c r="W66" s="30">
        <f t="shared" ca="1" si="7"/>
        <v>-5.07260857980283E-2</v>
      </c>
      <c r="X66" s="30">
        <f t="shared" ca="1" si="5"/>
        <v>4.2280589365791169E-2</v>
      </c>
      <c r="Y66" s="31">
        <f t="shared" ca="1" si="6"/>
        <v>-0.11743237147504675</v>
      </c>
    </row>
    <row r="67" spans="2:25" x14ac:dyDescent="0.45">
      <c r="B67" vm="556">
        <f ca="1"/>
        <v>44260</v>
      </c>
      <c r="C67" vm="557">
        <f ca="1"/>
        <v>231.6</v>
      </c>
      <c r="D67" vm="556">
        <f ca="1"/>
        <v>44260</v>
      </c>
      <c r="E67" vm="111">
        <f ca="1"/>
        <v>22.368400000000001</v>
      </c>
      <c r="F67" vm="556">
        <f ca="1"/>
        <v>44260</v>
      </c>
      <c r="G67" vm="558">
        <f ca="1"/>
        <v>215.41</v>
      </c>
      <c r="H67" vm="556">
        <f ca="1"/>
        <v>44260</v>
      </c>
      <c r="I67" vm="559">
        <f ca="1"/>
        <v>116.14</v>
      </c>
      <c r="J67" vm="556">
        <f ca="1"/>
        <v>44260</v>
      </c>
      <c r="K67" vm="370">
        <f ca="1"/>
        <v>18.149999999999999</v>
      </c>
      <c r="L67" vm="556">
        <f ca="1"/>
        <v>44260</v>
      </c>
      <c r="M67" vm="560">
        <f ca="1"/>
        <v>274.98</v>
      </c>
      <c r="N67" vm="556">
        <f ca="1"/>
        <v>44260</v>
      </c>
      <c r="O67" vm="561">
        <f ca="1"/>
        <v>967.68</v>
      </c>
      <c r="P67" vm="556">
        <f ca="1"/>
        <v>44260</v>
      </c>
      <c r="Q67" vm="562">
        <f ca="1"/>
        <v>62.024000000000001</v>
      </c>
      <c r="R67" s="29">
        <f t="shared" ca="1" si="0"/>
        <v>2.147929255061088E-2</v>
      </c>
      <c r="S67" s="30">
        <f t="shared" ca="1" si="1"/>
        <v>2.4203518347237652E-2</v>
      </c>
      <c r="T67" s="30">
        <f t="shared" ca="1" si="2"/>
        <v>1.848699763593379E-2</v>
      </c>
      <c r="U67" s="30">
        <f t="shared" ca="1" si="3"/>
        <v>1.0000869640838383E-2</v>
      </c>
      <c r="V67" s="30">
        <f t="shared" ca="1" si="4"/>
        <v>3.5958904109588984E-2</v>
      </c>
      <c r="W67" s="30">
        <f t="shared" ca="1" si="7"/>
        <v>-3.5191747657976821E-2</v>
      </c>
      <c r="X67" s="30">
        <f t="shared" ca="1" si="5"/>
        <v>-7.0682237246465912E-2</v>
      </c>
      <c r="Y67" s="31">
        <f t="shared" ca="1" si="6"/>
        <v>-3.9370566552055286E-2</v>
      </c>
    </row>
    <row r="68" spans="2:25" x14ac:dyDescent="0.45">
      <c r="B68" vm="563">
        <f ca="1"/>
        <v>44263</v>
      </c>
      <c r="C68" vm="564">
        <f ca="1"/>
        <v>227.39</v>
      </c>
      <c r="D68" vm="563">
        <f ca="1"/>
        <v>44263</v>
      </c>
      <c r="E68" vm="565">
        <f ca="1"/>
        <v>22.6478</v>
      </c>
      <c r="F68" vm="563">
        <f ca="1"/>
        <v>44263</v>
      </c>
      <c r="G68" vm="566">
        <f ca="1"/>
        <v>220.27</v>
      </c>
      <c r="H68" vm="563">
        <f ca="1"/>
        <v>44263</v>
      </c>
      <c r="I68" vm="567">
        <f ca="1"/>
        <v>116.08</v>
      </c>
      <c r="J68" vm="563">
        <f ca="1"/>
        <v>44263</v>
      </c>
      <c r="K68" vm="568">
        <f ca="1"/>
        <v>20.62</v>
      </c>
      <c r="L68" vm="563">
        <f ca="1"/>
        <v>44263</v>
      </c>
      <c r="M68" vm="569">
        <f ca="1"/>
        <v>258.33</v>
      </c>
      <c r="N68" vm="563">
        <f ca="1"/>
        <v>44263</v>
      </c>
      <c r="O68" vm="570">
        <f ca="1"/>
        <v>984.96</v>
      </c>
      <c r="P68" vm="563">
        <f ca="1"/>
        <v>44263</v>
      </c>
      <c r="Q68" vm="571">
        <f ca="1"/>
        <v>62.418999999999997</v>
      </c>
      <c r="R68" s="29">
        <f t="shared" ca="1" si="0"/>
        <v>-1.8177892918825597E-2</v>
      </c>
      <c r="S68" s="30">
        <f t="shared" ca="1" si="1"/>
        <v>1.2490835285491986E-2</v>
      </c>
      <c r="T68" s="30">
        <f t="shared" ca="1" si="2"/>
        <v>2.2561626665428779E-2</v>
      </c>
      <c r="U68" s="30">
        <f t="shared" ca="1" si="3"/>
        <v>-5.1661787497849388E-4</v>
      </c>
      <c r="V68" s="30">
        <f t="shared" ca="1" si="4"/>
        <v>0.13608815426997259</v>
      </c>
      <c r="W68" s="30">
        <f t="shared" ca="1" si="7"/>
        <v>-6.0549858171503504E-2</v>
      </c>
      <c r="X68" s="30">
        <f t="shared" ca="1" si="5"/>
        <v>1.7857142857142946E-2</v>
      </c>
      <c r="Y68" s="31">
        <f t="shared" ca="1" si="6"/>
        <v>6.3685025151553592E-3</v>
      </c>
    </row>
    <row r="69" spans="2:25" x14ac:dyDescent="0.45">
      <c r="B69" vm="572">
        <f ca="1"/>
        <v>44264</v>
      </c>
      <c r="C69" vm="573">
        <f ca="1"/>
        <v>233.78</v>
      </c>
      <c r="D69" vm="572">
        <f ca="1"/>
        <v>44264</v>
      </c>
      <c r="E69" vm="39">
        <f ca="1"/>
        <v>22.383500000000002</v>
      </c>
      <c r="F69" vm="572">
        <f ca="1"/>
        <v>44264</v>
      </c>
      <c r="G69" vm="574">
        <f ca="1"/>
        <v>220.36</v>
      </c>
      <c r="H69" vm="572">
        <f ca="1"/>
        <v>44264</v>
      </c>
      <c r="I69" vm="575">
        <f ca="1"/>
        <v>119.84</v>
      </c>
      <c r="J69" vm="572">
        <f ca="1"/>
        <v>44264</v>
      </c>
      <c r="K69" vm="576">
        <f ca="1"/>
        <v>20.86</v>
      </c>
      <c r="L69" vm="572">
        <f ca="1"/>
        <v>44264</v>
      </c>
      <c r="M69" vm="577">
        <f ca="1"/>
        <v>273.58</v>
      </c>
      <c r="N69" vm="572">
        <f ca="1"/>
        <v>44264</v>
      </c>
      <c r="O69" vm="578">
        <f ca="1"/>
        <v>945.28</v>
      </c>
      <c r="P69" vm="572">
        <f ca="1"/>
        <v>44264</v>
      </c>
      <c r="Q69" vm="579">
        <f ca="1"/>
        <v>71.599000000000004</v>
      </c>
      <c r="R69" s="29">
        <f t="shared" ref="R69:R132" ca="1" si="15">(C69-C68)/C68</f>
        <v>2.810149962619295E-2</v>
      </c>
      <c r="S69" s="30">
        <f t="shared" ref="S69:S132" ca="1" si="16">(E69-E68)/E68</f>
        <v>-1.1670007682865384E-2</v>
      </c>
      <c r="T69" s="30">
        <f t="shared" ref="T69:T132" ca="1" si="17">(G69-G68)/G68</f>
        <v>4.0858945839198897E-4</v>
      </c>
      <c r="U69" s="30">
        <f t="shared" ref="U69:U132" ca="1" si="18">(I69-I68)/I68</f>
        <v>3.2391454169538293E-2</v>
      </c>
      <c r="V69" s="30">
        <f t="shared" ref="V69:V132" ca="1" si="19">(K69-K68)/K68</f>
        <v>1.1639185257031932E-2</v>
      </c>
      <c r="W69" s="30">
        <f t="shared" ca="1" si="7"/>
        <v>5.9033019780900399E-2</v>
      </c>
      <c r="X69" s="30">
        <f t="shared" ref="X69:X132" ca="1" si="20">(O69-O68)/O68</f>
        <v>-4.0285899935022802E-2</v>
      </c>
      <c r="Y69" s="31">
        <f t="shared" ref="Y69:Y132" ca="1" si="21">(Q69-Q68)/Q68</f>
        <v>0.14707060350213888</v>
      </c>
    </row>
    <row r="70" spans="2:25" x14ac:dyDescent="0.45">
      <c r="B70" vm="580">
        <f ca="1"/>
        <v>44265</v>
      </c>
      <c r="C70" vm="581">
        <f ca="1"/>
        <v>232.42</v>
      </c>
      <c r="D70" vm="580">
        <f ca="1"/>
        <v>44265</v>
      </c>
      <c r="E70" vm="565">
        <f ca="1"/>
        <v>22.6478</v>
      </c>
      <c r="F70" vm="580">
        <f ca="1"/>
        <v>44265</v>
      </c>
      <c r="G70" vm="582">
        <f ca="1"/>
        <v>223.17</v>
      </c>
      <c r="H70" vm="580">
        <f ca="1"/>
        <v>44265</v>
      </c>
      <c r="I70" vm="583">
        <f ca="1"/>
        <v>119.99</v>
      </c>
      <c r="J70" vm="580">
        <f ca="1"/>
        <v>44265</v>
      </c>
      <c r="K70" vm="576">
        <f ca="1"/>
        <v>20.86</v>
      </c>
      <c r="L70" vm="580">
        <f ca="1"/>
        <v>44265</v>
      </c>
      <c r="M70" vm="584">
        <f ca="1"/>
        <v>270.19</v>
      </c>
      <c r="N70" vm="580">
        <f ca="1"/>
        <v>44265</v>
      </c>
      <c r="O70" vm="585">
        <f ca="1"/>
        <v>933.12</v>
      </c>
      <c r="P70" vm="580">
        <f ca="1"/>
        <v>44265</v>
      </c>
      <c r="Q70" vm="586">
        <f ca="1"/>
        <v>75.655000000000001</v>
      </c>
      <c r="R70" s="29">
        <f t="shared" ca="1" si="15"/>
        <v>-5.817435195482991E-3</v>
      </c>
      <c r="S70" s="30">
        <f t="shared" ca="1" si="16"/>
        <v>1.1807804856255663E-2</v>
      </c>
      <c r="T70" s="30">
        <f t="shared" ca="1" si="17"/>
        <v>1.2751860591758821E-2</v>
      </c>
      <c r="U70" s="30">
        <f t="shared" ca="1" si="18"/>
        <v>1.2516688918557367E-3</v>
      </c>
      <c r="V70" s="30">
        <f t="shared" ca="1" si="19"/>
        <v>0</v>
      </c>
      <c r="W70" s="30">
        <f t="shared" ref="W70:W133" ca="1" si="22">(M70-M69)/M69</f>
        <v>-1.239125667080922E-2</v>
      </c>
      <c r="X70" s="30">
        <f t="shared" ca="1" si="20"/>
        <v>-1.2863913337846955E-2</v>
      </c>
      <c r="Y70" s="31">
        <f t="shared" ca="1" si="21"/>
        <v>5.6648835877596018E-2</v>
      </c>
    </row>
    <row r="71" spans="2:25" x14ac:dyDescent="0.45">
      <c r="B71" vm="587">
        <f ca="1"/>
        <v>44266</v>
      </c>
      <c r="C71" vm="588">
        <f ca="1"/>
        <v>237.13</v>
      </c>
      <c r="D71" vm="587">
        <f ca="1"/>
        <v>44266</v>
      </c>
      <c r="E71" vm="30">
        <f ca="1"/>
        <v>22.308</v>
      </c>
      <c r="F71" vm="587">
        <f ca="1"/>
        <v>44266</v>
      </c>
      <c r="G71" vm="589">
        <f ca="1"/>
        <v>226.15</v>
      </c>
      <c r="H71" vm="587">
        <f ca="1"/>
        <v>44266</v>
      </c>
      <c r="I71" vm="590">
        <f ca="1"/>
        <v>121.83</v>
      </c>
      <c r="J71" vm="587">
        <f ca="1"/>
        <v>44266</v>
      </c>
      <c r="K71" vm="591">
        <f ca="1"/>
        <v>22.33</v>
      </c>
      <c r="L71" vm="587">
        <f ca="1"/>
        <v>44266</v>
      </c>
      <c r="M71" vm="592">
        <f ca="1"/>
        <v>286.95999999999998</v>
      </c>
      <c r="N71" vm="587">
        <f ca="1"/>
        <v>44266</v>
      </c>
      <c r="O71" vm="593">
        <f ca="1"/>
        <v>910.08</v>
      </c>
      <c r="P71" vm="587">
        <f ca="1"/>
        <v>44266</v>
      </c>
      <c r="Q71" vm="594">
        <f ca="1"/>
        <v>80.375</v>
      </c>
      <c r="R71" s="29">
        <f t="shared" ca="1" si="15"/>
        <v>2.0265037432234782E-2</v>
      </c>
      <c r="S71" s="30">
        <f t="shared" ca="1" si="16"/>
        <v>-1.5003664815125545E-2</v>
      </c>
      <c r="T71" s="30">
        <f t="shared" ca="1" si="17"/>
        <v>1.3353049244970284E-2</v>
      </c>
      <c r="U71" s="30">
        <f t="shared" ca="1" si="18"/>
        <v>1.5334611217601496E-2</v>
      </c>
      <c r="V71" s="30">
        <f t="shared" ca="1" si="19"/>
        <v>7.0469798657718075E-2</v>
      </c>
      <c r="W71" s="30">
        <f t="shared" ca="1" si="22"/>
        <v>6.2067434027906224E-2</v>
      </c>
      <c r="X71" s="30">
        <f t="shared" ca="1" si="20"/>
        <v>-2.4691358024691318E-2</v>
      </c>
      <c r="Y71" s="31">
        <f t="shared" ca="1" si="21"/>
        <v>6.2388473993787573E-2</v>
      </c>
    </row>
    <row r="72" spans="2:25" x14ac:dyDescent="0.45">
      <c r="B72" vm="595">
        <f ca="1"/>
        <v>44267</v>
      </c>
      <c r="C72" vm="596">
        <f ca="1"/>
        <v>235.75</v>
      </c>
      <c r="D72" vm="595">
        <f ca="1"/>
        <v>44267</v>
      </c>
      <c r="E72" vm="597">
        <f ca="1"/>
        <v>22.511900000000001</v>
      </c>
      <c r="F72" vm="595">
        <f ca="1"/>
        <v>44267</v>
      </c>
      <c r="G72" vm="598">
        <f ca="1"/>
        <v>224.36</v>
      </c>
      <c r="H72" vm="595">
        <f ca="1"/>
        <v>44267</v>
      </c>
      <c r="I72" vm="599">
        <f ca="1"/>
        <v>121.44</v>
      </c>
      <c r="J72" vm="595">
        <f ca="1"/>
        <v>44267</v>
      </c>
      <c r="K72" vm="600">
        <f ca="1"/>
        <v>24.17</v>
      </c>
      <c r="L72" vm="595">
        <f ca="1"/>
        <v>44267</v>
      </c>
      <c r="M72" vm="601">
        <f ca="1"/>
        <v>279.89</v>
      </c>
      <c r="N72" vm="595">
        <f ca="1"/>
        <v>44267</v>
      </c>
      <c r="O72" vm="602">
        <f ca="1"/>
        <v>892.8</v>
      </c>
      <c r="P72" vm="595">
        <f ca="1"/>
        <v>44267</v>
      </c>
      <c r="Q72" vm="603">
        <f ca="1"/>
        <v>78.400000000000006</v>
      </c>
      <c r="R72" s="29">
        <f t="shared" ca="1" si="15"/>
        <v>-5.8195926285159851E-3</v>
      </c>
      <c r="S72" s="30">
        <f t="shared" ca="1" si="16"/>
        <v>9.14021875560341E-3</v>
      </c>
      <c r="T72" s="30">
        <f t="shared" ca="1" si="17"/>
        <v>-7.9151005969488927E-3</v>
      </c>
      <c r="U72" s="30">
        <f t="shared" ca="1" si="18"/>
        <v>-3.2011819748830384E-3</v>
      </c>
      <c r="V72" s="30">
        <f t="shared" ca="1" si="19"/>
        <v>8.2400358262427392E-2</v>
      </c>
      <c r="W72" s="30">
        <f t="shared" ca="1" si="22"/>
        <v>-2.4637580150543608E-2</v>
      </c>
      <c r="X72" s="30">
        <f t="shared" ca="1" si="20"/>
        <v>-1.8987341772151993E-2</v>
      </c>
      <c r="Y72" s="31">
        <f t="shared" ca="1" si="21"/>
        <v>-2.457231726283041E-2</v>
      </c>
    </row>
    <row r="73" spans="2:25" x14ac:dyDescent="0.45">
      <c r="B73" vm="604">
        <f ca="1"/>
        <v>44270</v>
      </c>
      <c r="C73" vm="605">
        <f ca="1"/>
        <v>234.81</v>
      </c>
      <c r="D73" vm="604">
        <f ca="1"/>
        <v>44270</v>
      </c>
      <c r="E73" vm="606">
        <f ca="1"/>
        <v>22.602499999999999</v>
      </c>
      <c r="F73" vm="604">
        <f ca="1"/>
        <v>44270</v>
      </c>
      <c r="G73" vm="607">
        <f ca="1"/>
        <v>223.27</v>
      </c>
      <c r="H73" vm="604">
        <f ca="1"/>
        <v>44270</v>
      </c>
      <c r="I73" vm="608">
        <f ca="1"/>
        <v>124.04</v>
      </c>
      <c r="J73" vm="604">
        <f ca="1"/>
        <v>44270</v>
      </c>
      <c r="K73" vm="609">
        <f ca="1"/>
        <v>23.14</v>
      </c>
      <c r="L73" vm="604">
        <f ca="1"/>
        <v>44270</v>
      </c>
      <c r="M73" vm="610">
        <f ca="1"/>
        <v>285.45999999999998</v>
      </c>
      <c r="N73" vm="604">
        <f ca="1"/>
        <v>44270</v>
      </c>
      <c r="O73" vm="611">
        <f ca="1"/>
        <v>842.24</v>
      </c>
      <c r="P73" vm="604">
        <f ca="1"/>
        <v>44270</v>
      </c>
      <c r="Q73" vm="612">
        <f ca="1"/>
        <v>76.900999999999996</v>
      </c>
      <c r="R73" s="29">
        <f t="shared" ca="1" si="15"/>
        <v>-3.9872746553552395E-3</v>
      </c>
      <c r="S73" s="30">
        <f t="shared" ca="1" si="16"/>
        <v>4.0245381331650574E-3</v>
      </c>
      <c r="T73" s="30">
        <f t="shared" ca="1" si="17"/>
        <v>-4.8582635050811347E-3</v>
      </c>
      <c r="U73" s="30">
        <f t="shared" ca="1" si="18"/>
        <v>2.1409749670619305E-2</v>
      </c>
      <c r="V73" s="30">
        <f t="shared" ca="1" si="19"/>
        <v>-4.2614811750103475E-2</v>
      </c>
      <c r="W73" s="30">
        <f t="shared" ca="1" si="22"/>
        <v>1.9900675265282768E-2</v>
      </c>
      <c r="X73" s="30">
        <f t="shared" ca="1" si="20"/>
        <v>-5.6630824372759798E-2</v>
      </c>
      <c r="Y73" s="31">
        <f t="shared" ca="1" si="21"/>
        <v>-1.9119897959183792E-2</v>
      </c>
    </row>
    <row r="74" spans="2:25" x14ac:dyDescent="0.45">
      <c r="B74" vm="613">
        <f ca="1"/>
        <v>44271</v>
      </c>
      <c r="C74" vm="614">
        <f ca="1"/>
        <v>237.71</v>
      </c>
      <c r="D74" vm="613">
        <f ca="1"/>
        <v>44271</v>
      </c>
      <c r="E74" vm="565">
        <f ca="1"/>
        <v>22.6478</v>
      </c>
      <c r="F74" vm="613">
        <f ca="1"/>
        <v>44271</v>
      </c>
      <c r="G74" vm="615">
        <f ca="1"/>
        <v>224.7</v>
      </c>
      <c r="H74" vm="613">
        <f ca="1"/>
        <v>44271</v>
      </c>
      <c r="I74" vm="616">
        <f ca="1"/>
        <v>123</v>
      </c>
      <c r="J74" vm="613">
        <f ca="1"/>
        <v>44271</v>
      </c>
      <c r="K74" vm="290">
        <f ca="1"/>
        <v>21.31</v>
      </c>
      <c r="L74" vm="613">
        <f ca="1"/>
        <v>44271</v>
      </c>
      <c r="M74" vm="617">
        <f ca="1"/>
        <v>284.69</v>
      </c>
      <c r="N74" vm="613">
        <f ca="1"/>
        <v>44271</v>
      </c>
      <c r="O74" vm="611">
        <f ca="1"/>
        <v>842.24</v>
      </c>
      <c r="P74" vm="613">
        <f ca="1"/>
        <v>44271</v>
      </c>
      <c r="Q74" vm="618">
        <f ca="1"/>
        <v>72.429000000000002</v>
      </c>
      <c r="R74" s="29">
        <f t="shared" ca="1" si="15"/>
        <v>1.2350410970571976E-2</v>
      </c>
      <c r="S74" s="30">
        <f t="shared" ca="1" si="16"/>
        <v>2.0042030748811416E-3</v>
      </c>
      <c r="T74" s="30">
        <f t="shared" ca="1" si="17"/>
        <v>6.4048013615800523E-3</v>
      </c>
      <c r="U74" s="30">
        <f t="shared" ca="1" si="18"/>
        <v>-8.3843921315705106E-3</v>
      </c>
      <c r="V74" s="30">
        <f t="shared" ca="1" si="19"/>
        <v>-7.9083837510803875E-2</v>
      </c>
      <c r="W74" s="30">
        <f t="shared" ca="1" si="22"/>
        <v>-2.6974006866110202E-3</v>
      </c>
      <c r="X74" s="30">
        <f t="shared" ca="1" si="20"/>
        <v>0</v>
      </c>
      <c r="Y74" s="31">
        <f t="shared" ca="1" si="21"/>
        <v>-5.8152689821978833E-2</v>
      </c>
    </row>
    <row r="75" spans="2:25" x14ac:dyDescent="0.45">
      <c r="B75" vm="619">
        <f ca="1"/>
        <v>44272</v>
      </c>
      <c r="C75" vm="620">
        <f ca="1"/>
        <v>237.04</v>
      </c>
      <c r="D75" vm="619">
        <f ca="1"/>
        <v>44272</v>
      </c>
      <c r="E75" vm="621">
        <f ca="1"/>
        <v>22.768699999999999</v>
      </c>
      <c r="F75" vm="619">
        <f ca="1"/>
        <v>44272</v>
      </c>
      <c r="G75" vm="622">
        <f ca="1"/>
        <v>223.02</v>
      </c>
      <c r="H75" vm="619">
        <f ca="1"/>
        <v>44272</v>
      </c>
      <c r="I75" vm="623">
        <f ca="1"/>
        <v>122.52</v>
      </c>
      <c r="J75" vm="619">
        <f ca="1"/>
        <v>44272</v>
      </c>
      <c r="K75" vm="624">
        <f ca="1"/>
        <v>22.04</v>
      </c>
      <c r="L75" vm="619">
        <f ca="1"/>
        <v>44272</v>
      </c>
      <c r="M75" vm="625">
        <f ca="1"/>
        <v>283.35000000000002</v>
      </c>
      <c r="N75" vm="619">
        <f ca="1"/>
        <v>44272</v>
      </c>
      <c r="O75" vm="626">
        <f ca="1"/>
        <v>805.76</v>
      </c>
      <c r="P75" vm="619">
        <f ca="1"/>
        <v>44272</v>
      </c>
      <c r="Q75" vm="627">
        <f ca="1"/>
        <v>77.099000000000004</v>
      </c>
      <c r="R75" s="29">
        <f t="shared" ca="1" si="15"/>
        <v>-2.8185604307770641E-3</v>
      </c>
      <c r="S75" s="30">
        <f t="shared" ca="1" si="16"/>
        <v>5.3382668515263689E-3</v>
      </c>
      <c r="T75" s="30">
        <f t="shared" ca="1" si="17"/>
        <v>-7.4766355140185956E-3</v>
      </c>
      <c r="U75" s="30">
        <f t="shared" ca="1" si="18"/>
        <v>-3.9024390243902764E-3</v>
      </c>
      <c r="V75" s="30">
        <f t="shared" ca="1" si="19"/>
        <v>3.4256217738151122E-2</v>
      </c>
      <c r="W75" s="30">
        <f t="shared" ca="1" si="22"/>
        <v>-4.7068741438054552E-3</v>
      </c>
      <c r="X75" s="30">
        <f t="shared" ca="1" si="20"/>
        <v>-4.331306990881461E-2</v>
      </c>
      <c r="Y75" s="31">
        <f t="shared" ca="1" si="21"/>
        <v>6.4476936033909096E-2</v>
      </c>
    </row>
    <row r="76" spans="2:25" x14ac:dyDescent="0.45">
      <c r="B76" vm="628">
        <f ca="1"/>
        <v>44273</v>
      </c>
      <c r="C76" vm="629">
        <f ca="1"/>
        <v>230.72</v>
      </c>
      <c r="D76" vm="628">
        <f ca="1"/>
        <v>44273</v>
      </c>
      <c r="E76" vm="630">
        <f ca="1"/>
        <v>22.663</v>
      </c>
      <c r="F76" vm="628">
        <f ca="1"/>
        <v>44273</v>
      </c>
      <c r="G76" vm="631">
        <f ca="1"/>
        <v>220.66</v>
      </c>
      <c r="H76" vm="628">
        <f ca="1"/>
        <v>44273</v>
      </c>
      <c r="I76" vm="632">
        <f ca="1"/>
        <v>122.59</v>
      </c>
      <c r="J76" vm="628">
        <f ca="1"/>
        <v>44273</v>
      </c>
      <c r="K76" vm="633">
        <f ca="1"/>
        <v>22.65</v>
      </c>
      <c r="L76" vm="628">
        <f ca="1"/>
        <v>44273</v>
      </c>
      <c r="M76" vm="634">
        <f ca="1"/>
        <v>271.73</v>
      </c>
      <c r="N76" vm="628">
        <f ca="1"/>
        <v>44273</v>
      </c>
      <c r="O76" vm="635">
        <f ca="1"/>
        <v>850.56</v>
      </c>
      <c r="P76" vm="628">
        <f ca="1"/>
        <v>44273</v>
      </c>
      <c r="Q76" vm="636">
        <f ca="1"/>
        <v>73.204999999999998</v>
      </c>
      <c r="R76" s="29">
        <f t="shared" ca="1" si="15"/>
        <v>-2.6662166722915936E-2</v>
      </c>
      <c r="S76" s="30">
        <f t="shared" ca="1" si="16"/>
        <v>-4.6423379463912656E-3</v>
      </c>
      <c r="T76" s="30">
        <f t="shared" ca="1" si="17"/>
        <v>-1.0582010582010642E-2</v>
      </c>
      <c r="U76" s="30">
        <f t="shared" ca="1" si="18"/>
        <v>5.7133529219725258E-4</v>
      </c>
      <c r="V76" s="30">
        <f t="shared" ca="1" si="19"/>
        <v>2.7676950998185092E-2</v>
      </c>
      <c r="W76" s="30">
        <f t="shared" ca="1" si="22"/>
        <v>-4.1009352391035835E-2</v>
      </c>
      <c r="X76" s="30">
        <f t="shared" ca="1" si="20"/>
        <v>5.5599682287529727E-2</v>
      </c>
      <c r="Y76" s="31">
        <f t="shared" ca="1" si="21"/>
        <v>-5.0506491653588309E-2</v>
      </c>
    </row>
    <row r="77" spans="2:25" x14ac:dyDescent="0.45">
      <c r="B77" vm="637">
        <f ca="1"/>
        <v>44274</v>
      </c>
      <c r="C77" vm="638">
        <f ca="1"/>
        <v>230.35</v>
      </c>
      <c r="D77" vm="637">
        <f ca="1"/>
        <v>44274</v>
      </c>
      <c r="E77" vm="639">
        <f ca="1"/>
        <v>22.4742</v>
      </c>
      <c r="F77" vm="637">
        <f ca="1"/>
        <v>44274</v>
      </c>
      <c r="G77" vm="640">
        <f ca="1"/>
        <v>206.9</v>
      </c>
      <c r="H77" vm="637">
        <f ca="1"/>
        <v>44274</v>
      </c>
      <c r="I77" vm="641">
        <f ca="1"/>
        <v>122.69</v>
      </c>
      <c r="J77" vm="637">
        <f ca="1"/>
        <v>44274</v>
      </c>
      <c r="K77" vm="642">
        <f ca="1"/>
        <v>22.41</v>
      </c>
      <c r="L77" vm="637">
        <f ca="1"/>
        <v>44274</v>
      </c>
      <c r="M77" vm="643">
        <f ca="1"/>
        <v>272.11</v>
      </c>
      <c r="N77" vm="637">
        <f ca="1"/>
        <v>44274</v>
      </c>
      <c r="O77" vm="644">
        <f ca="1"/>
        <v>817.28</v>
      </c>
      <c r="P77" vm="637">
        <f ca="1"/>
        <v>44274</v>
      </c>
      <c r="Q77" vm="645">
        <f ca="1"/>
        <v>77.703999999999994</v>
      </c>
      <c r="R77" s="29">
        <f t="shared" ca="1" si="15"/>
        <v>-1.6036754507628491E-3</v>
      </c>
      <c r="S77" s="30">
        <f t="shared" ca="1" si="16"/>
        <v>-8.3307593875480094E-3</v>
      </c>
      <c r="T77" s="30">
        <f t="shared" ca="1" si="17"/>
        <v>-6.2358379407232808E-2</v>
      </c>
      <c r="U77" s="30">
        <f t="shared" ca="1" si="18"/>
        <v>8.1572722081731228E-4</v>
      </c>
      <c r="V77" s="30">
        <f t="shared" ca="1" si="19"/>
        <v>-1.0596026490066158E-2</v>
      </c>
      <c r="W77" s="30">
        <f t="shared" ca="1" si="22"/>
        <v>1.3984469878187738E-3</v>
      </c>
      <c r="X77" s="30">
        <f t="shared" ca="1" si="20"/>
        <v>-3.9127163280662125E-2</v>
      </c>
      <c r="Y77" s="31">
        <f t="shared" ca="1" si="21"/>
        <v>6.1457550713748997E-2</v>
      </c>
    </row>
    <row r="78" spans="2:25" x14ac:dyDescent="0.45">
      <c r="B78" vm="646">
        <f ca="1"/>
        <v>44277</v>
      </c>
      <c r="C78" vm="647">
        <f ca="1"/>
        <v>235.99</v>
      </c>
      <c r="D78" vm="646">
        <f ca="1"/>
        <v>44277</v>
      </c>
      <c r="E78" vm="565">
        <f ca="1"/>
        <v>22.6478</v>
      </c>
      <c r="F78" vm="646">
        <f ca="1"/>
        <v>44277</v>
      </c>
      <c r="G78" vm="648">
        <f ca="1"/>
        <v>208</v>
      </c>
      <c r="H78" vm="646">
        <f ca="1"/>
        <v>44277</v>
      </c>
      <c r="I78" vm="649">
        <f ca="1"/>
        <v>123.61</v>
      </c>
      <c r="J78" vm="646">
        <f ca="1"/>
        <v>44277</v>
      </c>
      <c r="K78" vm="650">
        <f ca="1"/>
        <v>21.79</v>
      </c>
      <c r="L78" vm="646">
        <f ca="1"/>
        <v>44277</v>
      </c>
      <c r="M78" vm="651">
        <f ca="1"/>
        <v>275.47000000000003</v>
      </c>
      <c r="N78" vm="646">
        <f ca="1"/>
        <v>44277</v>
      </c>
      <c r="O78" vm="652">
        <f ca="1"/>
        <v>764.16</v>
      </c>
      <c r="P78" vm="646">
        <f ca="1"/>
        <v>44277</v>
      </c>
      <c r="Q78" vm="653">
        <f ca="1"/>
        <v>72.456000000000003</v>
      </c>
      <c r="R78" s="29">
        <f t="shared" ca="1" si="15"/>
        <v>2.4484480138919101E-2</v>
      </c>
      <c r="S78" s="30">
        <f t="shared" ca="1" si="16"/>
        <v>7.7244128823273093E-3</v>
      </c>
      <c r="T78" s="30">
        <f t="shared" ca="1" si="17"/>
        <v>5.3165780570323552E-3</v>
      </c>
      <c r="U78" s="30">
        <f t="shared" ca="1" si="18"/>
        <v>7.4985736408835412E-3</v>
      </c>
      <c r="V78" s="30">
        <f t="shared" ca="1" si="19"/>
        <v>-2.7666220437304819E-2</v>
      </c>
      <c r="W78" s="30">
        <f t="shared" ca="1" si="22"/>
        <v>1.2347947521223084E-2</v>
      </c>
      <c r="X78" s="30">
        <f t="shared" ca="1" si="20"/>
        <v>-6.4996084573218482E-2</v>
      </c>
      <c r="Y78" s="31">
        <f t="shared" ca="1" si="21"/>
        <v>-6.7538350664058361E-2</v>
      </c>
    </row>
    <row r="79" spans="2:25" x14ac:dyDescent="0.45">
      <c r="B79" vm="654">
        <f ca="1"/>
        <v>44278</v>
      </c>
      <c r="C79" vm="655">
        <f ca="1"/>
        <v>237.58</v>
      </c>
      <c r="D79" vm="654">
        <f ca="1"/>
        <v>44278</v>
      </c>
      <c r="E79" vm="656">
        <f ca="1"/>
        <v>22.6554</v>
      </c>
      <c r="F79" vm="654">
        <f ca="1"/>
        <v>44278</v>
      </c>
      <c r="G79" vm="657">
        <f ca="1"/>
        <v>208.15</v>
      </c>
      <c r="H79" vm="654">
        <f ca="1"/>
        <v>44278</v>
      </c>
      <c r="I79" vm="658">
        <f ca="1"/>
        <v>121.98</v>
      </c>
      <c r="J79" vm="654">
        <f ca="1"/>
        <v>44278</v>
      </c>
      <c r="K79" vm="659">
        <f ca="1"/>
        <v>19.86</v>
      </c>
      <c r="L79" vm="654">
        <f ca="1"/>
        <v>44278</v>
      </c>
      <c r="M79" vm="660">
        <f ca="1"/>
        <v>267.3</v>
      </c>
      <c r="N79" vm="654">
        <f ca="1"/>
        <v>44278</v>
      </c>
      <c r="O79" vm="661">
        <f ca="1"/>
        <v>800</v>
      </c>
      <c r="P79" vm="654">
        <f ca="1"/>
        <v>44278</v>
      </c>
      <c r="Q79" vm="662">
        <f ca="1"/>
        <v>67.721000000000004</v>
      </c>
      <c r="R79" s="29">
        <f t="shared" ca="1" si="15"/>
        <v>6.7375736260011157E-3</v>
      </c>
      <c r="S79" s="30">
        <f t="shared" ca="1" si="16"/>
        <v>3.3557343318115011E-4</v>
      </c>
      <c r="T79" s="30">
        <f t="shared" ca="1" si="17"/>
        <v>7.2115384615387352E-4</v>
      </c>
      <c r="U79" s="30">
        <f t="shared" ca="1" si="18"/>
        <v>-1.3186635385486574E-2</v>
      </c>
      <c r="V79" s="30">
        <f t="shared" ca="1" si="19"/>
        <v>-8.8572739788893975E-2</v>
      </c>
      <c r="W79" s="30">
        <f t="shared" ca="1" si="22"/>
        <v>-2.9658402003848023E-2</v>
      </c>
      <c r="X79" s="30">
        <f t="shared" ca="1" si="20"/>
        <v>4.6901172529313279E-2</v>
      </c>
      <c r="Y79" s="31">
        <f t="shared" ca="1" si="21"/>
        <v>-6.5350005520591795E-2</v>
      </c>
    </row>
    <row r="80" spans="2:25" x14ac:dyDescent="0.45">
      <c r="B80" vm="663">
        <f ca="1"/>
        <v>44279</v>
      </c>
      <c r="C80" vm="664">
        <f ca="1"/>
        <v>235.46</v>
      </c>
      <c r="D80" vm="663">
        <f ca="1"/>
        <v>44279</v>
      </c>
      <c r="E80" vm="565">
        <f ca="1"/>
        <v>22.6478</v>
      </c>
      <c r="F80" vm="663">
        <f ca="1"/>
        <v>44279</v>
      </c>
      <c r="G80" vm="665">
        <f ca="1"/>
        <v>208.07</v>
      </c>
      <c r="H80" vm="663">
        <f ca="1"/>
        <v>44279</v>
      </c>
      <c r="I80" vm="666">
        <f ca="1"/>
        <v>120.84</v>
      </c>
      <c r="J80" vm="663">
        <f ca="1"/>
        <v>44279</v>
      </c>
      <c r="K80" vm="667">
        <f ca="1"/>
        <v>19.57</v>
      </c>
      <c r="L80" vm="663">
        <f ca="1"/>
        <v>44279</v>
      </c>
      <c r="M80" vm="668">
        <f ca="1"/>
        <v>258.68</v>
      </c>
      <c r="N80" vm="663">
        <f ca="1"/>
        <v>44279</v>
      </c>
      <c r="O80" vm="669">
        <f ca="1"/>
        <v>807.04</v>
      </c>
      <c r="P80" vm="663">
        <f ca="1"/>
        <v>44279</v>
      </c>
      <c r="Q80" vm="670">
        <f ca="1"/>
        <v>62.156999999999996</v>
      </c>
      <c r="R80" s="29">
        <f t="shared" ca="1" si="15"/>
        <v>-8.9233100429329248E-3</v>
      </c>
      <c r="S80" s="30">
        <f t="shared" ca="1" si="16"/>
        <v>-3.3546086142818274E-4</v>
      </c>
      <c r="T80" s="30">
        <f t="shared" ca="1" si="17"/>
        <v>-3.8433821763157581E-4</v>
      </c>
      <c r="U80" s="30">
        <f t="shared" ca="1" si="18"/>
        <v>-9.345794392523369E-3</v>
      </c>
      <c r="V80" s="30">
        <f t="shared" ca="1" si="19"/>
        <v>-1.4602215508559876E-2</v>
      </c>
      <c r="W80" s="30">
        <f t="shared" ca="1" si="22"/>
        <v>-3.2248410026187821E-2</v>
      </c>
      <c r="X80" s="30">
        <f t="shared" ca="1" si="20"/>
        <v>8.7999999999999537E-3</v>
      </c>
      <c r="Y80" s="31">
        <f t="shared" ca="1" si="21"/>
        <v>-8.2160629642208577E-2</v>
      </c>
    </row>
    <row r="81" spans="2:25" x14ac:dyDescent="0.45">
      <c r="B81" vm="671">
        <f ca="1"/>
        <v>44280</v>
      </c>
      <c r="C81" vm="672">
        <f ca="1"/>
        <v>232.34</v>
      </c>
      <c r="D81" vm="671">
        <f ca="1"/>
        <v>44280</v>
      </c>
      <c r="E81" vm="673">
        <f ca="1"/>
        <v>22.715800000000002</v>
      </c>
      <c r="F81" vm="671">
        <f ca="1"/>
        <v>44280</v>
      </c>
      <c r="G81" vm="674">
        <f ca="1"/>
        <v>207.97</v>
      </c>
      <c r="H81" vm="671">
        <f ca="1"/>
        <v>44280</v>
      </c>
      <c r="I81" vm="675">
        <f ca="1"/>
        <v>121.9</v>
      </c>
      <c r="J81" vm="671">
        <f ca="1"/>
        <v>44280</v>
      </c>
      <c r="K81" vm="676">
        <f ca="1"/>
        <v>20.37</v>
      </c>
      <c r="L81" vm="671">
        <f ca="1"/>
        <v>44280</v>
      </c>
      <c r="M81" vm="677">
        <f ca="1"/>
        <v>254.63</v>
      </c>
      <c r="N81" vm="671">
        <f ca="1"/>
        <v>44280</v>
      </c>
      <c r="O81" vm="678">
        <f ca="1"/>
        <v>782.72</v>
      </c>
      <c r="P81" vm="671">
        <f ca="1"/>
        <v>44280</v>
      </c>
      <c r="Q81" vm="679">
        <f ca="1"/>
        <v>62.091000000000001</v>
      </c>
      <c r="R81" s="29">
        <f t="shared" ca="1" si="15"/>
        <v>-1.3250658285908453E-2</v>
      </c>
      <c r="S81" s="30">
        <f t="shared" ca="1" si="16"/>
        <v>3.0024991389892789E-3</v>
      </c>
      <c r="T81" s="30">
        <f t="shared" ca="1" si="17"/>
        <v>-4.8060748786463365E-4</v>
      </c>
      <c r="U81" s="30">
        <f t="shared" ca="1" si="18"/>
        <v>8.7719298245614221E-3</v>
      </c>
      <c r="V81" s="30">
        <f t="shared" ca="1" si="19"/>
        <v>4.0878896269800749E-2</v>
      </c>
      <c r="W81" s="30">
        <f t="shared" ca="1" si="22"/>
        <v>-1.5656409463429763E-2</v>
      </c>
      <c r="X81" s="30">
        <f t="shared" ca="1" si="20"/>
        <v>-3.0134813639968203E-2</v>
      </c>
      <c r="Y81" s="31">
        <f t="shared" ca="1" si="21"/>
        <v>-1.0618273082676996E-3</v>
      </c>
    </row>
    <row r="82" spans="2:25" x14ac:dyDescent="0.45">
      <c r="B82" vm="680">
        <f ca="1"/>
        <v>44281</v>
      </c>
      <c r="C82" vm="681">
        <f ca="1"/>
        <v>236.48</v>
      </c>
      <c r="D82" vm="680">
        <f ca="1"/>
        <v>44281</v>
      </c>
      <c r="E82" vm="682">
        <f ca="1"/>
        <v>22.889500000000002</v>
      </c>
      <c r="F82" vm="680">
        <f ca="1"/>
        <v>44281</v>
      </c>
      <c r="G82" vm="683">
        <f ca="1"/>
        <v>213.53</v>
      </c>
      <c r="H82" vm="680">
        <f ca="1"/>
        <v>44281</v>
      </c>
      <c r="I82" vm="684">
        <f ca="1"/>
        <v>125.64</v>
      </c>
      <c r="J82" vm="680">
        <f ca="1"/>
        <v>44281</v>
      </c>
      <c r="K82" vm="685">
        <f ca="1"/>
        <v>22.75</v>
      </c>
      <c r="L82" vm="680">
        <f ca="1"/>
        <v>44281</v>
      </c>
      <c r="M82" vm="686">
        <f ca="1"/>
        <v>261.31</v>
      </c>
      <c r="N82" vm="680">
        <f ca="1"/>
        <v>44281</v>
      </c>
      <c r="O82" vm="687">
        <f ca="1"/>
        <v>751.36</v>
      </c>
      <c r="P82" vm="680">
        <f ca="1"/>
        <v>44281</v>
      </c>
      <c r="Q82" vm="688">
        <f ca="1"/>
        <v>62.4</v>
      </c>
      <c r="R82" s="29">
        <f t="shared" ca="1" si="15"/>
        <v>1.78187139536885E-2</v>
      </c>
      <c r="S82" s="30">
        <f t="shared" ca="1" si="16"/>
        <v>7.6466600339851632E-3</v>
      </c>
      <c r="T82" s="30">
        <f t="shared" ca="1" si="17"/>
        <v>2.673462518632496E-2</v>
      </c>
      <c r="U82" s="30">
        <f t="shared" ca="1" si="18"/>
        <v>3.0680885972108243E-2</v>
      </c>
      <c r="V82" s="30">
        <f t="shared" ca="1" si="19"/>
        <v>0.11683848797250854</v>
      </c>
      <c r="W82" s="30">
        <f t="shared" ca="1" si="22"/>
        <v>2.6234143659427431E-2</v>
      </c>
      <c r="X82" s="30">
        <f t="shared" ca="1" si="20"/>
        <v>-4.0065412919051531E-2</v>
      </c>
      <c r="Y82" s="31">
        <f t="shared" ca="1" si="21"/>
        <v>4.9765666521717723E-3</v>
      </c>
    </row>
    <row r="83" spans="2:25" x14ac:dyDescent="0.45">
      <c r="B83" vm="689">
        <f ca="1"/>
        <v>44284</v>
      </c>
      <c r="C83" vm="690">
        <f ca="1"/>
        <v>235.24</v>
      </c>
      <c r="D83" vm="689">
        <f ca="1"/>
        <v>44284</v>
      </c>
      <c r="E83" vm="691">
        <f ca="1"/>
        <v>23.078299999999999</v>
      </c>
      <c r="F83" vm="689">
        <f ca="1"/>
        <v>44284</v>
      </c>
      <c r="G83" vm="210">
        <f ca="1"/>
        <v>214.51</v>
      </c>
      <c r="H83" vm="689">
        <f ca="1"/>
        <v>44284</v>
      </c>
      <c r="I83" vm="692">
        <f ca="1"/>
        <v>125.42</v>
      </c>
      <c r="J83" vm="689">
        <f ca="1"/>
        <v>44284</v>
      </c>
      <c r="K83" vm="693">
        <f ca="1"/>
        <v>23.58</v>
      </c>
      <c r="L83" vm="689">
        <f ca="1"/>
        <v>44284</v>
      </c>
      <c r="M83" vm="694">
        <f ca="1"/>
        <v>252.59</v>
      </c>
      <c r="N83" vm="689">
        <f ca="1"/>
        <v>44284</v>
      </c>
      <c r="O83" vm="695">
        <f ca="1"/>
        <v>768.64</v>
      </c>
      <c r="P83" vm="689">
        <f ca="1"/>
        <v>44284</v>
      </c>
      <c r="Q83" vm="696">
        <f ca="1"/>
        <v>63.134</v>
      </c>
      <c r="R83" s="29">
        <f t="shared" ca="1" si="15"/>
        <v>-5.2435723951284709E-3</v>
      </c>
      <c r="S83" s="30">
        <f t="shared" ca="1" si="16"/>
        <v>8.2483234670917647E-3</v>
      </c>
      <c r="T83" s="30">
        <f t="shared" ca="1" si="17"/>
        <v>4.589519037137591E-3</v>
      </c>
      <c r="U83" s="30">
        <f t="shared" ca="1" si="18"/>
        <v>-1.7510347023240915E-3</v>
      </c>
      <c r="V83" s="30">
        <f t="shared" ca="1" si="19"/>
        <v>3.6483516483516408E-2</v>
      </c>
      <c r="W83" s="30">
        <f t="shared" ca="1" si="22"/>
        <v>-3.337032643220695E-2</v>
      </c>
      <c r="X83" s="30">
        <f t="shared" ca="1" si="20"/>
        <v>2.2998296422487186E-2</v>
      </c>
      <c r="Y83" s="31">
        <f t="shared" ca="1" si="21"/>
        <v>1.1762820512820541E-2</v>
      </c>
    </row>
    <row r="84" spans="2:25" x14ac:dyDescent="0.45">
      <c r="B84" vm="697">
        <f ca="1"/>
        <v>44285</v>
      </c>
      <c r="C84" vm="698">
        <f ca="1"/>
        <v>231.85</v>
      </c>
      <c r="D84" vm="697">
        <f ca="1"/>
        <v>44285</v>
      </c>
      <c r="E84" vm="699">
        <f ca="1"/>
        <v>23.206700000000001</v>
      </c>
      <c r="F84" vm="697">
        <f ca="1"/>
        <v>44285</v>
      </c>
      <c r="G84" vm="700">
        <f ca="1"/>
        <v>211.9</v>
      </c>
      <c r="H84" vm="697">
        <f ca="1"/>
        <v>44285</v>
      </c>
      <c r="I84" vm="701">
        <f ca="1"/>
        <v>124.84</v>
      </c>
      <c r="J84" vm="697">
        <f ca="1"/>
        <v>44285</v>
      </c>
      <c r="K84" vm="702">
        <f ca="1"/>
        <v>25.63</v>
      </c>
      <c r="L84" vm="697">
        <f ca="1"/>
        <v>44285</v>
      </c>
      <c r="M84" vm="703">
        <f ca="1"/>
        <v>257.69</v>
      </c>
      <c r="N84" vm="697">
        <f ca="1"/>
        <v>44285</v>
      </c>
      <c r="O84" vm="704">
        <f ca="1"/>
        <v>735.36</v>
      </c>
      <c r="P84" vm="697">
        <f ca="1"/>
        <v>44285</v>
      </c>
      <c r="Q84" vm="705">
        <f ca="1"/>
        <v>65.397999999999996</v>
      </c>
      <c r="R84" s="29">
        <f t="shared" ca="1" si="15"/>
        <v>-1.4410814487332148E-2</v>
      </c>
      <c r="S84" s="30">
        <f t="shared" ca="1" si="16"/>
        <v>5.5636680344740615E-3</v>
      </c>
      <c r="T84" s="30">
        <f t="shared" ca="1" si="17"/>
        <v>-1.2167264929373853E-2</v>
      </c>
      <c r="U84" s="30">
        <f t="shared" ca="1" si="18"/>
        <v>-4.6244618083240178E-3</v>
      </c>
      <c r="V84" s="30">
        <f t="shared" ca="1" si="19"/>
        <v>8.693808312128927E-2</v>
      </c>
      <c r="W84" s="30">
        <f t="shared" ca="1" si="22"/>
        <v>2.0190823072964069E-2</v>
      </c>
      <c r="X84" s="30">
        <f t="shared" ca="1" si="20"/>
        <v>-4.3297252289758503E-2</v>
      </c>
      <c r="Y84" s="31">
        <f t="shared" ca="1" si="21"/>
        <v>3.5860233788449894E-2</v>
      </c>
    </row>
    <row r="85" spans="2:25" x14ac:dyDescent="0.45">
      <c r="B85" vm="706">
        <f ca="1"/>
        <v>44286</v>
      </c>
      <c r="C85" vm="707">
        <f ca="1"/>
        <v>235.77</v>
      </c>
      <c r="D85" vm="706">
        <f ca="1"/>
        <v>44286</v>
      </c>
      <c r="E85" vm="708">
        <f ca="1"/>
        <v>22.859300000000001</v>
      </c>
      <c r="F85" vm="706">
        <f ca="1"/>
        <v>44286</v>
      </c>
      <c r="G85" vm="709">
        <f ca="1"/>
        <v>211.73</v>
      </c>
      <c r="H85" vm="706">
        <f ca="1"/>
        <v>44286</v>
      </c>
      <c r="I85" vm="710">
        <f ca="1"/>
        <v>127.14</v>
      </c>
      <c r="J85" vm="706">
        <f ca="1"/>
        <v>44286</v>
      </c>
      <c r="K85" vm="711">
        <f ca="1"/>
        <v>26.17</v>
      </c>
      <c r="L85" vm="706">
        <f ca="1"/>
        <v>44286</v>
      </c>
      <c r="M85" vm="712">
        <f ca="1"/>
        <v>267.95</v>
      </c>
      <c r="N85" vm="706">
        <f ca="1"/>
        <v>44286</v>
      </c>
      <c r="O85" vm="713">
        <f ca="1"/>
        <v>729.6</v>
      </c>
      <c r="P85" vm="706">
        <f ca="1"/>
        <v>44286</v>
      </c>
      <c r="Q85" vm="714">
        <f ca="1"/>
        <v>67.88</v>
      </c>
      <c r="R85" s="29">
        <f t="shared" ca="1" si="15"/>
        <v>1.6907483286607791E-2</v>
      </c>
      <c r="S85" s="30">
        <f t="shared" ca="1" si="16"/>
        <v>-1.4969814751774287E-2</v>
      </c>
      <c r="T85" s="30">
        <f t="shared" ca="1" si="17"/>
        <v>-8.0226521944320864E-4</v>
      </c>
      <c r="U85" s="30">
        <f t="shared" ca="1" si="18"/>
        <v>1.8423582185197029E-2</v>
      </c>
      <c r="V85" s="30">
        <f t="shared" ca="1" si="19"/>
        <v>2.1069059695669246E-2</v>
      </c>
      <c r="W85" s="30">
        <f t="shared" ca="1" si="22"/>
        <v>3.9815281927897829E-2</v>
      </c>
      <c r="X85" s="30">
        <f t="shared" ca="1" si="20"/>
        <v>-7.8328981723237469E-3</v>
      </c>
      <c r="Y85" s="31">
        <f t="shared" ca="1" si="21"/>
        <v>3.7952230955075071E-2</v>
      </c>
    </row>
    <row r="86" spans="2:25" x14ac:dyDescent="0.45">
      <c r="B86" vm="715">
        <f ca="1"/>
        <v>44287</v>
      </c>
      <c r="C86" vm="716">
        <f ca="1"/>
        <v>242.35</v>
      </c>
      <c r="D86" vm="715">
        <f ca="1"/>
        <v>44287</v>
      </c>
      <c r="E86" vm="717">
        <f ca="1"/>
        <v>23.010300000000001</v>
      </c>
      <c r="F86" vm="715">
        <f ca="1"/>
        <v>44287</v>
      </c>
      <c r="G86" vm="718">
        <f ca="1"/>
        <v>216.86</v>
      </c>
      <c r="H86" vm="715">
        <f ca="1"/>
        <v>44287</v>
      </c>
      <c r="I86" vm="719">
        <f ca="1"/>
        <v>127.69</v>
      </c>
      <c r="J86" vm="715">
        <f ca="1"/>
        <v>44287</v>
      </c>
      <c r="K86" vm="720">
        <f ca="1"/>
        <v>25</v>
      </c>
      <c r="L86" vm="715">
        <f ca="1"/>
        <v>44287</v>
      </c>
      <c r="M86" vm="721">
        <f ca="1"/>
        <v>273.10000000000002</v>
      </c>
      <c r="N86" vm="715">
        <f ca="1"/>
        <v>44287</v>
      </c>
      <c r="O86" vm="722">
        <f ca="1"/>
        <v>707.2</v>
      </c>
      <c r="P86" vm="715">
        <f ca="1"/>
        <v>44287</v>
      </c>
      <c r="Q86" vm="723">
        <f ca="1"/>
        <v>70.355999999999995</v>
      </c>
      <c r="R86" s="29">
        <f t="shared" ca="1" si="15"/>
        <v>2.7908554947618371E-2</v>
      </c>
      <c r="S86" s="30">
        <f t="shared" ca="1" si="16"/>
        <v>6.6056265939901833E-3</v>
      </c>
      <c r="T86" s="30">
        <f t="shared" ca="1" si="17"/>
        <v>2.4228970859113134E-2</v>
      </c>
      <c r="U86" s="30">
        <f t="shared" ca="1" si="18"/>
        <v>4.3259399087619719E-3</v>
      </c>
      <c r="V86" s="30">
        <f t="shared" ca="1" si="19"/>
        <v>-4.4707680550248437E-2</v>
      </c>
      <c r="W86" s="30">
        <f t="shared" ca="1" si="22"/>
        <v>1.9220003732039689E-2</v>
      </c>
      <c r="X86" s="30">
        <f t="shared" ca="1" si="20"/>
        <v>-3.0701754385964879E-2</v>
      </c>
      <c r="Y86" s="31">
        <f t="shared" ca="1" si="21"/>
        <v>3.6476134354743651E-2</v>
      </c>
    </row>
    <row r="87" spans="2:25" x14ac:dyDescent="0.45">
      <c r="B87" vm="724">
        <f ca="1"/>
        <v>44291</v>
      </c>
      <c r="C87" vm="725">
        <f ca="1"/>
        <v>249.07</v>
      </c>
      <c r="D87" vm="724">
        <f ca="1"/>
        <v>44291</v>
      </c>
      <c r="E87" vm="726">
        <f ca="1"/>
        <v>23.191600000000001</v>
      </c>
      <c r="F87" vm="724">
        <f ca="1"/>
        <v>44291</v>
      </c>
      <c r="G87" vm="727">
        <f ca="1"/>
        <v>219.04</v>
      </c>
      <c r="H87" vm="724">
        <f ca="1"/>
        <v>44291</v>
      </c>
      <c r="I87" vm="728">
        <f ca="1"/>
        <v>130</v>
      </c>
      <c r="J87" vm="724">
        <f ca="1"/>
        <v>44291</v>
      </c>
      <c r="K87" vm="729">
        <f ca="1"/>
        <v>24.63</v>
      </c>
      <c r="L87" vm="724">
        <f ca="1"/>
        <v>44291</v>
      </c>
      <c r="M87" vm="730">
        <f ca="1"/>
        <v>273.3</v>
      </c>
      <c r="N87" vm="724">
        <f ca="1"/>
        <v>44291</v>
      </c>
      <c r="O87" vm="731">
        <f ca="1"/>
        <v>689.28</v>
      </c>
      <c r="P87" vm="724">
        <f ca="1"/>
        <v>44291</v>
      </c>
      <c r="Q87" vm="732">
        <f ca="1"/>
        <v>72.055000000000007</v>
      </c>
      <c r="R87" s="29">
        <f t="shared" ca="1" si="15"/>
        <v>2.7728491850629252E-2</v>
      </c>
      <c r="S87" s="30">
        <f t="shared" ca="1" si="16"/>
        <v>7.8790802379803924E-3</v>
      </c>
      <c r="T87" s="30">
        <f t="shared" ca="1" si="17"/>
        <v>1.0052568477358564E-2</v>
      </c>
      <c r="U87" s="30">
        <f t="shared" ca="1" si="18"/>
        <v>1.8090688385934705E-2</v>
      </c>
      <c r="V87" s="30">
        <f t="shared" ca="1" si="19"/>
        <v>-1.4800000000000041E-2</v>
      </c>
      <c r="W87" s="30">
        <f t="shared" ca="1" si="22"/>
        <v>7.3233247894539954E-4</v>
      </c>
      <c r="X87" s="30">
        <f t="shared" ca="1" si="20"/>
        <v>-2.5339366515837205E-2</v>
      </c>
      <c r="Y87" s="31">
        <f t="shared" ca="1" si="21"/>
        <v>2.4148615612030421E-2</v>
      </c>
    </row>
    <row r="88" spans="2:25" x14ac:dyDescent="0.45">
      <c r="B88" vm="733">
        <f ca="1"/>
        <v>44292</v>
      </c>
      <c r="C88" vm="734">
        <f ca="1"/>
        <v>247.86</v>
      </c>
      <c r="D88" vm="733">
        <f ca="1"/>
        <v>44292</v>
      </c>
      <c r="E88" vm="735">
        <f ca="1"/>
        <v>23.395499999999998</v>
      </c>
      <c r="F88" vm="733">
        <f ca="1"/>
        <v>44292</v>
      </c>
      <c r="G88" vm="736">
        <f ca="1"/>
        <v>218.65</v>
      </c>
      <c r="H88" vm="733">
        <f ca="1"/>
        <v>44292</v>
      </c>
      <c r="I88" vm="737">
        <f ca="1"/>
        <v>131.04</v>
      </c>
      <c r="J88" vm="733">
        <f ca="1"/>
        <v>44292</v>
      </c>
      <c r="K88" vm="738">
        <f ca="1"/>
        <v>24.03</v>
      </c>
      <c r="L88" vm="733">
        <f ca="1"/>
        <v>44292</v>
      </c>
      <c r="M88" vm="739">
        <f ca="1"/>
        <v>282.33999999999997</v>
      </c>
      <c r="N88" vm="733">
        <f ca="1"/>
        <v>44292</v>
      </c>
      <c r="O88" vm="731">
        <f ca="1"/>
        <v>689.28</v>
      </c>
      <c r="P88" vm="733">
        <f ca="1"/>
        <v>44292</v>
      </c>
      <c r="Q88" vm="740">
        <f ca="1"/>
        <v>70.457999999999998</v>
      </c>
      <c r="R88" s="29">
        <f t="shared" ca="1" si="15"/>
        <v>-4.8580720279438692E-3</v>
      </c>
      <c r="S88" s="30">
        <f t="shared" ca="1" si="16"/>
        <v>8.7919764052500609E-3</v>
      </c>
      <c r="T88" s="30">
        <f t="shared" ca="1" si="17"/>
        <v>-1.7804967129290831E-3</v>
      </c>
      <c r="U88" s="30">
        <f t="shared" ca="1" si="18"/>
        <v>7.9999999999999395E-3</v>
      </c>
      <c r="V88" s="30">
        <f t="shared" ca="1" si="19"/>
        <v>-2.4360535931790415E-2</v>
      </c>
      <c r="W88" s="30">
        <f t="shared" ca="1" si="22"/>
        <v>3.3077204537138541E-2</v>
      </c>
      <c r="X88" s="30">
        <f t="shared" ca="1" si="20"/>
        <v>0</v>
      </c>
      <c r="Y88" s="31">
        <f t="shared" ca="1" si="21"/>
        <v>-2.2163625008674043E-2</v>
      </c>
    </row>
    <row r="89" spans="2:25" x14ac:dyDescent="0.45">
      <c r="B89" vm="741">
        <f ca="1"/>
        <v>44293</v>
      </c>
      <c r="C89" vm="742">
        <f ca="1"/>
        <v>249.9</v>
      </c>
      <c r="D89" vm="741">
        <f ca="1"/>
        <v>44293</v>
      </c>
      <c r="E89" vm="743">
        <f ca="1"/>
        <v>23.357700000000001</v>
      </c>
      <c r="F89" vm="741">
        <f ca="1"/>
        <v>44293</v>
      </c>
      <c r="G89" vm="744">
        <f ca="1"/>
        <v>219.27</v>
      </c>
      <c r="H89" vm="741">
        <f ca="1"/>
        <v>44293</v>
      </c>
      <c r="I89" vm="745">
        <f ca="1"/>
        <v>129.34</v>
      </c>
      <c r="J89" vm="741">
        <f ca="1"/>
        <v>44293</v>
      </c>
      <c r="K89" vm="746">
        <f ca="1"/>
        <v>23.62</v>
      </c>
      <c r="L89" vm="741">
        <f ca="1"/>
        <v>44293</v>
      </c>
      <c r="M89" vm="747">
        <f ca="1"/>
        <v>280.14999999999998</v>
      </c>
      <c r="N89" vm="741">
        <f ca="1"/>
        <v>44293</v>
      </c>
      <c r="O89" vm="748">
        <f ca="1"/>
        <v>671.36</v>
      </c>
      <c r="P89" vm="741">
        <f ca="1"/>
        <v>44293</v>
      </c>
      <c r="Q89" vm="749">
        <f ca="1"/>
        <v>65.62</v>
      </c>
      <c r="R89" s="29">
        <f t="shared" ca="1" si="15"/>
        <v>8.2304526748970871E-3</v>
      </c>
      <c r="S89" s="30">
        <f t="shared" ca="1" si="16"/>
        <v>-1.6156953260241145E-3</v>
      </c>
      <c r="T89" s="30">
        <f t="shared" ca="1" si="17"/>
        <v>2.8355819803338876E-3</v>
      </c>
      <c r="U89" s="30">
        <f t="shared" ca="1" si="18"/>
        <v>-1.2973137973137887E-2</v>
      </c>
      <c r="V89" s="30">
        <f t="shared" ca="1" si="19"/>
        <v>-1.7062005826050775E-2</v>
      </c>
      <c r="W89" s="30">
        <f t="shared" ca="1" si="22"/>
        <v>-7.7566055110859173E-3</v>
      </c>
      <c r="X89" s="30">
        <f t="shared" ca="1" si="20"/>
        <v>-2.5998142989786387E-2</v>
      </c>
      <c r="Y89" s="31">
        <f t="shared" ca="1" si="21"/>
        <v>-6.8665020295778964E-2</v>
      </c>
    </row>
    <row r="90" spans="2:25" x14ac:dyDescent="0.45">
      <c r="B90" vm="750">
        <f ca="1"/>
        <v>44294</v>
      </c>
      <c r="C90" vm="751">
        <f ca="1"/>
        <v>253.25</v>
      </c>
      <c r="D90" vm="750">
        <f ca="1"/>
        <v>44294</v>
      </c>
      <c r="E90" vm="656">
        <f ca="1"/>
        <v>22.6554</v>
      </c>
      <c r="F90" vm="750">
        <f ca="1"/>
        <v>44294</v>
      </c>
      <c r="G90" vm="752">
        <f ca="1"/>
        <v>220.7</v>
      </c>
      <c r="H90" vm="750">
        <f ca="1"/>
        <v>44294</v>
      </c>
      <c r="I90" vm="753">
        <f ca="1"/>
        <v>130.69</v>
      </c>
      <c r="J90" vm="750">
        <f ca="1"/>
        <v>44294</v>
      </c>
      <c r="K90" vm="754">
        <f ca="1"/>
        <v>22.72</v>
      </c>
      <c r="L90" vm="750">
        <f ca="1"/>
        <v>44294</v>
      </c>
      <c r="M90" vm="755">
        <f ca="1"/>
        <v>280.94</v>
      </c>
      <c r="N90" vm="750">
        <f ca="1"/>
        <v>44294</v>
      </c>
      <c r="O90" vm="756">
        <f ca="1"/>
        <v>661.12</v>
      </c>
      <c r="P90" vm="750">
        <f ca="1"/>
        <v>44294</v>
      </c>
      <c r="Q90" vm="757">
        <f ca="1"/>
        <v>69.012</v>
      </c>
      <c r="R90" s="29">
        <f t="shared" ca="1" si="15"/>
        <v>1.340536214485792E-2</v>
      </c>
      <c r="S90" s="30">
        <f t="shared" ca="1" si="16"/>
        <v>-3.0067172709641831E-2</v>
      </c>
      <c r="T90" s="30">
        <f t="shared" ca="1" si="17"/>
        <v>6.5216399872302568E-3</v>
      </c>
      <c r="U90" s="30">
        <f t="shared" ca="1" si="18"/>
        <v>1.0437606308953103E-2</v>
      </c>
      <c r="V90" s="30">
        <f t="shared" ca="1" si="19"/>
        <v>-3.8103302286198223E-2</v>
      </c>
      <c r="W90" s="30">
        <f t="shared" ca="1" si="22"/>
        <v>2.819917901124471E-3</v>
      </c>
      <c r="X90" s="30">
        <f t="shared" ca="1" si="20"/>
        <v>-1.5252621544327945E-2</v>
      </c>
      <c r="Y90" s="31">
        <f t="shared" ca="1" si="21"/>
        <v>5.169155745199628E-2</v>
      </c>
    </row>
    <row r="91" spans="2:25" x14ac:dyDescent="0.45">
      <c r="B91" vm="758">
        <f ca="1"/>
        <v>44295</v>
      </c>
      <c r="C91" vm="759">
        <f ca="1"/>
        <v>255.85</v>
      </c>
      <c r="D91" vm="758">
        <f ca="1"/>
        <v>44295</v>
      </c>
      <c r="E91" vm="760">
        <f ca="1"/>
        <v>22.685600000000001</v>
      </c>
      <c r="F91" vm="758">
        <f ca="1"/>
        <v>44295</v>
      </c>
      <c r="G91" vm="761">
        <f ca="1"/>
        <v>222.52</v>
      </c>
      <c r="H91" vm="758">
        <f ca="1"/>
        <v>44295</v>
      </c>
      <c r="I91" vm="762">
        <f ca="1"/>
        <v>131.91</v>
      </c>
      <c r="J91" vm="758">
        <f ca="1"/>
        <v>44295</v>
      </c>
      <c r="K91" vm="763">
        <f ca="1"/>
        <v>22.02</v>
      </c>
      <c r="L91" vm="758">
        <f ca="1"/>
        <v>44295</v>
      </c>
      <c r="M91" vm="764">
        <f ca="1"/>
        <v>279.2</v>
      </c>
      <c r="N91" vm="758">
        <f ca="1"/>
        <v>44295</v>
      </c>
      <c r="O91" vm="765">
        <f ca="1"/>
        <v>659.84</v>
      </c>
      <c r="P91" vm="758">
        <f ca="1"/>
        <v>44295</v>
      </c>
      <c r="Q91" vm="766">
        <f ca="1"/>
        <v>71.099999999999994</v>
      </c>
      <c r="R91" s="29">
        <f t="shared" ca="1" si="15"/>
        <v>1.0266535044422485E-2</v>
      </c>
      <c r="S91" s="30">
        <f t="shared" ca="1" si="16"/>
        <v>1.3330155283067468E-3</v>
      </c>
      <c r="T91" s="30">
        <f t="shared" ca="1" si="17"/>
        <v>8.2464884458541988E-3</v>
      </c>
      <c r="U91" s="30">
        <f t="shared" ca="1" si="18"/>
        <v>9.3350677174994182E-3</v>
      </c>
      <c r="V91" s="30">
        <f t="shared" ca="1" si="19"/>
        <v>-3.0809859154929547E-2</v>
      </c>
      <c r="W91" s="30">
        <f t="shared" ca="1" si="22"/>
        <v>-6.1934932725849264E-3</v>
      </c>
      <c r="X91" s="30">
        <f t="shared" ca="1" si="20"/>
        <v>-1.9361084220715947E-3</v>
      </c>
      <c r="Y91" s="31">
        <f t="shared" ca="1" si="21"/>
        <v>3.0255607720396364E-2</v>
      </c>
    </row>
    <row r="92" spans="2:25" x14ac:dyDescent="0.45">
      <c r="B92" vm="767">
        <f ca="1"/>
        <v>44298</v>
      </c>
      <c r="C92" vm="768">
        <f ca="1"/>
        <v>255.91</v>
      </c>
      <c r="D92" vm="767">
        <f ca="1"/>
        <v>44298</v>
      </c>
      <c r="E92" vm="769">
        <f ca="1"/>
        <v>22.6252</v>
      </c>
      <c r="F92" vm="767">
        <f ca="1"/>
        <v>44298</v>
      </c>
      <c r="G92" vm="770">
        <f ca="1"/>
        <v>221.47</v>
      </c>
      <c r="H92" vm="767">
        <f ca="1"/>
        <v>44298</v>
      </c>
      <c r="I92" vm="771">
        <f ca="1"/>
        <v>131.27000000000001</v>
      </c>
      <c r="J92" vm="767">
        <f ca="1"/>
        <v>44298</v>
      </c>
      <c r="K92" vm="772">
        <f ca="1"/>
        <v>21.23</v>
      </c>
      <c r="L92" vm="767">
        <f ca="1"/>
        <v>44298</v>
      </c>
      <c r="M92" vm="773">
        <f ca="1"/>
        <v>276.91000000000003</v>
      </c>
      <c r="N92" vm="767">
        <f ca="1"/>
        <v>44298</v>
      </c>
      <c r="O92" vm="774">
        <f ca="1"/>
        <v>650.24</v>
      </c>
      <c r="P92" vm="767">
        <f ca="1"/>
        <v>44298</v>
      </c>
      <c r="Q92" vm="775">
        <f ca="1"/>
        <v>71.823999999999998</v>
      </c>
      <c r="R92" s="29">
        <f t="shared" ca="1" si="15"/>
        <v>2.3451240961501769E-4</v>
      </c>
      <c r="S92" s="30">
        <f t="shared" ca="1" si="16"/>
        <v>-2.6624819268611516E-3</v>
      </c>
      <c r="T92" s="30">
        <f t="shared" ca="1" si="17"/>
        <v>-4.7186769728564237E-3</v>
      </c>
      <c r="U92" s="30">
        <f t="shared" ca="1" si="18"/>
        <v>-4.8517928890909438E-3</v>
      </c>
      <c r="V92" s="30">
        <f t="shared" ca="1" si="19"/>
        <v>-3.5876475930971805E-2</v>
      </c>
      <c r="W92" s="30">
        <f t="shared" ca="1" si="22"/>
        <v>-8.2020057306588963E-3</v>
      </c>
      <c r="X92" s="30">
        <f t="shared" ca="1" si="20"/>
        <v>-1.4548981571290044E-2</v>
      </c>
      <c r="Y92" s="31">
        <f t="shared" ca="1" si="21"/>
        <v>1.0182841068917071E-2</v>
      </c>
    </row>
    <row r="93" spans="2:25" x14ac:dyDescent="0.45">
      <c r="B93" vm="776">
        <f ca="1"/>
        <v>44299</v>
      </c>
      <c r="C93" vm="777">
        <f ca="1"/>
        <v>258.49</v>
      </c>
      <c r="D93" vm="776">
        <f ca="1"/>
        <v>44299</v>
      </c>
      <c r="E93" vm="778">
        <f ca="1"/>
        <v>22.376000000000001</v>
      </c>
      <c r="F93" vm="776">
        <f ca="1"/>
        <v>44299</v>
      </c>
      <c r="G93" vm="147">
        <f ca="1"/>
        <v>221.02</v>
      </c>
      <c r="H93" vm="776">
        <f ca="1"/>
        <v>44299</v>
      </c>
      <c r="I93" vm="779">
        <f ca="1"/>
        <v>132.97</v>
      </c>
      <c r="J93" vm="776">
        <f ca="1"/>
        <v>44299</v>
      </c>
      <c r="K93" vm="221">
        <f ca="1"/>
        <v>21.32</v>
      </c>
      <c r="L93" vm="776">
        <f ca="1"/>
        <v>44299</v>
      </c>
      <c r="M93" vm="780">
        <f ca="1"/>
        <v>293.12</v>
      </c>
      <c r="N93" vm="776">
        <f ca="1"/>
        <v>44299</v>
      </c>
      <c r="O93" vm="781">
        <f ca="1"/>
        <v>645.76</v>
      </c>
      <c r="P93" vm="776">
        <f ca="1"/>
        <v>44299</v>
      </c>
      <c r="Q93" vm="782">
        <f ca="1"/>
        <v>84.853999999999999</v>
      </c>
      <c r="R93" s="29">
        <f t="shared" ca="1" si="15"/>
        <v>1.0081669336876294E-2</v>
      </c>
      <c r="S93" s="30">
        <f t="shared" ca="1" si="16"/>
        <v>-1.1014267277195264E-2</v>
      </c>
      <c r="T93" s="30">
        <f t="shared" ca="1" si="17"/>
        <v>-2.0318779067141765E-3</v>
      </c>
      <c r="U93" s="30">
        <f t="shared" ca="1" si="18"/>
        <v>1.2950407556943617E-2</v>
      </c>
      <c r="V93" s="30">
        <f t="shared" ca="1" si="19"/>
        <v>4.2392840320301392E-3</v>
      </c>
      <c r="W93" s="30">
        <f t="shared" ca="1" si="22"/>
        <v>5.8538875446896024E-2</v>
      </c>
      <c r="X93" s="30">
        <f t="shared" ca="1" si="20"/>
        <v>-6.8897637795275867E-3</v>
      </c>
      <c r="Y93" s="31">
        <f t="shared" ca="1" si="21"/>
        <v>0.18141568278012923</v>
      </c>
    </row>
    <row r="94" spans="2:25" x14ac:dyDescent="0.45">
      <c r="B94" vm="783">
        <f ca="1"/>
        <v>44300</v>
      </c>
      <c r="C94" vm="784">
        <f ca="1"/>
        <v>255.59</v>
      </c>
      <c r="D94" vm="783">
        <f ca="1"/>
        <v>44300</v>
      </c>
      <c r="E94" vm="785">
        <f ca="1"/>
        <v>22.451499999999999</v>
      </c>
      <c r="F94" vm="783">
        <f ca="1"/>
        <v>44300</v>
      </c>
      <c r="G94" vm="786">
        <f ca="1"/>
        <v>221.98</v>
      </c>
      <c r="H94" vm="783">
        <f ca="1"/>
        <v>44300</v>
      </c>
      <c r="I94" vm="787">
        <f ca="1"/>
        <v>131.97</v>
      </c>
      <c r="J94" vm="783">
        <f ca="1"/>
        <v>44300</v>
      </c>
      <c r="K94" vm="788">
        <f ca="1"/>
        <v>22.87</v>
      </c>
      <c r="L94" vm="783">
        <f ca="1"/>
        <v>44300</v>
      </c>
      <c r="M94" vm="789">
        <f ca="1"/>
        <v>287.60000000000002</v>
      </c>
      <c r="N94" vm="783">
        <f ca="1"/>
        <v>44300</v>
      </c>
      <c r="O94" vm="765">
        <f ca="1"/>
        <v>659.84</v>
      </c>
      <c r="P94" vm="783">
        <f ca="1"/>
        <v>44300</v>
      </c>
      <c r="Q94" vm="790">
        <f ca="1"/>
        <v>73.55</v>
      </c>
      <c r="R94" s="29">
        <f t="shared" ca="1" si="15"/>
        <v>-1.1219002669348933E-2</v>
      </c>
      <c r="S94" s="30">
        <f t="shared" ca="1" si="16"/>
        <v>3.3741508759384214E-3</v>
      </c>
      <c r="T94" s="30">
        <f t="shared" ca="1" si="17"/>
        <v>4.3434983259432606E-3</v>
      </c>
      <c r="U94" s="30">
        <f t="shared" ca="1" si="18"/>
        <v>-7.5204933443633907E-3</v>
      </c>
      <c r="V94" s="30">
        <f t="shared" ca="1" si="19"/>
        <v>7.270168855534713E-2</v>
      </c>
      <c r="W94" s="30">
        <f t="shared" ca="1" si="22"/>
        <v>-1.8831877729257578E-2</v>
      </c>
      <c r="X94" s="30">
        <f t="shared" ca="1" si="20"/>
        <v>2.1803766105054571E-2</v>
      </c>
      <c r="Y94" s="31">
        <f t="shared" ca="1" si="21"/>
        <v>-0.13321705517712779</v>
      </c>
    </row>
    <row r="95" spans="2:25" x14ac:dyDescent="0.45">
      <c r="B95" vm="791">
        <f ca="1"/>
        <v>44301</v>
      </c>
      <c r="C95" vm="792">
        <f ca="1"/>
        <v>259.5</v>
      </c>
      <c r="D95" vm="791">
        <f ca="1"/>
        <v>44301</v>
      </c>
      <c r="E95" vm="332">
        <f ca="1"/>
        <v>22.4666</v>
      </c>
      <c r="F95" vm="791">
        <f ca="1"/>
        <v>44301</v>
      </c>
      <c r="G95" vm="793">
        <f ca="1"/>
        <v>226.28</v>
      </c>
      <c r="H95" vm="791">
        <f ca="1"/>
        <v>44301</v>
      </c>
      <c r="I95" vm="794">
        <f ca="1"/>
        <v>133.28</v>
      </c>
      <c r="J95" vm="791">
        <f ca="1"/>
        <v>44301</v>
      </c>
      <c r="K95" vm="795">
        <f ca="1"/>
        <v>22.15</v>
      </c>
      <c r="L95" vm="791">
        <f ca="1"/>
        <v>44301</v>
      </c>
      <c r="M95" vm="796">
        <f ca="1"/>
        <v>299.74</v>
      </c>
      <c r="N95" vm="791">
        <f ca="1"/>
        <v>44301</v>
      </c>
      <c r="O95" vm="797">
        <f ca="1"/>
        <v>638.08000000000004</v>
      </c>
      <c r="P95" vm="791">
        <f ca="1"/>
        <v>44301</v>
      </c>
      <c r="Q95" vm="798">
        <f ca="1"/>
        <v>74.015000000000001</v>
      </c>
      <c r="R95" s="29">
        <f t="shared" ca="1" si="15"/>
        <v>1.5297938103994666E-2</v>
      </c>
      <c r="S95" s="30">
        <f t="shared" ca="1" si="16"/>
        <v>6.7256085339511109E-4</v>
      </c>
      <c r="T95" s="30">
        <f t="shared" ca="1" si="17"/>
        <v>1.9371114514821208E-2</v>
      </c>
      <c r="U95" s="30">
        <f t="shared" ca="1" si="18"/>
        <v>9.9264984466166731E-3</v>
      </c>
      <c r="V95" s="30">
        <f t="shared" ca="1" si="19"/>
        <v>-3.1482291211193808E-2</v>
      </c>
      <c r="W95" s="30">
        <f t="shared" ca="1" si="22"/>
        <v>4.2211404728789932E-2</v>
      </c>
      <c r="X95" s="30">
        <f t="shared" ca="1" si="20"/>
        <v>-3.2977691561590673E-2</v>
      </c>
      <c r="Y95" s="31">
        <f t="shared" ca="1" si="21"/>
        <v>6.3222297756628607E-3</v>
      </c>
    </row>
    <row r="96" spans="2:25" x14ac:dyDescent="0.45">
      <c r="B96" vm="799">
        <f ca="1"/>
        <v>44302</v>
      </c>
      <c r="C96" vm="800">
        <f ca="1"/>
        <v>260.74</v>
      </c>
      <c r="D96" vm="799">
        <f ca="1"/>
        <v>44302</v>
      </c>
      <c r="E96" vm="801">
        <f ca="1"/>
        <v>22.617599999999999</v>
      </c>
      <c r="F96" vm="799">
        <f ca="1"/>
        <v>44302</v>
      </c>
      <c r="G96" vm="802">
        <f ca="1"/>
        <v>226.41</v>
      </c>
      <c r="H96" vm="799">
        <f ca="1"/>
        <v>44302</v>
      </c>
      <c r="I96" vm="803">
        <f ca="1"/>
        <v>134.58000000000001</v>
      </c>
      <c r="J96" vm="799">
        <f ca="1"/>
        <v>44302</v>
      </c>
      <c r="K96" vm="804">
        <f ca="1"/>
        <v>22.67</v>
      </c>
      <c r="L96" vm="799">
        <f ca="1"/>
        <v>44302</v>
      </c>
      <c r="M96" vm="805">
        <f ca="1"/>
        <v>292.02</v>
      </c>
      <c r="N96" vm="799">
        <f ca="1"/>
        <v>44302</v>
      </c>
      <c r="O96" vm="806">
        <f ca="1"/>
        <v>627.84</v>
      </c>
      <c r="P96" vm="799">
        <f ca="1"/>
        <v>44302</v>
      </c>
      <c r="Q96" vm="807">
        <f ca="1"/>
        <v>69.361999999999995</v>
      </c>
      <c r="R96" s="29">
        <f t="shared" ca="1" si="15"/>
        <v>4.7784200385356801E-3</v>
      </c>
      <c r="S96" s="30">
        <f t="shared" ca="1" si="16"/>
        <v>6.7210881931400301E-3</v>
      </c>
      <c r="T96" s="30">
        <f t="shared" ca="1" si="17"/>
        <v>5.7450945730950793E-4</v>
      </c>
      <c r="U96" s="30">
        <f t="shared" ca="1" si="18"/>
        <v>9.7539015606243357E-3</v>
      </c>
      <c r="V96" s="30">
        <f t="shared" ca="1" si="19"/>
        <v>2.3476297968397435E-2</v>
      </c>
      <c r="W96" s="30">
        <f t="shared" ca="1" si="22"/>
        <v>-2.5755654900914214E-2</v>
      </c>
      <c r="X96" s="30">
        <f t="shared" ca="1" si="20"/>
        <v>-1.6048144433299914E-2</v>
      </c>
      <c r="Y96" s="31">
        <f t="shared" ca="1" si="21"/>
        <v>-6.2865635344187071E-2</v>
      </c>
    </row>
    <row r="97" spans="2:25" x14ac:dyDescent="0.45">
      <c r="B97" vm="808">
        <f ca="1"/>
        <v>44305</v>
      </c>
      <c r="C97" vm="809">
        <f ca="1"/>
        <v>258.74</v>
      </c>
      <c r="D97" vm="808">
        <f ca="1"/>
        <v>44305</v>
      </c>
      <c r="E97" vm="565">
        <f ca="1"/>
        <v>22.6478</v>
      </c>
      <c r="F97" vm="808">
        <f ca="1"/>
        <v>44305</v>
      </c>
      <c r="G97" vm="810">
        <f ca="1"/>
        <v>225.79</v>
      </c>
      <c r="H97" vm="808">
        <f ca="1"/>
        <v>44305</v>
      </c>
      <c r="I97" vm="811">
        <f ca="1"/>
        <v>133.5</v>
      </c>
      <c r="J97" vm="808">
        <f ca="1"/>
        <v>44305</v>
      </c>
      <c r="K97" vm="812">
        <f ca="1"/>
        <v>22.84</v>
      </c>
      <c r="L97" vm="808">
        <f ca="1"/>
        <v>44305</v>
      </c>
      <c r="M97" vm="813">
        <f ca="1"/>
        <v>280.37</v>
      </c>
      <c r="N97" vm="808">
        <f ca="1"/>
        <v>44305</v>
      </c>
      <c r="O97" vm="814">
        <f ca="1"/>
        <v>650.88</v>
      </c>
      <c r="P97" vm="808">
        <f ca="1"/>
        <v>44305</v>
      </c>
      <c r="Q97" vm="815">
        <f ca="1"/>
        <v>63.752000000000002</v>
      </c>
      <c r="R97" s="29">
        <f t="shared" ca="1" si="15"/>
        <v>-7.6704763365805012E-3</v>
      </c>
      <c r="S97" s="30">
        <f t="shared" ca="1" si="16"/>
        <v>1.3352433503112918E-3</v>
      </c>
      <c r="T97" s="30">
        <f t="shared" ca="1" si="17"/>
        <v>-2.7383949472196659E-3</v>
      </c>
      <c r="U97" s="30">
        <f t="shared" ca="1" si="18"/>
        <v>-8.0249665626394139E-3</v>
      </c>
      <c r="V97" s="30">
        <f t="shared" ca="1" si="19"/>
        <v>7.4988972209968302E-3</v>
      </c>
      <c r="W97" s="30">
        <f t="shared" ca="1" si="22"/>
        <v>-3.989452777207033E-2</v>
      </c>
      <c r="X97" s="30">
        <f t="shared" ca="1" si="20"/>
        <v>3.6697247706421958E-2</v>
      </c>
      <c r="Y97" s="31">
        <f t="shared" ca="1" si="21"/>
        <v>-8.0880020760646931E-2</v>
      </c>
    </row>
    <row r="98" spans="2:25" x14ac:dyDescent="0.45">
      <c r="B98" vm="816">
        <f ca="1"/>
        <v>44306</v>
      </c>
      <c r="C98" vm="817">
        <f ca="1"/>
        <v>258.26</v>
      </c>
      <c r="D98" vm="816">
        <f ca="1"/>
        <v>44306</v>
      </c>
      <c r="E98" vm="818">
        <f ca="1"/>
        <v>22.572299999999998</v>
      </c>
      <c r="F98" vm="816">
        <f ca="1"/>
        <v>44306</v>
      </c>
      <c r="G98" vm="819">
        <f ca="1"/>
        <v>223.28</v>
      </c>
      <c r="H98" vm="816">
        <f ca="1"/>
        <v>44306</v>
      </c>
      <c r="I98" vm="820">
        <f ca="1"/>
        <v>132.46</v>
      </c>
      <c r="J98" vm="816">
        <f ca="1"/>
        <v>44306</v>
      </c>
      <c r="K98" vm="821">
        <f ca="1"/>
        <v>21.47</v>
      </c>
      <c r="L98" vm="816">
        <f ca="1"/>
        <v>44306</v>
      </c>
      <c r="M98" vm="822">
        <f ca="1"/>
        <v>271.2</v>
      </c>
      <c r="N98" vm="816">
        <f ca="1"/>
        <v>44306</v>
      </c>
      <c r="O98" vm="823">
        <f ca="1"/>
        <v>665.6</v>
      </c>
      <c r="P98" vm="816">
        <f ca="1"/>
        <v>44306</v>
      </c>
      <c r="Q98" vm="824">
        <f ca="1"/>
        <v>64.644999999999996</v>
      </c>
      <c r="R98" s="29">
        <f t="shared" ca="1" si="15"/>
        <v>-1.8551441601608494E-3</v>
      </c>
      <c r="S98" s="30">
        <f t="shared" ca="1" si="16"/>
        <v>-3.333657132260161E-3</v>
      </c>
      <c r="T98" s="30">
        <f t="shared" ca="1" si="17"/>
        <v>-1.1116524203906245E-2</v>
      </c>
      <c r="U98" s="30">
        <f t="shared" ca="1" si="18"/>
        <v>-7.7902621722845842E-3</v>
      </c>
      <c r="V98" s="30">
        <f t="shared" ca="1" si="19"/>
        <v>-5.9982486865148905E-2</v>
      </c>
      <c r="W98" s="30">
        <f t="shared" ca="1" si="22"/>
        <v>-3.2706780325997845E-2</v>
      </c>
      <c r="X98" s="30">
        <f t="shared" ca="1" si="20"/>
        <v>2.2615535889872217E-2</v>
      </c>
      <c r="Y98" s="31">
        <f t="shared" ca="1" si="21"/>
        <v>1.4007403689295921E-2</v>
      </c>
    </row>
    <row r="99" spans="2:25" x14ac:dyDescent="0.45">
      <c r="B99" vm="825">
        <f ca="1"/>
        <v>44307</v>
      </c>
      <c r="C99" vm="826">
        <f ca="1"/>
        <v>260.58</v>
      </c>
      <c r="D99" vm="825">
        <f ca="1"/>
        <v>44307</v>
      </c>
      <c r="E99" vm="827">
        <f ca="1"/>
        <v>22.738499999999998</v>
      </c>
      <c r="F99" vm="825">
        <f ca="1"/>
        <v>44307</v>
      </c>
      <c r="G99" vm="828">
        <f ca="1"/>
        <v>227.45</v>
      </c>
      <c r="H99" vm="825">
        <f ca="1"/>
        <v>44307</v>
      </c>
      <c r="I99" vm="829">
        <f ca="1"/>
        <v>133.83000000000001</v>
      </c>
      <c r="J99" vm="825">
        <f ca="1"/>
        <v>44307</v>
      </c>
      <c r="K99" vm="642">
        <f ca="1"/>
        <v>22.41</v>
      </c>
      <c r="L99" vm="825">
        <f ca="1"/>
        <v>44307</v>
      </c>
      <c r="M99" vm="830">
        <f ca="1"/>
        <v>261.70999999999998</v>
      </c>
      <c r="N99" vm="825">
        <f ca="1"/>
        <v>44307</v>
      </c>
      <c r="O99" vm="831">
        <f ca="1"/>
        <v>629.76</v>
      </c>
      <c r="P99" vm="825">
        <f ca="1"/>
        <v>44307</v>
      </c>
      <c r="Q99" vm="832">
        <f ca="1"/>
        <v>65.046000000000006</v>
      </c>
      <c r="R99" s="29">
        <f t="shared" ca="1" si="15"/>
        <v>8.9831952296135411E-3</v>
      </c>
      <c r="S99" s="30">
        <f t="shared" ca="1" si="16"/>
        <v>7.3630068712537012E-3</v>
      </c>
      <c r="T99" s="30">
        <f t="shared" ca="1" si="17"/>
        <v>1.8676101755643083E-2</v>
      </c>
      <c r="U99" s="30">
        <f t="shared" ca="1" si="18"/>
        <v>1.0342744979616523E-2</v>
      </c>
      <c r="V99" s="30">
        <f t="shared" ca="1" si="19"/>
        <v>4.3782021425244587E-2</v>
      </c>
      <c r="W99" s="30">
        <f t="shared" ca="1" si="22"/>
        <v>-3.49926253687316E-2</v>
      </c>
      <c r="X99" s="30">
        <f t="shared" ca="1" si="20"/>
        <v>-5.3846153846153891E-2</v>
      </c>
      <c r="Y99" s="31">
        <f t="shared" ca="1" si="21"/>
        <v>6.2031092891949953E-3</v>
      </c>
    </row>
    <row r="100" spans="2:25" x14ac:dyDescent="0.45">
      <c r="B100" vm="833">
        <f ca="1"/>
        <v>44308</v>
      </c>
      <c r="C100" vm="834">
        <f ca="1"/>
        <v>257.17</v>
      </c>
      <c r="D100" vm="833">
        <f ca="1"/>
        <v>44308</v>
      </c>
      <c r="E100" vm="835">
        <f ca="1"/>
        <v>23.682400000000001</v>
      </c>
      <c r="F100" vm="833">
        <f ca="1"/>
        <v>44308</v>
      </c>
      <c r="G100" vm="836">
        <f ca="1"/>
        <v>227.57</v>
      </c>
      <c r="H100" vm="833">
        <f ca="1"/>
        <v>44308</v>
      </c>
      <c r="I100" vm="837">
        <f ca="1"/>
        <v>134.53</v>
      </c>
      <c r="J100" vm="833">
        <f ca="1"/>
        <v>44308</v>
      </c>
      <c r="K100" vm="838">
        <f ca="1"/>
        <v>22.27</v>
      </c>
      <c r="L100" vm="833">
        <f ca="1"/>
        <v>44308</v>
      </c>
      <c r="M100" vm="839">
        <f ca="1"/>
        <v>265.16000000000003</v>
      </c>
      <c r="N100" vm="833">
        <f ca="1"/>
        <v>44308</v>
      </c>
      <c r="O100" vm="840">
        <f ca="1"/>
        <v>668.8</v>
      </c>
      <c r="P100" vm="833">
        <f ca="1"/>
        <v>44308</v>
      </c>
      <c r="Q100" vm="841">
        <f ca="1"/>
        <v>59.82</v>
      </c>
      <c r="R100" s="29">
        <f t="shared" ca="1" si="15"/>
        <v>-1.3086192340164128E-2</v>
      </c>
      <c r="S100" s="30">
        <f t="shared" ca="1" si="16"/>
        <v>4.1511093519801347E-2</v>
      </c>
      <c r="T100" s="30">
        <f t="shared" ca="1" si="17"/>
        <v>5.2758848098485183E-4</v>
      </c>
      <c r="U100" s="30">
        <f t="shared" ca="1" si="18"/>
        <v>5.2305163266830202E-3</v>
      </c>
      <c r="V100" s="30">
        <f t="shared" ca="1" si="19"/>
        <v>-6.2472110664882003E-3</v>
      </c>
      <c r="W100" s="30">
        <f t="shared" ca="1" si="22"/>
        <v>1.3182530281609589E-2</v>
      </c>
      <c r="X100" s="30">
        <f t="shared" ca="1" si="20"/>
        <v>6.1991869918699129E-2</v>
      </c>
      <c r="Y100" s="31">
        <f t="shared" ca="1" si="21"/>
        <v>-8.0343141776588967E-2</v>
      </c>
    </row>
    <row r="101" spans="2:25" x14ac:dyDescent="0.45">
      <c r="B101" vm="842">
        <f ca="1"/>
        <v>44309</v>
      </c>
      <c r="C101" vm="843">
        <f ca="1"/>
        <v>261.14999999999998</v>
      </c>
      <c r="D101" vm="842">
        <f ca="1"/>
        <v>44309</v>
      </c>
      <c r="E101" vm="844">
        <f ca="1"/>
        <v>23.712700000000002</v>
      </c>
      <c r="F101" vm="842">
        <f ca="1"/>
        <v>44309</v>
      </c>
      <c r="G101" vm="845">
        <f ca="1"/>
        <v>230</v>
      </c>
      <c r="H101" vm="842">
        <f ca="1"/>
        <v>44309</v>
      </c>
      <c r="I101" vm="846">
        <f ca="1"/>
        <v>136.68</v>
      </c>
      <c r="J101" vm="842">
        <f ca="1"/>
        <v>44309</v>
      </c>
      <c r="K101" vm="847">
        <f ca="1"/>
        <v>23.71</v>
      </c>
      <c r="L101" vm="842">
        <f ca="1"/>
        <v>44309</v>
      </c>
      <c r="M101" vm="848">
        <f ca="1"/>
        <v>284.11</v>
      </c>
      <c r="N101" vm="842">
        <f ca="1"/>
        <v>44309</v>
      </c>
      <c r="O101" vm="849">
        <f ca="1"/>
        <v>642.72</v>
      </c>
      <c r="P101" vm="842">
        <f ca="1"/>
        <v>44309</v>
      </c>
      <c r="Q101" vm="850">
        <f ca="1"/>
        <v>61.304000000000002</v>
      </c>
      <c r="R101" s="29">
        <f t="shared" ca="1" si="15"/>
        <v>1.5476144184780345E-2</v>
      </c>
      <c r="S101" s="30">
        <f t="shared" ca="1" si="16"/>
        <v>1.2794311387359573E-3</v>
      </c>
      <c r="T101" s="30">
        <f t="shared" ca="1" si="17"/>
        <v>1.0678033132662508E-2</v>
      </c>
      <c r="U101" s="30">
        <f t="shared" ca="1" si="18"/>
        <v>1.5981565450085524E-2</v>
      </c>
      <c r="V101" s="30">
        <f t="shared" ca="1" si="19"/>
        <v>6.4660978895375004E-2</v>
      </c>
      <c r="W101" s="30">
        <f t="shared" ca="1" si="22"/>
        <v>7.1466284507467143E-2</v>
      </c>
      <c r="X101" s="30">
        <f t="shared" ca="1" si="20"/>
        <v>-3.899521531100468E-2</v>
      </c>
      <c r="Y101" s="31">
        <f t="shared" ca="1" si="21"/>
        <v>2.4807756603142789E-2</v>
      </c>
    </row>
    <row r="102" spans="2:25" x14ac:dyDescent="0.45">
      <c r="B102" vm="851">
        <f ca="1"/>
        <v>44312</v>
      </c>
      <c r="C102" vm="852">
        <f ca="1"/>
        <v>261.55</v>
      </c>
      <c r="D102" vm="851">
        <f ca="1"/>
        <v>44312</v>
      </c>
      <c r="E102" vm="853">
        <f ca="1"/>
        <v>23.342600000000001</v>
      </c>
      <c r="F102" vm="851">
        <f ca="1"/>
        <v>44312</v>
      </c>
      <c r="G102" vm="854">
        <f ca="1"/>
        <v>230.34</v>
      </c>
      <c r="H102" vm="851">
        <f ca="1"/>
        <v>44312</v>
      </c>
      <c r="I102" vm="855">
        <f ca="1"/>
        <v>137.34</v>
      </c>
      <c r="J102" vm="851">
        <f ca="1"/>
        <v>44312</v>
      </c>
      <c r="K102" vm="856">
        <f ca="1"/>
        <v>24.75</v>
      </c>
      <c r="L102" vm="851">
        <f ca="1"/>
        <v>44312</v>
      </c>
      <c r="M102" vm="857">
        <f ca="1"/>
        <v>298.02</v>
      </c>
      <c r="N102" vm="851">
        <f ca="1"/>
        <v>44312</v>
      </c>
      <c r="O102" vm="858">
        <f ca="1"/>
        <v>637.12</v>
      </c>
      <c r="P102" vm="851">
        <f ca="1"/>
        <v>44312</v>
      </c>
      <c r="Q102" vm="859">
        <f ca="1"/>
        <v>65.882000000000005</v>
      </c>
      <c r="R102" s="29">
        <f t="shared" ca="1" si="15"/>
        <v>1.5316867700556544E-3</v>
      </c>
      <c r="S102" s="30">
        <f t="shared" ca="1" si="16"/>
        <v>-1.5607670151437868E-2</v>
      </c>
      <c r="T102" s="30">
        <f t="shared" ca="1" si="17"/>
        <v>1.4782608695652322E-3</v>
      </c>
      <c r="U102" s="30">
        <f t="shared" ca="1" si="18"/>
        <v>4.828797190517973E-3</v>
      </c>
      <c r="V102" s="30">
        <f t="shared" ca="1" si="19"/>
        <v>4.3863348797975502E-2</v>
      </c>
      <c r="W102" s="30">
        <f t="shared" ca="1" si="22"/>
        <v>4.8959909894055006E-2</v>
      </c>
      <c r="X102" s="30">
        <f t="shared" ca="1" si="20"/>
        <v>-8.7129698780184575E-3</v>
      </c>
      <c r="Y102" s="31">
        <f t="shared" ca="1" si="21"/>
        <v>7.4677019444082005E-2</v>
      </c>
    </row>
    <row r="103" spans="2:25" x14ac:dyDescent="0.45">
      <c r="B103" vm="860">
        <f ca="1"/>
        <v>44313</v>
      </c>
      <c r="C103" vm="861">
        <f ca="1"/>
        <v>261.97000000000003</v>
      </c>
      <c r="D103" vm="860">
        <f ca="1"/>
        <v>44313</v>
      </c>
      <c r="E103" vm="862">
        <f ca="1"/>
        <v>23.236899999999999</v>
      </c>
      <c r="F103" vm="860">
        <f ca="1"/>
        <v>44313</v>
      </c>
      <c r="G103" vm="863">
        <f ca="1"/>
        <v>229.91</v>
      </c>
      <c r="H103" vm="860">
        <f ca="1"/>
        <v>44313</v>
      </c>
      <c r="I103" vm="864">
        <f ca="1"/>
        <v>136.47999999999999</v>
      </c>
      <c r="J103" vm="860">
        <f ca="1"/>
        <v>44313</v>
      </c>
      <c r="K103" vm="865">
        <f ca="1"/>
        <v>23.78</v>
      </c>
      <c r="L103" vm="860">
        <f ca="1"/>
        <v>44313</v>
      </c>
      <c r="M103" vm="866">
        <f ca="1"/>
        <v>292.92</v>
      </c>
      <c r="N103" vm="860">
        <f ca="1"/>
        <v>44313</v>
      </c>
      <c r="O103" vm="867">
        <f ca="1"/>
        <v>624.16</v>
      </c>
      <c r="P103" vm="860">
        <f ca="1"/>
        <v>44313</v>
      </c>
      <c r="Q103" vm="868">
        <f ca="1"/>
        <v>67.698999999999998</v>
      </c>
      <c r="R103" s="29">
        <f t="shared" ca="1" si="15"/>
        <v>1.6058115083158705E-3</v>
      </c>
      <c r="S103" s="30">
        <f t="shared" ca="1" si="16"/>
        <v>-4.5282016570562982E-3</v>
      </c>
      <c r="T103" s="30">
        <f t="shared" ca="1" si="17"/>
        <v>-1.866805591733988E-3</v>
      </c>
      <c r="U103" s="30">
        <f t="shared" ca="1" si="18"/>
        <v>-6.2618319499054432E-3</v>
      </c>
      <c r="V103" s="30">
        <f t="shared" ca="1" si="19"/>
        <v>-3.9191919191919146E-2</v>
      </c>
      <c r="W103" s="30">
        <f t="shared" ca="1" si="22"/>
        <v>-1.711294543990325E-2</v>
      </c>
      <c r="X103" s="30">
        <f t="shared" ca="1" si="20"/>
        <v>-2.0341536916122609E-2</v>
      </c>
      <c r="Y103" s="31">
        <f t="shared" ca="1" si="21"/>
        <v>2.7579612033635788E-2</v>
      </c>
    </row>
    <row r="104" spans="2:25" x14ac:dyDescent="0.45">
      <c r="B104" vm="869">
        <f ca="1"/>
        <v>44314</v>
      </c>
      <c r="C104" vm="870">
        <f ca="1"/>
        <v>254.56</v>
      </c>
      <c r="D104" vm="869">
        <f ca="1"/>
        <v>44314</v>
      </c>
      <c r="E104" vm="871">
        <f ca="1"/>
        <v>23.380400000000002</v>
      </c>
      <c r="F104" vm="869">
        <f ca="1"/>
        <v>44314</v>
      </c>
      <c r="G104" vm="872">
        <f ca="1"/>
        <v>233.45</v>
      </c>
      <c r="H104" vm="869">
        <f ca="1"/>
        <v>44314</v>
      </c>
      <c r="I104" vm="873">
        <f ca="1"/>
        <v>134.80000000000001</v>
      </c>
      <c r="J104" vm="869">
        <f ca="1"/>
        <v>44314</v>
      </c>
      <c r="K104" vm="874">
        <f ca="1"/>
        <v>23.27</v>
      </c>
      <c r="L104" vm="869">
        <f ca="1"/>
        <v>44314</v>
      </c>
      <c r="M104" vm="875">
        <f ca="1"/>
        <v>256.83999999999997</v>
      </c>
      <c r="N104" vm="869">
        <f ca="1"/>
        <v>44314</v>
      </c>
      <c r="O104" vm="876">
        <f ca="1"/>
        <v>621.91999999999996</v>
      </c>
      <c r="P104" vm="869">
        <f ca="1"/>
        <v>44314</v>
      </c>
      <c r="Q104" vm="877">
        <f ca="1"/>
        <v>68.081999999999994</v>
      </c>
      <c r="R104" s="29">
        <f t="shared" ca="1" si="15"/>
        <v>-2.8285681566591687E-2</v>
      </c>
      <c r="S104" s="30">
        <f t="shared" ca="1" si="16"/>
        <v>6.1755225524920739E-3</v>
      </c>
      <c r="T104" s="30">
        <f t="shared" ca="1" si="17"/>
        <v>1.5397329389761176E-2</v>
      </c>
      <c r="U104" s="30">
        <f t="shared" ca="1" si="18"/>
        <v>-1.2309495896834544E-2</v>
      </c>
      <c r="V104" s="30">
        <f t="shared" ca="1" si="19"/>
        <v>-2.1446593776282656E-2</v>
      </c>
      <c r="W104" s="30">
        <f t="shared" ca="1" si="22"/>
        <v>-0.12317356274750799</v>
      </c>
      <c r="X104" s="30">
        <f t="shared" ca="1" si="20"/>
        <v>-3.5888233786208813E-3</v>
      </c>
      <c r="Y104" s="31">
        <f t="shared" ca="1" si="21"/>
        <v>5.6573952347892227E-3</v>
      </c>
    </row>
    <row r="105" spans="2:25" x14ac:dyDescent="0.45">
      <c r="B105" vm="878">
        <f ca="1"/>
        <v>44315</v>
      </c>
      <c r="C105" vm="879">
        <f ca="1"/>
        <v>252.51</v>
      </c>
      <c r="D105" vm="878">
        <f ca="1"/>
        <v>44315</v>
      </c>
      <c r="E105" vm="880">
        <f ca="1"/>
        <v>23.667300000000001</v>
      </c>
      <c r="F105" vm="878">
        <f ca="1"/>
        <v>44315</v>
      </c>
      <c r="G105" vm="881">
        <f ca="1"/>
        <v>236.86</v>
      </c>
      <c r="H105" vm="878">
        <f ca="1"/>
        <v>44315</v>
      </c>
      <c r="I105" vm="882">
        <f ca="1"/>
        <v>134.15</v>
      </c>
      <c r="J105" vm="878">
        <f ca="1"/>
        <v>44315</v>
      </c>
      <c r="K105" vm="883">
        <f ca="1"/>
        <v>22.5</v>
      </c>
      <c r="L105" vm="878">
        <f ca="1"/>
        <v>44315</v>
      </c>
      <c r="M105" vm="884">
        <f ca="1"/>
        <v>262.14999999999998</v>
      </c>
      <c r="N105" vm="878">
        <f ca="1"/>
        <v>44315</v>
      </c>
      <c r="O105" vm="885">
        <f ca="1"/>
        <v>617.12</v>
      </c>
      <c r="P105" vm="878">
        <f ca="1"/>
        <v>44315</v>
      </c>
      <c r="Q105" vm="886">
        <f ca="1"/>
        <v>65.501000000000005</v>
      </c>
      <c r="R105" s="29">
        <f t="shared" ca="1" si="15"/>
        <v>-8.0531112507857133E-3</v>
      </c>
      <c r="S105" s="30">
        <f t="shared" ca="1" si="16"/>
        <v>1.227096200236092E-2</v>
      </c>
      <c r="T105" s="30">
        <f t="shared" ca="1" si="17"/>
        <v>1.4606982223174235E-2</v>
      </c>
      <c r="U105" s="30">
        <f t="shared" ca="1" si="18"/>
        <v>-4.8219584569733354E-3</v>
      </c>
      <c r="V105" s="30">
        <f t="shared" ca="1" si="19"/>
        <v>-3.3089815212720225E-2</v>
      </c>
      <c r="W105" s="30">
        <f t="shared" ca="1" si="22"/>
        <v>2.0674349789752387E-2</v>
      </c>
      <c r="X105" s="30">
        <f t="shared" ca="1" si="20"/>
        <v>-7.718034473887244E-3</v>
      </c>
      <c r="Y105" s="31">
        <f t="shared" ca="1" si="21"/>
        <v>-3.7910167151376122E-2</v>
      </c>
    </row>
    <row r="106" spans="2:25" x14ac:dyDescent="0.45">
      <c r="B106" vm="887">
        <f ca="1"/>
        <v>44316</v>
      </c>
      <c r="C106" vm="888">
        <f ca="1"/>
        <v>252.18</v>
      </c>
      <c r="D106" vm="887">
        <f ca="1"/>
        <v>44316</v>
      </c>
      <c r="E106" vm="889">
        <f ca="1"/>
        <v>23.720199999999998</v>
      </c>
      <c r="F106" vm="887">
        <f ca="1"/>
        <v>44316</v>
      </c>
      <c r="G106" vm="890">
        <f ca="1"/>
        <v>233.56</v>
      </c>
      <c r="H106" vm="887">
        <f ca="1"/>
        <v>44316</v>
      </c>
      <c r="I106" vm="891">
        <f ca="1"/>
        <v>133.63999999999999</v>
      </c>
      <c r="J106" vm="887">
        <f ca="1"/>
        <v>44316</v>
      </c>
      <c r="K106" vm="892">
        <f ca="1"/>
        <v>23.01</v>
      </c>
      <c r="L106" vm="887">
        <f ca="1"/>
        <v>44316</v>
      </c>
      <c r="M106" vm="893">
        <f ca="1"/>
        <v>252.12</v>
      </c>
      <c r="N106" vm="887">
        <f ca="1"/>
        <v>44316</v>
      </c>
      <c r="O106" vm="894">
        <f ca="1"/>
        <v>642.55999999999995</v>
      </c>
      <c r="P106" vm="887">
        <f ca="1"/>
        <v>44316</v>
      </c>
      <c r="Q106" vm="895">
        <f ca="1"/>
        <v>65.715999999999994</v>
      </c>
      <c r="R106" s="29">
        <f t="shared" ca="1" si="15"/>
        <v>-1.3068789354876405E-3</v>
      </c>
      <c r="S106" s="30">
        <f t="shared" ca="1" si="16"/>
        <v>2.235151453693387E-3</v>
      </c>
      <c r="T106" s="30">
        <f t="shared" ca="1" si="17"/>
        <v>-1.3932280672127042E-2</v>
      </c>
      <c r="U106" s="30">
        <f t="shared" ca="1" si="18"/>
        <v>-3.8017144986956341E-3</v>
      </c>
      <c r="V106" s="30">
        <f t="shared" ca="1" si="19"/>
        <v>2.2666666666666738E-2</v>
      </c>
      <c r="W106" s="30">
        <f t="shared" ca="1" si="22"/>
        <v>-3.8260537860003711E-2</v>
      </c>
      <c r="X106" s="30">
        <f t="shared" ca="1" si="20"/>
        <v>4.1223749027741674E-2</v>
      </c>
      <c r="Y106" s="31">
        <f t="shared" ca="1" si="21"/>
        <v>3.2823926352267782E-3</v>
      </c>
    </row>
    <row r="107" spans="2:25" x14ac:dyDescent="0.45">
      <c r="B107" vm="896">
        <f ca="1"/>
        <v>44319</v>
      </c>
      <c r="C107" vm="897">
        <f ca="1"/>
        <v>251.86</v>
      </c>
      <c r="D107" vm="896">
        <f ca="1"/>
        <v>44319</v>
      </c>
      <c r="E107" vm="898">
        <f ca="1"/>
        <v>23.7882</v>
      </c>
      <c r="F107" vm="896">
        <f ca="1"/>
        <v>44319</v>
      </c>
      <c r="G107" vm="899">
        <f ca="1"/>
        <v>232.61</v>
      </c>
      <c r="H107" vm="896">
        <f ca="1"/>
        <v>44319</v>
      </c>
      <c r="I107" vm="900">
        <f ca="1"/>
        <v>133.19</v>
      </c>
      <c r="J107" vm="896">
        <f ca="1"/>
        <v>44319</v>
      </c>
      <c r="K107" vm="901">
        <f ca="1"/>
        <v>24.68</v>
      </c>
      <c r="L107" vm="896">
        <f ca="1"/>
        <v>44319</v>
      </c>
      <c r="M107" vm="902">
        <f ca="1"/>
        <v>247.69</v>
      </c>
      <c r="N107" vm="896">
        <f ca="1"/>
        <v>44319</v>
      </c>
      <c r="O107" vm="903">
        <f ca="1"/>
        <v>620</v>
      </c>
      <c r="P107" vm="896">
        <f ca="1"/>
        <v>44319</v>
      </c>
      <c r="Q107" vm="904">
        <f ca="1"/>
        <v>63.561999999999998</v>
      </c>
      <c r="R107" s="29">
        <f t="shared" ca="1" si="15"/>
        <v>-1.2689348877785438E-3</v>
      </c>
      <c r="S107" s="30">
        <f t="shared" ca="1" si="16"/>
        <v>2.8667549177494875E-3</v>
      </c>
      <c r="T107" s="30">
        <f t="shared" ca="1" si="17"/>
        <v>-4.0674773077581288E-3</v>
      </c>
      <c r="U107" s="30">
        <f t="shared" ca="1" si="18"/>
        <v>-3.3672553127805198E-3</v>
      </c>
      <c r="V107" s="30">
        <f t="shared" ca="1" si="19"/>
        <v>7.2577140373750459E-2</v>
      </c>
      <c r="W107" s="30">
        <f t="shared" ca="1" si="22"/>
        <v>-1.7570997937490111E-2</v>
      </c>
      <c r="X107" s="30">
        <f t="shared" ca="1" si="20"/>
        <v>-3.5109561752987968E-2</v>
      </c>
      <c r="Y107" s="31">
        <f t="shared" ca="1" si="21"/>
        <v>-3.2777405806804986E-2</v>
      </c>
    </row>
    <row r="108" spans="2:25" x14ac:dyDescent="0.45">
      <c r="B108" vm="905">
        <f ca="1"/>
        <v>44320</v>
      </c>
      <c r="C108" vm="906">
        <f ca="1"/>
        <v>247.79</v>
      </c>
      <c r="D108" vm="905">
        <f ca="1"/>
        <v>44320</v>
      </c>
      <c r="E108" vm="907">
        <f ca="1"/>
        <v>24.180900000000001</v>
      </c>
      <c r="F108" vm="905">
        <f ca="1"/>
        <v>44320</v>
      </c>
      <c r="G108" vm="908">
        <f ca="1"/>
        <v>232.03</v>
      </c>
      <c r="H108" vm="905">
        <f ca="1"/>
        <v>44320</v>
      </c>
      <c r="I108" vm="909">
        <f ca="1"/>
        <v>130.9</v>
      </c>
      <c r="J108" vm="905">
        <f ca="1"/>
        <v>44320</v>
      </c>
      <c r="K108" vm="910">
        <f ca="1"/>
        <v>26.63</v>
      </c>
      <c r="L108" vm="905">
        <f ca="1"/>
        <v>44320</v>
      </c>
      <c r="M108" vm="911">
        <f ca="1"/>
        <v>240.12</v>
      </c>
      <c r="N108" vm="905">
        <f ca="1"/>
        <v>44320</v>
      </c>
      <c r="O108" vm="912">
        <f ca="1"/>
        <v>643.36</v>
      </c>
      <c r="P108" vm="905">
        <f ca="1"/>
        <v>44320</v>
      </c>
      <c r="Q108" vm="913">
        <f ca="1"/>
        <v>61.688000000000002</v>
      </c>
      <c r="R108" s="29">
        <f t="shared" ca="1" si="15"/>
        <v>-1.6159771301516801E-2</v>
      </c>
      <c r="S108" s="30">
        <f t="shared" ca="1" si="16"/>
        <v>1.6508184730244464E-2</v>
      </c>
      <c r="T108" s="30">
        <f t="shared" ca="1" si="17"/>
        <v>-2.4934439619965286E-3</v>
      </c>
      <c r="U108" s="30">
        <f t="shared" ca="1" si="18"/>
        <v>-1.7193482994218724E-2</v>
      </c>
      <c r="V108" s="30">
        <f t="shared" ca="1" si="19"/>
        <v>7.9011345218800627E-2</v>
      </c>
      <c r="W108" s="30">
        <f t="shared" ca="1" si="22"/>
        <v>-3.0562396544067155E-2</v>
      </c>
      <c r="X108" s="30">
        <f t="shared" ca="1" si="20"/>
        <v>3.7677419354838732E-2</v>
      </c>
      <c r="Y108" s="31">
        <f t="shared" ca="1" si="21"/>
        <v>-2.9483024448569827E-2</v>
      </c>
    </row>
    <row r="109" spans="2:25" x14ac:dyDescent="0.45">
      <c r="B109" vm="914">
        <f ca="1"/>
        <v>44321</v>
      </c>
      <c r="C109" vm="915">
        <f ca="1"/>
        <v>246.47</v>
      </c>
      <c r="D109" vm="914">
        <f ca="1"/>
        <v>44321</v>
      </c>
      <c r="E109" vm="916">
        <f ca="1"/>
        <v>24.188400000000001</v>
      </c>
      <c r="F109" vm="914">
        <f ca="1"/>
        <v>44321</v>
      </c>
      <c r="G109" vm="917">
        <f ca="1"/>
        <v>229.21</v>
      </c>
      <c r="H109" vm="914">
        <f ca="1"/>
        <v>44321</v>
      </c>
      <c r="I109" vm="918">
        <f ca="1"/>
        <v>133.37</v>
      </c>
      <c r="J109" vm="914">
        <f ca="1"/>
        <v>44321</v>
      </c>
      <c r="K109" vm="919">
        <f ca="1"/>
        <v>25.72</v>
      </c>
      <c r="L109" vm="914">
        <f ca="1"/>
        <v>44321</v>
      </c>
      <c r="M109" vm="920">
        <f ca="1"/>
        <v>239.5</v>
      </c>
      <c r="N109" vm="914">
        <f ca="1"/>
        <v>44321</v>
      </c>
      <c r="O109" vm="921">
        <f ca="1"/>
        <v>627.04</v>
      </c>
      <c r="P109" vm="914">
        <f ca="1"/>
        <v>44321</v>
      </c>
      <c r="Q109" vm="922">
        <f ca="1"/>
        <v>62.344999999999999</v>
      </c>
      <c r="R109" s="29">
        <f t="shared" ca="1" si="15"/>
        <v>-5.327091488760617E-3</v>
      </c>
      <c r="S109" s="30">
        <f t="shared" ca="1" si="16"/>
        <v>3.1016215277348169E-4</v>
      </c>
      <c r="T109" s="30">
        <f t="shared" ca="1" si="17"/>
        <v>-1.2153600827479176E-2</v>
      </c>
      <c r="U109" s="30">
        <f t="shared" ca="1" si="18"/>
        <v>1.8869365928189448E-2</v>
      </c>
      <c r="V109" s="30">
        <f t="shared" ca="1" si="19"/>
        <v>-3.4171986481411946E-2</v>
      </c>
      <c r="W109" s="30">
        <f t="shared" ca="1" si="22"/>
        <v>-2.5820423121772637E-3</v>
      </c>
      <c r="X109" s="30">
        <f t="shared" ca="1" si="20"/>
        <v>-2.5366824173091346E-2</v>
      </c>
      <c r="Y109" s="31">
        <f t="shared" ca="1" si="21"/>
        <v>1.0650369601867405E-2</v>
      </c>
    </row>
    <row r="110" spans="2:25" x14ac:dyDescent="0.45">
      <c r="B110" vm="923">
        <f ca="1"/>
        <v>44322</v>
      </c>
      <c r="C110" vm="924">
        <f ca="1"/>
        <v>249.73</v>
      </c>
      <c r="D110" vm="923">
        <f ca="1"/>
        <v>44322</v>
      </c>
      <c r="E110" vm="925">
        <f ca="1"/>
        <v>24.4754</v>
      </c>
      <c r="F110" vm="923">
        <f ca="1"/>
        <v>44322</v>
      </c>
      <c r="G110" vm="926">
        <f ca="1"/>
        <v>231.32</v>
      </c>
      <c r="H110" vm="923">
        <f ca="1"/>
        <v>44322</v>
      </c>
      <c r="I110" vm="927">
        <f ca="1"/>
        <v>132.4</v>
      </c>
      <c r="J110" vm="923">
        <f ca="1"/>
        <v>44322</v>
      </c>
      <c r="K110" vm="928">
        <f ca="1"/>
        <v>25.96</v>
      </c>
      <c r="L110" vm="923">
        <f ca="1"/>
        <v>44322</v>
      </c>
      <c r="M110" vm="620">
        <f ca="1"/>
        <v>237.04</v>
      </c>
      <c r="N110" vm="923">
        <f ca="1"/>
        <v>44322</v>
      </c>
      <c r="O110" vm="929">
        <f ca="1"/>
        <v>623.20000000000005</v>
      </c>
      <c r="P110" vm="923">
        <f ca="1"/>
        <v>44322</v>
      </c>
      <c r="Q110" vm="930">
        <f ca="1"/>
        <v>60.908000000000001</v>
      </c>
      <c r="R110" s="29">
        <f t="shared" ca="1" si="15"/>
        <v>1.3226761877713275E-2</v>
      </c>
      <c r="S110" s="30">
        <f t="shared" ca="1" si="16"/>
        <v>1.186519157943473E-2</v>
      </c>
      <c r="T110" s="30">
        <f t="shared" ca="1" si="17"/>
        <v>9.2055320448496368E-3</v>
      </c>
      <c r="U110" s="30">
        <f t="shared" ca="1" si="18"/>
        <v>-7.2729999250206109E-3</v>
      </c>
      <c r="V110" s="30">
        <f t="shared" ca="1" si="19"/>
        <v>9.3312597200622856E-3</v>
      </c>
      <c r="W110" s="30">
        <f t="shared" ca="1" si="22"/>
        <v>-1.027139874739043E-2</v>
      </c>
      <c r="X110" s="30">
        <f t="shared" ca="1" si="20"/>
        <v>-6.1240112273537864E-3</v>
      </c>
      <c r="Y110" s="31">
        <f t="shared" ca="1" si="21"/>
        <v>-2.3049161921565444E-2</v>
      </c>
    </row>
    <row r="111" spans="2:25" x14ac:dyDescent="0.45">
      <c r="B111" vm="931">
        <f ca="1"/>
        <v>44323</v>
      </c>
      <c r="C111" vm="932">
        <f ca="1"/>
        <v>252.46</v>
      </c>
      <c r="D111" vm="931">
        <f ca="1"/>
        <v>44323</v>
      </c>
      <c r="E111" vm="933">
        <f ca="1"/>
        <v>24.2866</v>
      </c>
      <c r="F111" vm="931">
        <f ca="1"/>
        <v>44323</v>
      </c>
      <c r="G111" vm="934">
        <f ca="1"/>
        <v>232.12</v>
      </c>
      <c r="H111" vm="931">
        <f ca="1"/>
        <v>44323</v>
      </c>
      <c r="I111" vm="935">
        <f ca="1"/>
        <v>133.9</v>
      </c>
      <c r="J111" vm="931">
        <f ca="1"/>
        <v>44323</v>
      </c>
      <c r="K111" vm="936">
        <f ca="1"/>
        <v>27.85</v>
      </c>
      <c r="L111" vm="931">
        <f ca="1"/>
        <v>44323</v>
      </c>
      <c r="M111" vm="937">
        <f ca="1"/>
        <v>239.41</v>
      </c>
      <c r="N111" vm="931">
        <f ca="1"/>
        <v>44323</v>
      </c>
      <c r="O111" vm="938">
        <f ca="1"/>
        <v>587.84</v>
      </c>
      <c r="P111" vm="931">
        <f ca="1"/>
        <v>44323</v>
      </c>
      <c r="Q111" vm="939">
        <f ca="1"/>
        <v>62.045999999999999</v>
      </c>
      <c r="R111" s="29">
        <f t="shared" ca="1" si="15"/>
        <v>1.0931806350859E-2</v>
      </c>
      <c r="S111" s="30">
        <f t="shared" ca="1" si="16"/>
        <v>-7.7138678019562715E-3</v>
      </c>
      <c r="T111" s="30">
        <f t="shared" ca="1" si="17"/>
        <v>3.4584125886218718E-3</v>
      </c>
      <c r="U111" s="30">
        <f t="shared" ca="1" si="18"/>
        <v>1.1329305135951661E-2</v>
      </c>
      <c r="V111" s="30">
        <f t="shared" ca="1" si="19"/>
        <v>7.2804314329738079E-2</v>
      </c>
      <c r="W111" s="30">
        <f t="shared" ca="1" si="22"/>
        <v>9.9983125210935057E-3</v>
      </c>
      <c r="X111" s="30">
        <f t="shared" ca="1" si="20"/>
        <v>-5.673940949935817E-2</v>
      </c>
      <c r="Y111" s="31">
        <f t="shared" ca="1" si="21"/>
        <v>1.8683916726866718E-2</v>
      </c>
    </row>
    <row r="112" spans="2:25" x14ac:dyDescent="0.45">
      <c r="B112" vm="940">
        <f ca="1"/>
        <v>44326</v>
      </c>
      <c r="C112" vm="941">
        <f ca="1"/>
        <v>247.18</v>
      </c>
      <c r="D112" vm="940">
        <f ca="1"/>
        <v>44326</v>
      </c>
      <c r="E112" vm="942">
        <f ca="1"/>
        <v>24.641500000000001</v>
      </c>
      <c r="F112" vm="940">
        <f ca="1"/>
        <v>44326</v>
      </c>
      <c r="G112" vm="943">
        <f ca="1"/>
        <v>225.97</v>
      </c>
      <c r="H112" vm="940">
        <f ca="1"/>
        <v>44326</v>
      </c>
      <c r="I112" vm="944">
        <f ca="1"/>
        <v>131.87</v>
      </c>
      <c r="J112" vm="940">
        <f ca="1"/>
        <v>44326</v>
      </c>
      <c r="K112" vm="945">
        <f ca="1"/>
        <v>27.45</v>
      </c>
      <c r="L112" vm="940">
        <f ca="1"/>
        <v>44326</v>
      </c>
      <c r="M112" vm="946">
        <f ca="1"/>
        <v>228.21</v>
      </c>
      <c r="N112" vm="940">
        <f ca="1"/>
        <v>44326</v>
      </c>
      <c r="O112" vm="947">
        <f ca="1"/>
        <v>613.6</v>
      </c>
      <c r="P112" vm="940">
        <f ca="1"/>
        <v>44326</v>
      </c>
      <c r="Q112" vm="948">
        <f ca="1"/>
        <v>56.945999999999998</v>
      </c>
      <c r="R112" s="29">
        <f t="shared" ca="1" si="15"/>
        <v>-2.0914204230373133E-2</v>
      </c>
      <c r="S112" s="30">
        <f t="shared" ca="1" si="16"/>
        <v>1.4612996467187694E-2</v>
      </c>
      <c r="T112" s="30">
        <f t="shared" ca="1" si="17"/>
        <v>-2.649491642254009E-2</v>
      </c>
      <c r="U112" s="30">
        <f t="shared" ca="1" si="18"/>
        <v>-1.5160567587752062E-2</v>
      </c>
      <c r="V112" s="30">
        <f t="shared" ca="1" si="19"/>
        <v>-1.4362657091562014E-2</v>
      </c>
      <c r="W112" s="30">
        <f t="shared" ca="1" si="22"/>
        <v>-4.6781671609372993E-2</v>
      </c>
      <c r="X112" s="30">
        <f t="shared" ca="1" si="20"/>
        <v>4.3821448013064764E-2</v>
      </c>
      <c r="Y112" s="31">
        <f t="shared" ca="1" si="21"/>
        <v>-8.2197079586113553E-2</v>
      </c>
    </row>
    <row r="113" spans="2:25" x14ac:dyDescent="0.45">
      <c r="B113" vm="949">
        <f ca="1"/>
        <v>44327</v>
      </c>
      <c r="C113" vm="950">
        <f ca="1"/>
        <v>246.23</v>
      </c>
      <c r="D113" vm="949">
        <f ca="1"/>
        <v>44327</v>
      </c>
      <c r="E113" vm="951">
        <f ca="1"/>
        <v>24.362100000000002</v>
      </c>
      <c r="F113" vm="949">
        <f ca="1"/>
        <v>44327</v>
      </c>
      <c r="G113" vm="952">
        <f ca="1"/>
        <v>225.48</v>
      </c>
      <c r="H113" vm="949">
        <f ca="1"/>
        <v>44327</v>
      </c>
      <c r="I113" vm="953">
        <f ca="1"/>
        <v>131.41999999999999</v>
      </c>
      <c r="J113" vm="949">
        <f ca="1"/>
        <v>44327</v>
      </c>
      <c r="K113" vm="954">
        <f ca="1"/>
        <v>28.81</v>
      </c>
      <c r="L113" vm="949">
        <f ca="1"/>
        <v>44327</v>
      </c>
      <c r="M113" vm="955">
        <f ca="1"/>
        <v>228.01</v>
      </c>
      <c r="N113" vm="949">
        <f ca="1"/>
        <v>44327</v>
      </c>
      <c r="O113" vm="956">
        <f ca="1"/>
        <v>659.36</v>
      </c>
      <c r="P113" vm="949">
        <f ca="1"/>
        <v>44327</v>
      </c>
      <c r="Q113" vm="957">
        <f ca="1"/>
        <v>57.695999999999998</v>
      </c>
      <c r="R113" s="29">
        <f t="shared" ca="1" si="15"/>
        <v>-3.8433530220892348E-3</v>
      </c>
      <c r="S113" s="30">
        <f t="shared" ca="1" si="16"/>
        <v>-1.1338595458880302E-2</v>
      </c>
      <c r="T113" s="30">
        <f t="shared" ca="1" si="17"/>
        <v>-2.1684294375359965E-3</v>
      </c>
      <c r="U113" s="30">
        <f t="shared" ca="1" si="18"/>
        <v>-3.4124516569349894E-3</v>
      </c>
      <c r="V113" s="30">
        <f t="shared" ca="1" si="19"/>
        <v>4.9544626593806901E-2</v>
      </c>
      <c r="W113" s="30">
        <f t="shared" ca="1" si="22"/>
        <v>-8.7638578502264165E-4</v>
      </c>
      <c r="X113" s="30">
        <f t="shared" ca="1" si="20"/>
        <v>7.4576271186440654E-2</v>
      </c>
      <c r="Y113" s="31">
        <f t="shared" ca="1" si="21"/>
        <v>1.317037193130334E-2</v>
      </c>
    </row>
    <row r="114" spans="2:25" x14ac:dyDescent="0.45">
      <c r="B114" vm="958">
        <f ca="1"/>
        <v>44328</v>
      </c>
      <c r="C114" vm="959">
        <f ca="1"/>
        <v>239</v>
      </c>
      <c r="D114" vm="958">
        <f ca="1"/>
        <v>44328</v>
      </c>
      <c r="E114" vm="960">
        <f ca="1"/>
        <v>24.1431</v>
      </c>
      <c r="F114" vm="958">
        <f ca="1"/>
        <v>44328</v>
      </c>
      <c r="G114" vm="961">
        <f ca="1"/>
        <v>220.63</v>
      </c>
      <c r="H114" vm="958">
        <f ca="1"/>
        <v>44328</v>
      </c>
      <c r="I114" vm="962">
        <f ca="1"/>
        <v>128.63999999999999</v>
      </c>
      <c r="J114" vm="958">
        <f ca="1"/>
        <v>44328</v>
      </c>
      <c r="K114" vm="963">
        <f ca="1"/>
        <v>26.35</v>
      </c>
      <c r="L114" vm="958">
        <f ca="1"/>
        <v>44328</v>
      </c>
      <c r="M114" vm="964">
        <f ca="1"/>
        <v>225.6</v>
      </c>
      <c r="N114" vm="958">
        <f ca="1"/>
        <v>44328</v>
      </c>
      <c r="O114" vm="965">
        <f ca="1"/>
        <v>774.32</v>
      </c>
      <c r="P114" vm="958">
        <f ca="1"/>
        <v>44328</v>
      </c>
      <c r="Q114" vm="966">
        <f ca="1"/>
        <v>54.188000000000002</v>
      </c>
      <c r="R114" s="29">
        <f t="shared" ca="1" si="15"/>
        <v>-2.9362790886569429E-2</v>
      </c>
      <c r="S114" s="30">
        <f t="shared" ca="1" si="16"/>
        <v>-8.9893728373170289E-3</v>
      </c>
      <c r="T114" s="30">
        <f t="shared" ca="1" si="17"/>
        <v>-2.1509668263260576E-2</v>
      </c>
      <c r="U114" s="30">
        <f t="shared" ca="1" si="18"/>
        <v>-2.1153553492619093E-2</v>
      </c>
      <c r="V114" s="30">
        <f t="shared" ca="1" si="19"/>
        <v>-8.5387018396390055E-2</v>
      </c>
      <c r="W114" s="30">
        <f t="shared" ca="1" si="22"/>
        <v>-1.0569711854743199E-2</v>
      </c>
      <c r="X114" s="30">
        <f t="shared" ca="1" si="20"/>
        <v>0.17435088570735263</v>
      </c>
      <c r="Y114" s="31">
        <f t="shared" ca="1" si="21"/>
        <v>-6.0801442041042632E-2</v>
      </c>
    </row>
    <row r="115" spans="2:25" x14ac:dyDescent="0.45">
      <c r="B115" vm="967">
        <f ca="1"/>
        <v>44329</v>
      </c>
      <c r="C115" vm="968">
        <f ca="1"/>
        <v>243.03</v>
      </c>
      <c r="D115" vm="967">
        <f ca="1"/>
        <v>44329</v>
      </c>
      <c r="E115" vm="969">
        <f ca="1"/>
        <v>24.324300000000001</v>
      </c>
      <c r="F115" vm="967">
        <f ca="1"/>
        <v>44329</v>
      </c>
      <c r="G115" vm="970">
        <f ca="1"/>
        <v>223.74</v>
      </c>
      <c r="H115" vm="967">
        <f ca="1"/>
        <v>44329</v>
      </c>
      <c r="I115" vm="971">
        <f ca="1"/>
        <v>130.02000000000001</v>
      </c>
      <c r="J115" vm="967">
        <f ca="1"/>
        <v>44329</v>
      </c>
      <c r="K115" vm="919">
        <f ca="1"/>
        <v>25.72</v>
      </c>
      <c r="L115" vm="967">
        <f ca="1"/>
        <v>44329</v>
      </c>
      <c r="M115" vm="972">
        <f ca="1"/>
        <v>217.07</v>
      </c>
      <c r="N115" vm="967">
        <f ca="1"/>
        <v>44329</v>
      </c>
      <c r="O115" vm="973">
        <f ca="1"/>
        <v>700</v>
      </c>
      <c r="P115" vm="967">
        <f ca="1"/>
        <v>44329</v>
      </c>
      <c r="Q115" vm="974">
        <f ca="1"/>
        <v>48.808</v>
      </c>
      <c r="R115" s="29">
        <f t="shared" ca="1" si="15"/>
        <v>1.6861924686192475E-2</v>
      </c>
      <c r="S115" s="30">
        <f t="shared" ca="1" si="16"/>
        <v>7.5052499471898997E-3</v>
      </c>
      <c r="T115" s="30">
        <f t="shared" ca="1" si="17"/>
        <v>1.4095997824411973E-2</v>
      </c>
      <c r="U115" s="30">
        <f t="shared" ca="1" si="18"/>
        <v>1.0727611940298695E-2</v>
      </c>
      <c r="V115" s="30">
        <f t="shared" ca="1" si="19"/>
        <v>-2.3908918406072201E-2</v>
      </c>
      <c r="W115" s="30">
        <f t="shared" ca="1" si="22"/>
        <v>-3.7810283687943265E-2</v>
      </c>
      <c r="X115" s="30">
        <f t="shared" ca="1" si="20"/>
        <v>-9.5980989771670688E-2</v>
      </c>
      <c r="Y115" s="31">
        <f t="shared" ca="1" si="21"/>
        <v>-9.9283974311655754E-2</v>
      </c>
    </row>
    <row r="116" spans="2:25" x14ac:dyDescent="0.45">
      <c r="B116" vm="975">
        <f ca="1"/>
        <v>44330</v>
      </c>
      <c r="C116" vm="976">
        <f ca="1"/>
        <v>248.15</v>
      </c>
      <c r="D116" vm="975">
        <f ca="1"/>
        <v>44330</v>
      </c>
      <c r="E116" vm="977">
        <f ca="1"/>
        <v>24.347000000000001</v>
      </c>
      <c r="F116" vm="975">
        <f ca="1"/>
        <v>44330</v>
      </c>
      <c r="G116" vm="978">
        <f ca="1"/>
        <v>226.94</v>
      </c>
      <c r="H116" vm="975">
        <f ca="1"/>
        <v>44330</v>
      </c>
      <c r="I116" vm="979">
        <f ca="1"/>
        <v>131.15</v>
      </c>
      <c r="J116" vm="975">
        <f ca="1"/>
        <v>44330</v>
      </c>
      <c r="K116" vm="980">
        <f ca="1"/>
        <v>25.5</v>
      </c>
      <c r="L116" vm="975">
        <f ca="1"/>
        <v>44330</v>
      </c>
      <c r="M116" vm="981">
        <f ca="1"/>
        <v>223.59</v>
      </c>
      <c r="N116" vm="975">
        <f ca="1"/>
        <v>44330</v>
      </c>
      <c r="O116" vm="982">
        <f ca="1"/>
        <v>617.67999999999995</v>
      </c>
      <c r="P116" vm="975">
        <f ca="1"/>
        <v>44330</v>
      </c>
      <c r="Q116" vm="983">
        <f ca="1"/>
        <v>52.131</v>
      </c>
      <c r="R116" s="29">
        <f t="shared" ca="1" si="15"/>
        <v>2.1067357939349069E-2</v>
      </c>
      <c r="S116" s="30">
        <f t="shared" ca="1" si="16"/>
        <v>9.3322315544539349E-4</v>
      </c>
      <c r="T116" s="30">
        <f t="shared" ca="1" si="17"/>
        <v>1.4302315187270888E-2</v>
      </c>
      <c r="U116" s="30">
        <f t="shared" ca="1" si="18"/>
        <v>8.6909706199045939E-3</v>
      </c>
      <c r="V116" s="30">
        <f t="shared" ca="1" si="19"/>
        <v>-8.5536547433903137E-3</v>
      </c>
      <c r="W116" s="30">
        <f t="shared" ca="1" si="22"/>
        <v>3.0036393790021699E-2</v>
      </c>
      <c r="X116" s="30">
        <f t="shared" ca="1" si="20"/>
        <v>-0.11760000000000007</v>
      </c>
      <c r="Y116" s="31">
        <f t="shared" ca="1" si="21"/>
        <v>6.8083101130962151E-2</v>
      </c>
    </row>
    <row r="117" spans="2:25" x14ac:dyDescent="0.45">
      <c r="B117" vm="984">
        <f ca="1"/>
        <v>44333</v>
      </c>
      <c r="C117" vm="985">
        <f ca="1"/>
        <v>245.18</v>
      </c>
      <c r="D117" vm="984">
        <f ca="1"/>
        <v>44333</v>
      </c>
      <c r="E117" vm="986">
        <f ca="1"/>
        <v>23.69</v>
      </c>
      <c r="F117" vm="984">
        <f ca="1"/>
        <v>44333</v>
      </c>
      <c r="G117" vm="987">
        <f ca="1"/>
        <v>226.44</v>
      </c>
      <c r="H117" vm="984">
        <f ca="1"/>
        <v>44333</v>
      </c>
      <c r="I117" vm="988">
        <f ca="1"/>
        <v>130.11000000000001</v>
      </c>
      <c r="J117" vm="984">
        <f ca="1"/>
        <v>44333</v>
      </c>
      <c r="K117" vm="989">
        <f ca="1"/>
        <v>26.36</v>
      </c>
      <c r="L117" vm="984">
        <f ca="1"/>
        <v>44333</v>
      </c>
      <c r="M117" vm="990">
        <f ca="1"/>
        <v>223.33</v>
      </c>
      <c r="N117" vm="984">
        <f ca="1"/>
        <v>44333</v>
      </c>
      <c r="O117" vm="991">
        <f ca="1"/>
        <v>637.91999999999996</v>
      </c>
      <c r="P117" vm="984">
        <f ca="1"/>
        <v>44333</v>
      </c>
      <c r="Q117" vm="992">
        <f ca="1"/>
        <v>48.935000000000002</v>
      </c>
      <c r="R117" s="29">
        <f t="shared" ca="1" si="15"/>
        <v>-1.1968567398750751E-2</v>
      </c>
      <c r="S117" s="30">
        <f t="shared" ca="1" si="16"/>
        <v>-2.6984844128640079E-2</v>
      </c>
      <c r="T117" s="30">
        <f t="shared" ca="1" si="17"/>
        <v>-2.2032255221644489E-3</v>
      </c>
      <c r="U117" s="30">
        <f t="shared" ca="1" si="18"/>
        <v>-7.9298513152877767E-3</v>
      </c>
      <c r="V117" s="30">
        <f t="shared" ca="1" si="19"/>
        <v>3.3725490196078407E-2</v>
      </c>
      <c r="W117" s="30">
        <f t="shared" ca="1" si="22"/>
        <v>-1.162842703161997E-3</v>
      </c>
      <c r="X117" s="30">
        <f t="shared" ca="1" si="20"/>
        <v>3.2767776194793437E-2</v>
      </c>
      <c r="Y117" s="31">
        <f t="shared" ca="1" si="21"/>
        <v>-6.1307091749630699E-2</v>
      </c>
    </row>
    <row r="118" spans="2:25" x14ac:dyDescent="0.45">
      <c r="B118" vm="993">
        <f ca="1"/>
        <v>44334</v>
      </c>
      <c r="C118" vm="994">
        <f ca="1"/>
        <v>243.08</v>
      </c>
      <c r="D118" vm="993">
        <f ca="1"/>
        <v>44334</v>
      </c>
      <c r="E118" vm="995">
        <f ca="1"/>
        <v>22.3156</v>
      </c>
      <c r="F118" vm="993">
        <f ca="1"/>
        <v>44334</v>
      </c>
      <c r="G118" vm="996">
        <f ca="1"/>
        <v>225.57</v>
      </c>
      <c r="H118" vm="993">
        <f ca="1"/>
        <v>44334</v>
      </c>
      <c r="I118" vm="997">
        <f ca="1"/>
        <v>128.75</v>
      </c>
      <c r="J118" vm="993">
        <f ca="1"/>
        <v>44334</v>
      </c>
      <c r="K118" vm="998">
        <f ca="1"/>
        <v>25.62</v>
      </c>
      <c r="L118" vm="993">
        <f ca="1"/>
        <v>44334</v>
      </c>
      <c r="M118" vm="999">
        <f ca="1"/>
        <v>220.99</v>
      </c>
      <c r="N118" vm="993">
        <f ca="1"/>
        <v>44334</v>
      </c>
      <c r="O118" vm="1000">
        <f ca="1"/>
        <v>647.20000000000005</v>
      </c>
      <c r="P118" vm="993">
        <f ca="1"/>
        <v>44334</v>
      </c>
      <c r="Q118" vm="1001">
        <f ca="1"/>
        <v>48.72</v>
      </c>
      <c r="R118" s="29">
        <f t="shared" ca="1" si="15"/>
        <v>-8.5651358185822434E-3</v>
      </c>
      <c r="S118" s="30">
        <f t="shared" ca="1" si="16"/>
        <v>-5.801604052342766E-2</v>
      </c>
      <c r="T118" s="30">
        <f t="shared" ca="1" si="17"/>
        <v>-3.8420773714891564E-3</v>
      </c>
      <c r="U118" s="30">
        <f t="shared" ca="1" si="18"/>
        <v>-1.0452693874414061E-2</v>
      </c>
      <c r="V118" s="30">
        <f t="shared" ca="1" si="19"/>
        <v>-2.8072837632776876E-2</v>
      </c>
      <c r="W118" s="30">
        <f t="shared" ca="1" si="22"/>
        <v>-1.0477768324900386E-2</v>
      </c>
      <c r="X118" s="30">
        <f t="shared" ca="1" si="20"/>
        <v>1.4547278655630937E-2</v>
      </c>
      <c r="Y118" s="31">
        <f t="shared" ca="1" si="21"/>
        <v>-4.3935833248187062E-3</v>
      </c>
    </row>
    <row r="119" spans="2:25" x14ac:dyDescent="0.45">
      <c r="B119" vm="1002">
        <f ca="1"/>
        <v>44335</v>
      </c>
      <c r="C119" vm="1003">
        <f ca="1"/>
        <v>243.12</v>
      </c>
      <c r="D119" vm="1002">
        <f ca="1"/>
        <v>44335</v>
      </c>
      <c r="E119" vm="296">
        <f ca="1"/>
        <v>21.87</v>
      </c>
      <c r="F119" vm="1002">
        <f ca="1"/>
        <v>44335</v>
      </c>
      <c r="G119" vm="1004">
        <f ca="1"/>
        <v>224.59</v>
      </c>
      <c r="H119" vm="1002">
        <f ca="1"/>
        <v>44335</v>
      </c>
      <c r="I119" vm="1005">
        <f ca="1"/>
        <v>130.21</v>
      </c>
      <c r="J119" vm="1002">
        <f ca="1"/>
        <v>44335</v>
      </c>
      <c r="K119" vm="1006">
        <f ca="1"/>
        <v>24.32</v>
      </c>
      <c r="L119" vm="1002">
        <f ca="1"/>
        <v>44335</v>
      </c>
      <c r="M119" vm="1007">
        <f ca="1"/>
        <v>220.31</v>
      </c>
      <c r="N119" vm="1002">
        <f ca="1"/>
        <v>44335</v>
      </c>
      <c r="O119" vm="1008">
        <f ca="1"/>
        <v>677.6</v>
      </c>
      <c r="P119" vm="1002">
        <f ca="1"/>
        <v>44335</v>
      </c>
      <c r="Q119" vm="1009">
        <f ca="1"/>
        <v>45.485999999999997</v>
      </c>
      <c r="R119" s="29">
        <f t="shared" ca="1" si="15"/>
        <v>1.6455487905213116E-4</v>
      </c>
      <c r="S119" s="30">
        <f t="shared" ca="1" si="16"/>
        <v>-1.9968094068723175E-2</v>
      </c>
      <c r="T119" s="30">
        <f t="shared" ca="1" si="17"/>
        <v>-4.3445493638337978E-3</v>
      </c>
      <c r="U119" s="30">
        <f t="shared" ca="1" si="18"/>
        <v>1.133980582524278E-2</v>
      </c>
      <c r="V119" s="30">
        <f t="shared" ca="1" si="19"/>
        <v>-5.0741608118657328E-2</v>
      </c>
      <c r="W119" s="30">
        <f t="shared" ca="1" si="22"/>
        <v>-3.0770623105118187E-3</v>
      </c>
      <c r="X119" s="30">
        <f t="shared" ca="1" si="20"/>
        <v>4.6971569839307746E-2</v>
      </c>
      <c r="Y119" s="31">
        <f t="shared" ca="1" si="21"/>
        <v>-6.6379310344827622E-2</v>
      </c>
    </row>
    <row r="120" spans="2:25" x14ac:dyDescent="0.45">
      <c r="B120" vm="1010">
        <f ca="1"/>
        <v>44336</v>
      </c>
      <c r="C120" vm="1011">
        <f ca="1"/>
        <v>246.48</v>
      </c>
      <c r="D120" vm="1010">
        <f ca="1"/>
        <v>44336</v>
      </c>
      <c r="E120" vm="39">
        <f ca="1"/>
        <v>22.383500000000002</v>
      </c>
      <c r="F120" vm="1010">
        <f ca="1"/>
        <v>44336</v>
      </c>
      <c r="G120" vm="987">
        <f ca="1"/>
        <v>226.44</v>
      </c>
      <c r="H120" vm="1010">
        <f ca="1"/>
        <v>44336</v>
      </c>
      <c r="I120" vm="1012">
        <f ca="1"/>
        <v>132.15</v>
      </c>
      <c r="J120" vm="1010">
        <f ca="1"/>
        <v>44336</v>
      </c>
      <c r="K120" vm="1013">
        <f ca="1"/>
        <v>24.04</v>
      </c>
      <c r="L120" vm="1010">
        <f ca="1"/>
        <v>44336</v>
      </c>
      <c r="M120" vm="1014">
        <f ca="1"/>
        <v>228.68</v>
      </c>
      <c r="N120" vm="1010">
        <f ca="1"/>
        <v>44336</v>
      </c>
      <c r="O120" vm="1015">
        <f ca="1"/>
        <v>639.84</v>
      </c>
      <c r="P120" vm="1010">
        <f ca="1"/>
        <v>44336</v>
      </c>
      <c r="Q120" vm="1016">
        <f ca="1"/>
        <v>47.265999999999998</v>
      </c>
      <c r="R120" s="29">
        <f t="shared" ca="1" si="15"/>
        <v>1.3820335636722546E-2</v>
      </c>
      <c r="S120" s="30">
        <f t="shared" ca="1" si="16"/>
        <v>2.3479652491998192E-2</v>
      </c>
      <c r="T120" s="30">
        <f t="shared" ca="1" si="17"/>
        <v>8.237232289950552E-3</v>
      </c>
      <c r="U120" s="30">
        <f t="shared" ca="1" si="18"/>
        <v>1.4899009292681035E-2</v>
      </c>
      <c r="V120" s="30">
        <f t="shared" ca="1" si="19"/>
        <v>-1.1513157894736888E-2</v>
      </c>
      <c r="W120" s="30">
        <f t="shared" ca="1" si="22"/>
        <v>3.7991920475693358E-2</v>
      </c>
      <c r="X120" s="30">
        <f t="shared" ca="1" si="20"/>
        <v>-5.5726092089728438E-2</v>
      </c>
      <c r="Y120" s="31">
        <f t="shared" ca="1" si="21"/>
        <v>3.9132920019346637E-2</v>
      </c>
    </row>
    <row r="121" spans="2:25" x14ac:dyDescent="0.45">
      <c r="B121" vm="1017">
        <f ca="1"/>
        <v>44337</v>
      </c>
      <c r="C121" vm="1018">
        <f ca="1"/>
        <v>245.17</v>
      </c>
      <c r="D121" vm="1017">
        <f ca="1"/>
        <v>44337</v>
      </c>
      <c r="E121" vm="630">
        <f ca="1"/>
        <v>22.663</v>
      </c>
      <c r="F121" vm="1017">
        <f ca="1"/>
        <v>44337</v>
      </c>
      <c r="G121" vm="1019">
        <f ca="1"/>
        <v>226.77</v>
      </c>
      <c r="H121" vm="1017">
        <f ca="1"/>
        <v>44337</v>
      </c>
      <c r="I121" vm="1020">
        <f ca="1"/>
        <v>132.30000000000001</v>
      </c>
      <c r="J121" vm="1017">
        <f ca="1"/>
        <v>44337</v>
      </c>
      <c r="K121" vm="1021">
        <f ca="1"/>
        <v>23.95</v>
      </c>
      <c r="L121" vm="1017">
        <f ca="1"/>
        <v>44337</v>
      </c>
      <c r="M121" vm="1022">
        <f ca="1"/>
        <v>229.14</v>
      </c>
      <c r="N121" vm="1017">
        <f ca="1"/>
        <v>44337</v>
      </c>
      <c r="O121" vm="1023">
        <f ca="1"/>
        <v>631.67999999999995</v>
      </c>
      <c r="P121" vm="1017">
        <f ca="1"/>
        <v>44337</v>
      </c>
      <c r="Q121" vm="1024">
        <f ca="1"/>
        <v>45.052</v>
      </c>
      <c r="R121" s="29">
        <f t="shared" ca="1" si="15"/>
        <v>-5.3148328464784258E-3</v>
      </c>
      <c r="S121" s="30">
        <f t="shared" ca="1" si="16"/>
        <v>1.2486876493845856E-2</v>
      </c>
      <c r="T121" s="30">
        <f t="shared" ca="1" si="17"/>
        <v>1.4573396926338656E-3</v>
      </c>
      <c r="U121" s="30">
        <f t="shared" ca="1" si="18"/>
        <v>1.1350737797957296E-3</v>
      </c>
      <c r="V121" s="30">
        <f t="shared" ca="1" si="19"/>
        <v>-3.7437603993344367E-3</v>
      </c>
      <c r="W121" s="30">
        <f t="shared" ca="1" si="22"/>
        <v>2.0115445163546419E-3</v>
      </c>
      <c r="X121" s="30">
        <f t="shared" ca="1" si="20"/>
        <v>-1.2753188297074397E-2</v>
      </c>
      <c r="Y121" s="31">
        <f t="shared" ca="1" si="21"/>
        <v>-4.6841281259256101E-2</v>
      </c>
    </row>
    <row r="122" spans="2:25" x14ac:dyDescent="0.45">
      <c r="B122" vm="1025">
        <f ca="1"/>
        <v>44340</v>
      </c>
      <c r="C122" vm="1026">
        <f ca="1"/>
        <v>250.78</v>
      </c>
      <c r="D122" vm="1025">
        <f ca="1"/>
        <v>44340</v>
      </c>
      <c r="E122" vm="332">
        <f ca="1"/>
        <v>22.4666</v>
      </c>
      <c r="F122" vm="1025">
        <f ca="1"/>
        <v>44340</v>
      </c>
      <c r="G122" vm="1027">
        <f ca="1"/>
        <v>229.32</v>
      </c>
      <c r="H122" vm="1025">
        <f ca="1"/>
        <v>44340</v>
      </c>
      <c r="I122" vm="1028">
        <f ca="1"/>
        <v>133.34</v>
      </c>
      <c r="J122" vm="1025">
        <f ca="1"/>
        <v>44340</v>
      </c>
      <c r="K122" vm="1006">
        <f ca="1"/>
        <v>24.32</v>
      </c>
      <c r="L122" vm="1025">
        <f ca="1"/>
        <v>44340</v>
      </c>
      <c r="M122" vm="1029">
        <f ca="1"/>
        <v>234.06</v>
      </c>
      <c r="N122" vm="1025">
        <f ca="1"/>
        <v>44340</v>
      </c>
      <c r="O122" vm="1030">
        <f ca="1"/>
        <v>603.67999999999995</v>
      </c>
      <c r="P122" vm="1025">
        <f ca="1"/>
        <v>44340</v>
      </c>
      <c r="Q122" vm="1031">
        <f ca="1"/>
        <v>47.244999999999997</v>
      </c>
      <c r="R122" s="29">
        <f t="shared" ca="1" si="15"/>
        <v>2.2882081820777476E-2</v>
      </c>
      <c r="S122" s="30">
        <f t="shared" ca="1" si="16"/>
        <v>-8.6661077527247308E-3</v>
      </c>
      <c r="T122" s="30">
        <f t="shared" ca="1" si="17"/>
        <v>1.1244873660537032E-2</v>
      </c>
      <c r="U122" s="30">
        <f t="shared" ca="1" si="18"/>
        <v>7.8609221466363708E-3</v>
      </c>
      <c r="V122" s="30">
        <f t="shared" ca="1" si="19"/>
        <v>1.5448851774530313E-2</v>
      </c>
      <c r="W122" s="30">
        <f t="shared" ca="1" si="22"/>
        <v>2.1471589421314552E-2</v>
      </c>
      <c r="X122" s="30">
        <f t="shared" ca="1" si="20"/>
        <v>-4.4326241134751775E-2</v>
      </c>
      <c r="Y122" s="31">
        <f t="shared" ca="1" si="21"/>
        <v>4.8677084258190485E-2</v>
      </c>
    </row>
    <row r="123" spans="2:25" x14ac:dyDescent="0.45">
      <c r="B123" vm="1032">
        <f ca="1"/>
        <v>44341</v>
      </c>
      <c r="C123" vm="1033">
        <f ca="1"/>
        <v>251.72</v>
      </c>
      <c r="D123" vm="1032">
        <f ca="1"/>
        <v>44341</v>
      </c>
      <c r="E123" vm="1034">
        <f ca="1"/>
        <v>22.292899999999999</v>
      </c>
      <c r="F123" vm="1032">
        <f ca="1"/>
        <v>44341</v>
      </c>
      <c r="G123" vm="1035">
        <f ca="1"/>
        <v>229.02</v>
      </c>
      <c r="H123" vm="1032">
        <f ca="1"/>
        <v>44341</v>
      </c>
      <c r="I123" vm="1036">
        <f ca="1"/>
        <v>133.22999999999999</v>
      </c>
      <c r="J123" vm="1032">
        <f ca="1"/>
        <v>44341</v>
      </c>
      <c r="K123" vm="1037">
        <f ca="1"/>
        <v>23.61</v>
      </c>
      <c r="L123" vm="1032">
        <f ca="1"/>
        <v>44341</v>
      </c>
      <c r="M123" vm="1038">
        <f ca="1"/>
        <v>236.76</v>
      </c>
      <c r="N123" vm="1032">
        <f ca="1"/>
        <v>44341</v>
      </c>
      <c r="O123" vm="1039">
        <f ca="1"/>
        <v>603.20000000000005</v>
      </c>
      <c r="P123" vm="1032">
        <f ca="1"/>
        <v>44341</v>
      </c>
      <c r="Q123" vm="1040">
        <f ca="1"/>
        <v>46.966999999999999</v>
      </c>
      <c r="R123" s="29">
        <f t="shared" ca="1" si="15"/>
        <v>3.7483052875029814E-3</v>
      </c>
      <c r="S123" s="30">
        <f t="shared" ca="1" si="16"/>
        <v>-7.7314769480028214E-3</v>
      </c>
      <c r="T123" s="30">
        <f t="shared" ca="1" si="17"/>
        <v>-1.3082155939298052E-3</v>
      </c>
      <c r="U123" s="30">
        <f t="shared" ca="1" si="18"/>
        <v>-8.2495875206249918E-4</v>
      </c>
      <c r="V123" s="30">
        <f t="shared" ca="1" si="19"/>
        <v>-2.9194078947368456E-2</v>
      </c>
      <c r="W123" s="30">
        <f t="shared" ca="1" si="22"/>
        <v>1.1535503716995594E-2</v>
      </c>
      <c r="X123" s="30">
        <f t="shared" ca="1" si="20"/>
        <v>-7.9512324410267786E-4</v>
      </c>
      <c r="Y123" s="31">
        <f t="shared" ca="1" si="21"/>
        <v>-5.8842205524393841E-3</v>
      </c>
    </row>
    <row r="124" spans="2:25" x14ac:dyDescent="0.45">
      <c r="B124" vm="1041">
        <f ca="1"/>
        <v>44342</v>
      </c>
      <c r="C124" vm="1042">
        <f ca="1"/>
        <v>251.49</v>
      </c>
      <c r="D124" vm="1041">
        <f ca="1"/>
        <v>44342</v>
      </c>
      <c r="E124" vm="995">
        <f ca="1"/>
        <v>22.3156</v>
      </c>
      <c r="F124" vm="1041">
        <f ca="1"/>
        <v>44342</v>
      </c>
      <c r="G124" vm="1043">
        <f ca="1"/>
        <v>227.07</v>
      </c>
      <c r="H124" vm="1041">
        <f ca="1"/>
        <v>44342</v>
      </c>
      <c r="I124" vm="1044">
        <f ca="1"/>
        <v>133.29</v>
      </c>
      <c r="J124" vm="1041">
        <f ca="1"/>
        <v>44342</v>
      </c>
      <c r="K124" vm="1045">
        <f ca="1"/>
        <v>24.67</v>
      </c>
      <c r="L124" vm="1041">
        <f ca="1"/>
        <v>44342</v>
      </c>
      <c r="M124" vm="1046">
        <f ca="1"/>
        <v>238.39</v>
      </c>
      <c r="N124" vm="1041">
        <f ca="1"/>
        <v>44342</v>
      </c>
      <c r="O124" vm="1047">
        <f ca="1"/>
        <v>574.4</v>
      </c>
      <c r="P124" vm="1041">
        <f ca="1"/>
        <v>44342</v>
      </c>
      <c r="Q124" vm="1048">
        <f ca="1"/>
        <v>48.279000000000003</v>
      </c>
      <c r="R124" s="29">
        <f t="shared" ca="1" si="15"/>
        <v>-9.137136500873581E-4</v>
      </c>
      <c r="S124" s="30">
        <f t="shared" ca="1" si="16"/>
        <v>1.0182614195551223E-3</v>
      </c>
      <c r="T124" s="30">
        <f t="shared" ca="1" si="17"/>
        <v>-8.5145402148284737E-3</v>
      </c>
      <c r="U124" s="30">
        <f t="shared" ca="1" si="18"/>
        <v>4.5034902049089751E-4</v>
      </c>
      <c r="V124" s="30">
        <f t="shared" ca="1" si="19"/>
        <v>4.4896230410842959E-2</v>
      </c>
      <c r="W124" s="30">
        <f t="shared" ca="1" si="22"/>
        <v>6.884608886636237E-3</v>
      </c>
      <c r="X124" s="30">
        <f t="shared" ca="1" si="20"/>
        <v>-4.7745358090185784E-2</v>
      </c>
      <c r="Y124" s="31">
        <f t="shared" ca="1" si="21"/>
        <v>2.7934507207188129E-2</v>
      </c>
    </row>
    <row r="125" spans="2:25" x14ac:dyDescent="0.45">
      <c r="B125" vm="1049">
        <f ca="1"/>
        <v>44343</v>
      </c>
      <c r="C125" vm="1050">
        <f ca="1"/>
        <v>249.31</v>
      </c>
      <c r="D125" vm="1049">
        <f ca="1"/>
        <v>44343</v>
      </c>
      <c r="E125" vm="1051">
        <f ca="1"/>
        <v>22.436399999999999</v>
      </c>
      <c r="F125" vm="1049">
        <f ca="1"/>
        <v>44343</v>
      </c>
      <c r="G125" vm="1052">
        <f ca="1"/>
        <v>226.86</v>
      </c>
      <c r="H125" vm="1049">
        <f ca="1"/>
        <v>44343</v>
      </c>
      <c r="I125" vm="1053">
        <f ca="1"/>
        <v>137.54</v>
      </c>
      <c r="J125" vm="1049">
        <f ca="1"/>
        <v>44343</v>
      </c>
      <c r="K125" vm="1054">
        <f ca="1"/>
        <v>26.08</v>
      </c>
      <c r="L125" vm="1049">
        <f ca="1"/>
        <v>44343</v>
      </c>
      <c r="M125" vm="1055">
        <f ca="1"/>
        <v>240.26</v>
      </c>
      <c r="N125" vm="1049">
        <f ca="1"/>
        <v>44343</v>
      </c>
      <c r="O125" vm="1056">
        <f ca="1"/>
        <v>546.55999999999995</v>
      </c>
      <c r="P125" vm="1049">
        <f ca="1"/>
        <v>44343</v>
      </c>
      <c r="Q125" vm="1057">
        <f ca="1"/>
        <v>49.384999999999998</v>
      </c>
      <c r="R125" s="29">
        <f t="shared" ca="1" si="15"/>
        <v>-8.6683367131894177E-3</v>
      </c>
      <c r="S125" s="30">
        <f t="shared" ca="1" si="16"/>
        <v>5.4132535087561672E-3</v>
      </c>
      <c r="T125" s="30">
        <f t="shared" ca="1" si="17"/>
        <v>-9.2482494384982402E-4</v>
      </c>
      <c r="U125" s="30">
        <f t="shared" ca="1" si="18"/>
        <v>3.1885362742891443E-2</v>
      </c>
      <c r="V125" s="30">
        <f t="shared" ca="1" si="19"/>
        <v>5.7154438589379672E-2</v>
      </c>
      <c r="W125" s="30">
        <f t="shared" ca="1" si="22"/>
        <v>7.8442887705021374E-3</v>
      </c>
      <c r="X125" s="30">
        <f t="shared" ca="1" si="20"/>
        <v>-4.8467966573816211E-2</v>
      </c>
      <c r="Y125" s="31">
        <f t="shared" ca="1" si="21"/>
        <v>2.2908510946788346E-2</v>
      </c>
    </row>
    <row r="126" spans="2:25" x14ac:dyDescent="0.45">
      <c r="B126" vm="1058">
        <f ca="1"/>
        <v>44344</v>
      </c>
      <c r="C126" vm="1059">
        <f ca="1"/>
        <v>249.68</v>
      </c>
      <c r="D126" vm="1058">
        <f ca="1"/>
        <v>44344</v>
      </c>
      <c r="E126" vm="1060">
        <f ca="1"/>
        <v>22.224900000000002</v>
      </c>
      <c r="F126" vm="1058">
        <f ca="1"/>
        <v>44344</v>
      </c>
      <c r="G126" vm="1061">
        <f ca="1"/>
        <v>227.3</v>
      </c>
      <c r="H126" vm="1058">
        <f ca="1"/>
        <v>44344</v>
      </c>
      <c r="I126" vm="1062">
        <f ca="1"/>
        <v>138.13</v>
      </c>
      <c r="J126" vm="1058">
        <f ca="1"/>
        <v>44344</v>
      </c>
      <c r="K126" vm="1063">
        <f ca="1"/>
        <v>25.93</v>
      </c>
      <c r="L126" vm="1058">
        <f ca="1"/>
        <v>44344</v>
      </c>
      <c r="M126" vm="1064">
        <f ca="1"/>
        <v>241.57</v>
      </c>
      <c r="N126" vm="1058">
        <f ca="1"/>
        <v>44344</v>
      </c>
      <c r="O126" vm="1065">
        <f ca="1"/>
        <v>555.20000000000005</v>
      </c>
      <c r="P126" vm="1058">
        <f ca="1"/>
        <v>44344</v>
      </c>
      <c r="Q126" vm="1066">
        <f ca="1"/>
        <v>47</v>
      </c>
      <c r="R126" s="29">
        <f t="shared" ca="1" si="15"/>
        <v>1.4840961052505095E-3</v>
      </c>
      <c r="S126" s="30">
        <f t="shared" ca="1" si="16"/>
        <v>-9.4266459859869388E-3</v>
      </c>
      <c r="T126" s="30">
        <f t="shared" ca="1" si="17"/>
        <v>1.9395221722648228E-3</v>
      </c>
      <c r="U126" s="30">
        <f t="shared" ca="1" si="18"/>
        <v>4.2896611894721786E-3</v>
      </c>
      <c r="V126" s="30">
        <f t="shared" ca="1" si="19"/>
        <v>-5.7515337423312343E-3</v>
      </c>
      <c r="W126" s="30">
        <f t="shared" ca="1" si="22"/>
        <v>5.4524265379172661E-3</v>
      </c>
      <c r="X126" s="30">
        <f t="shared" ca="1" si="20"/>
        <v>1.5807962529274189E-2</v>
      </c>
      <c r="Y126" s="31">
        <f t="shared" ca="1" si="21"/>
        <v>-4.8294016401741378E-2</v>
      </c>
    </row>
    <row r="127" spans="2:25" x14ac:dyDescent="0.45">
      <c r="B127" vm="1067">
        <f ca="1"/>
        <v>44348</v>
      </c>
      <c r="C127" vm="1068">
        <f ca="1"/>
        <v>247.4</v>
      </c>
      <c r="D127" vm="1067">
        <f ca="1"/>
        <v>44348</v>
      </c>
      <c r="E127" vm="481">
        <f ca="1"/>
        <v>22.1419</v>
      </c>
      <c r="F127" vm="1067">
        <f ca="1"/>
        <v>44348</v>
      </c>
      <c r="G127" vm="1069">
        <f ca="1"/>
        <v>226.63</v>
      </c>
      <c r="H127" vm="1067">
        <f ca="1"/>
        <v>44348</v>
      </c>
      <c r="I127" vm="1070">
        <f ca="1"/>
        <v>137.19999999999999</v>
      </c>
      <c r="J127" vm="1067">
        <f ca="1"/>
        <v>44348</v>
      </c>
      <c r="K127" vm="1071">
        <f ca="1"/>
        <v>26.67</v>
      </c>
      <c r="L127" vm="1067">
        <f ca="1"/>
        <v>44348</v>
      </c>
      <c r="M127" vm="1072">
        <f ca="1"/>
        <v>241.73</v>
      </c>
      <c r="N127" vm="1067">
        <f ca="1"/>
        <v>44348</v>
      </c>
      <c r="O127" vm="1073">
        <f ca="1"/>
        <v>568.48</v>
      </c>
      <c r="P127" vm="1067">
        <f ca="1"/>
        <v>44348</v>
      </c>
      <c r="Q127" vm="1074">
        <f ca="1"/>
        <v>47.776000000000003</v>
      </c>
      <c r="R127" s="29">
        <f t="shared" ca="1" si="15"/>
        <v>-9.1316885613585436E-3</v>
      </c>
      <c r="S127" s="30">
        <f t="shared" ca="1" si="16"/>
        <v>-3.7345499867266875E-3</v>
      </c>
      <c r="T127" s="30">
        <f t="shared" ca="1" si="17"/>
        <v>-2.9476462824461762E-3</v>
      </c>
      <c r="U127" s="30">
        <f t="shared" ca="1" si="18"/>
        <v>-6.7327879533773029E-3</v>
      </c>
      <c r="V127" s="30">
        <f t="shared" ca="1" si="19"/>
        <v>2.8538372541457847E-2</v>
      </c>
      <c r="W127" s="30">
        <f t="shared" ca="1" si="22"/>
        <v>6.6233389907685808E-4</v>
      </c>
      <c r="X127" s="30">
        <f t="shared" ca="1" si="20"/>
        <v>2.3919308357348651E-2</v>
      </c>
      <c r="Y127" s="31">
        <f t="shared" ca="1" si="21"/>
        <v>1.6510638297872412E-2</v>
      </c>
    </row>
    <row r="128" spans="2:25" x14ac:dyDescent="0.45">
      <c r="B128" vm="1075">
        <f ca="1"/>
        <v>44349</v>
      </c>
      <c r="C128" vm="1076">
        <f ca="1"/>
        <v>247.3</v>
      </c>
      <c r="D128" vm="1075">
        <f ca="1"/>
        <v>44349</v>
      </c>
      <c r="E128" vm="1077">
        <f ca="1"/>
        <v>22.360900000000001</v>
      </c>
      <c r="F128" vm="1075">
        <f ca="1"/>
        <v>44349</v>
      </c>
      <c r="G128" vm="1078">
        <f ca="1"/>
        <v>229.66</v>
      </c>
      <c r="H128" vm="1075">
        <f ca="1"/>
        <v>44349</v>
      </c>
      <c r="I128" vm="1079">
        <f ca="1"/>
        <v>136.57</v>
      </c>
      <c r="J128" vm="1075">
        <f ca="1"/>
        <v>44349</v>
      </c>
      <c r="K128" vm="1080">
        <f ca="1"/>
        <v>26.12</v>
      </c>
      <c r="L128" vm="1075">
        <f ca="1"/>
        <v>44349</v>
      </c>
      <c r="M128" vm="1081">
        <f ca="1"/>
        <v>239.73</v>
      </c>
      <c r="N128" vm="1075">
        <f ca="1"/>
        <v>44349</v>
      </c>
      <c r="O128" vm="1082">
        <f ca="1"/>
        <v>553.76</v>
      </c>
      <c r="P128" vm="1075">
        <f ca="1"/>
        <v>44349</v>
      </c>
      <c r="Q128" vm="1083">
        <f ca="1"/>
        <v>49.85</v>
      </c>
      <c r="R128" s="29">
        <f t="shared" ca="1" si="15"/>
        <v>-4.042037186741888E-4</v>
      </c>
      <c r="S128" s="30">
        <f t="shared" ca="1" si="16"/>
        <v>9.8907501162954041E-3</v>
      </c>
      <c r="T128" s="30">
        <f t="shared" ca="1" si="17"/>
        <v>1.3369809822177121E-2</v>
      </c>
      <c r="U128" s="30">
        <f t="shared" ca="1" si="18"/>
        <v>-4.591836734693845E-3</v>
      </c>
      <c r="V128" s="30">
        <f t="shared" ca="1" si="19"/>
        <v>-2.0622422197225373E-2</v>
      </c>
      <c r="W128" s="30">
        <f t="shared" ca="1" si="22"/>
        <v>-8.2736937905928103E-3</v>
      </c>
      <c r="X128" s="30">
        <f t="shared" ca="1" si="20"/>
        <v>-2.5893611032929965E-2</v>
      </c>
      <c r="Y128" s="31">
        <f t="shared" ca="1" si="21"/>
        <v>4.3410917615539141E-2</v>
      </c>
    </row>
    <row r="129" spans="2:25" x14ac:dyDescent="0.45">
      <c r="B129" vm="1084">
        <f ca="1"/>
        <v>44350</v>
      </c>
      <c r="C129" vm="1085">
        <f ca="1"/>
        <v>245.71</v>
      </c>
      <c r="D129" vm="1084">
        <f ca="1"/>
        <v>44350</v>
      </c>
      <c r="E129" vm="21">
        <f ca="1"/>
        <v>22.073899999999998</v>
      </c>
      <c r="F129" vm="1084">
        <f ca="1"/>
        <v>44350</v>
      </c>
      <c r="G129" vm="1086">
        <f ca="1"/>
        <v>228.11</v>
      </c>
      <c r="H129" vm="1084">
        <f ca="1"/>
        <v>44350</v>
      </c>
      <c r="I129" vm="1087">
        <f ca="1"/>
        <v>136.37</v>
      </c>
      <c r="J129" vm="1084">
        <f ca="1"/>
        <v>44350</v>
      </c>
      <c r="K129" vm="1088">
        <f ca="1"/>
        <v>25.89</v>
      </c>
      <c r="L129" vm="1084">
        <f ca="1"/>
        <v>44350</v>
      </c>
      <c r="M129" vm="1089">
        <f ca="1"/>
        <v>232.19</v>
      </c>
      <c r="N129" vm="1084">
        <f ca="1"/>
        <v>44350</v>
      </c>
      <c r="O129" vm="1090">
        <f ca="1"/>
        <v>564</v>
      </c>
      <c r="P129" vm="1084">
        <f ca="1"/>
        <v>44350</v>
      </c>
      <c r="Q129" vm="1091">
        <f ca="1"/>
        <v>48.863999999999997</v>
      </c>
      <c r="R129" s="29">
        <f t="shared" ca="1" si="15"/>
        <v>-6.4294379296401267E-3</v>
      </c>
      <c r="S129" s="30">
        <f t="shared" ca="1" si="16"/>
        <v>-1.2834903782942662E-2</v>
      </c>
      <c r="T129" s="30">
        <f t="shared" ca="1" si="17"/>
        <v>-6.7491073761211488E-3</v>
      </c>
      <c r="U129" s="30">
        <f t="shared" ca="1" si="18"/>
        <v>-1.4644504649629394E-3</v>
      </c>
      <c r="V129" s="30">
        <f t="shared" ca="1" si="19"/>
        <v>-8.8055130168453455E-3</v>
      </c>
      <c r="W129" s="30">
        <f t="shared" ca="1" si="22"/>
        <v>-3.1452050223167702E-2</v>
      </c>
      <c r="X129" s="30">
        <f t="shared" ca="1" si="20"/>
        <v>1.8491765385726687E-2</v>
      </c>
      <c r="Y129" s="31">
        <f t="shared" ca="1" si="21"/>
        <v>-1.9779338014042209E-2</v>
      </c>
    </row>
    <row r="130" spans="2:25" x14ac:dyDescent="0.45">
      <c r="B130" vm="1092">
        <f ca="1"/>
        <v>44351</v>
      </c>
      <c r="C130" vm="1093">
        <f ca="1"/>
        <v>250.79</v>
      </c>
      <c r="D130" vm="1092">
        <f ca="1"/>
        <v>44351</v>
      </c>
      <c r="E130" vm="1094">
        <f ca="1"/>
        <v>22.104099999999999</v>
      </c>
      <c r="F130" vm="1092">
        <f ca="1"/>
        <v>44351</v>
      </c>
      <c r="G130" vm="1095">
        <f ca="1"/>
        <v>230.14</v>
      </c>
      <c r="H130" vm="1092">
        <f ca="1"/>
        <v>44351</v>
      </c>
      <c r="I130" vm="1096">
        <f ca="1"/>
        <v>137.9</v>
      </c>
      <c r="J130" vm="1092">
        <f ca="1"/>
        <v>44351</v>
      </c>
      <c r="K130" vm="1097">
        <f ca="1"/>
        <v>26.26</v>
      </c>
      <c r="L130" vm="1092">
        <f ca="1"/>
        <v>44351</v>
      </c>
      <c r="M130" vm="1098">
        <f ca="1"/>
        <v>236.17</v>
      </c>
      <c r="N130" vm="1092">
        <f ca="1"/>
        <v>44351</v>
      </c>
      <c r="O130" vm="1099">
        <f ca="1"/>
        <v>534.24</v>
      </c>
      <c r="P130" vm="1092">
        <f ca="1"/>
        <v>44351</v>
      </c>
      <c r="Q130" vm="1100">
        <f ca="1"/>
        <v>48.466999999999999</v>
      </c>
      <c r="R130" s="29">
        <f t="shared" ca="1" si="15"/>
        <v>2.0674779211265246E-2</v>
      </c>
      <c r="S130" s="30">
        <f t="shared" ca="1" si="16"/>
        <v>1.3681315943263616E-3</v>
      </c>
      <c r="T130" s="30">
        <f t="shared" ca="1" si="17"/>
        <v>8.899215290868321E-3</v>
      </c>
      <c r="U130" s="30">
        <f t="shared" ca="1" si="18"/>
        <v>1.1219476424433534E-2</v>
      </c>
      <c r="V130" s="30">
        <f t="shared" ca="1" si="19"/>
        <v>1.4291232135959868E-2</v>
      </c>
      <c r="W130" s="30">
        <f t="shared" ca="1" si="22"/>
        <v>1.7141134415780135E-2</v>
      </c>
      <c r="X130" s="30">
        <f t="shared" ca="1" si="20"/>
        <v>-5.2765957446808495E-2</v>
      </c>
      <c r="Y130" s="31">
        <f t="shared" ca="1" si="21"/>
        <v>-8.1245907007203352E-3</v>
      </c>
    </row>
    <row r="131" spans="2:25" x14ac:dyDescent="0.45">
      <c r="B131" vm="1101">
        <f ca="1"/>
        <v>44354</v>
      </c>
      <c r="C131" vm="1102">
        <f ca="1"/>
        <v>253.81</v>
      </c>
      <c r="D131" vm="1101">
        <f ca="1"/>
        <v>44354</v>
      </c>
      <c r="E131" vm="1103">
        <f ca="1"/>
        <v>21.960599999999999</v>
      </c>
      <c r="F131" vm="1101">
        <f ca="1"/>
        <v>44354</v>
      </c>
      <c r="G131" vm="926">
        <f ca="1"/>
        <v>231.32</v>
      </c>
      <c r="H131" vm="1101">
        <f ca="1"/>
        <v>44354</v>
      </c>
      <c r="I131" vm="1104">
        <f ca="1"/>
        <v>137.65</v>
      </c>
      <c r="J131" vm="1101">
        <f ca="1"/>
        <v>44354</v>
      </c>
      <c r="K131" vm="1105">
        <f ca="1"/>
        <v>25.64</v>
      </c>
      <c r="L131" vm="1101">
        <f ca="1"/>
        <v>44354</v>
      </c>
      <c r="M131" vm="1106">
        <f ca="1"/>
        <v>242.66</v>
      </c>
      <c r="N131" vm="1101">
        <f ca="1"/>
        <v>44354</v>
      </c>
      <c r="O131" vm="1107">
        <f ca="1"/>
        <v>524.64</v>
      </c>
      <c r="P131" vm="1101">
        <f ca="1"/>
        <v>44354</v>
      </c>
      <c r="Q131" vm="1108">
        <f ca="1"/>
        <v>46.981000000000002</v>
      </c>
      <c r="R131" s="29">
        <f t="shared" ca="1" si="15"/>
        <v>1.2041947446070459E-2</v>
      </c>
      <c r="S131" s="30">
        <f t="shared" ca="1" si="16"/>
        <v>-6.4920082699589455E-3</v>
      </c>
      <c r="T131" s="30">
        <f t="shared" ca="1" si="17"/>
        <v>5.1273138089858649E-3</v>
      </c>
      <c r="U131" s="30">
        <f t="shared" ca="1" si="18"/>
        <v>-1.8129079042784625E-3</v>
      </c>
      <c r="V131" s="30">
        <f t="shared" ca="1" si="19"/>
        <v>-2.3610053313023648E-2</v>
      </c>
      <c r="W131" s="30">
        <f t="shared" ca="1" si="22"/>
        <v>2.7480204937121604E-2</v>
      </c>
      <c r="X131" s="30">
        <f t="shared" ca="1" si="20"/>
        <v>-1.7969451931716125E-2</v>
      </c>
      <c r="Y131" s="31">
        <f t="shared" ca="1" si="21"/>
        <v>-3.0660036726019708E-2</v>
      </c>
    </row>
    <row r="132" spans="2:25" x14ac:dyDescent="0.45">
      <c r="B132" vm="1109">
        <f ca="1"/>
        <v>44355</v>
      </c>
      <c r="C132" vm="1110">
        <f ca="1"/>
        <v>252.57</v>
      </c>
      <c r="D132" vm="1109">
        <f ca="1"/>
        <v>44355</v>
      </c>
      <c r="E132" vm="1111">
        <f ca="1"/>
        <v>21.885100000000001</v>
      </c>
      <c r="F132" vm="1109">
        <f ca="1"/>
        <v>44355</v>
      </c>
      <c r="G132" vm="1112">
        <f ca="1"/>
        <v>232.05</v>
      </c>
      <c r="H132" vm="1109">
        <f ca="1"/>
        <v>44355</v>
      </c>
      <c r="I132" vm="1113">
        <f ca="1"/>
        <v>138.75</v>
      </c>
      <c r="J132" vm="1109">
        <f ca="1"/>
        <v>44355</v>
      </c>
      <c r="K132" vm="1114">
        <f ca="1"/>
        <v>26.41</v>
      </c>
      <c r="L132" vm="1109">
        <f ca="1"/>
        <v>44355</v>
      </c>
      <c r="M132" vm="1115">
        <f ca="1"/>
        <v>242.51</v>
      </c>
      <c r="N132" vm="1109">
        <f ca="1"/>
        <v>44355</v>
      </c>
      <c r="O132" vm="1116">
        <f ca="1"/>
        <v>530.24</v>
      </c>
      <c r="P132" vm="1109">
        <f ca="1"/>
        <v>44355</v>
      </c>
      <c r="Q132" vm="1117">
        <f ca="1"/>
        <v>45.938000000000002</v>
      </c>
      <c r="R132" s="29">
        <f t="shared" ca="1" si="15"/>
        <v>-4.8855443047949613E-3</v>
      </c>
      <c r="S132" s="30">
        <f t="shared" ca="1" si="16"/>
        <v>-3.4379752830067541E-3</v>
      </c>
      <c r="T132" s="30">
        <f t="shared" ca="1" si="17"/>
        <v>3.1558014871174919E-3</v>
      </c>
      <c r="U132" s="30">
        <f t="shared" ca="1" si="18"/>
        <v>7.9912822375589852E-3</v>
      </c>
      <c r="V132" s="30">
        <f t="shared" ca="1" si="19"/>
        <v>3.0031201248049904E-2</v>
      </c>
      <c r="W132" s="30">
        <f t="shared" ca="1" si="22"/>
        <v>-6.1814885024316201E-4</v>
      </c>
      <c r="X132" s="30">
        <f t="shared" ca="1" si="20"/>
        <v>1.0673985971332766E-2</v>
      </c>
      <c r="Y132" s="31">
        <f t="shared" ca="1" si="21"/>
        <v>-2.2200464017368707E-2</v>
      </c>
    </row>
    <row r="133" spans="2:25" x14ac:dyDescent="0.45">
      <c r="B133" vm="1118">
        <f ca="1"/>
        <v>44356</v>
      </c>
      <c r="C133" vm="1119">
        <f ca="1"/>
        <v>253.59</v>
      </c>
      <c r="D133" vm="1118">
        <f ca="1"/>
        <v>44356</v>
      </c>
      <c r="E133" vm="130">
        <f ca="1"/>
        <v>21.907800000000002</v>
      </c>
      <c r="F133" vm="1118">
        <f ca="1"/>
        <v>44356</v>
      </c>
      <c r="G133" vm="1120">
        <f ca="1"/>
        <v>232.31</v>
      </c>
      <c r="H133" vm="1118">
        <f ca="1"/>
        <v>44356</v>
      </c>
      <c r="I133" vm="1121">
        <f ca="1"/>
        <v>140.13</v>
      </c>
      <c r="J133" vm="1118">
        <f ca="1"/>
        <v>44356</v>
      </c>
      <c r="K133" vm="1122">
        <f ca="1"/>
        <v>27.36</v>
      </c>
      <c r="L133" vm="1118">
        <f ca="1"/>
        <v>44356</v>
      </c>
      <c r="M133" vm="1123">
        <f ca="1"/>
        <v>237.7</v>
      </c>
      <c r="N133" vm="1118">
        <f ca="1"/>
        <v>44356</v>
      </c>
      <c r="O133" vm="1124">
        <f ca="1"/>
        <v>538.88</v>
      </c>
      <c r="P133" vm="1118">
        <f ca="1"/>
        <v>44356</v>
      </c>
      <c r="Q133" vm="1125">
        <f ca="1"/>
        <v>51.298999999999999</v>
      </c>
      <c r="R133" s="29">
        <f t="shared" ref="R133:R196" ca="1" si="23">(C133-C132)/C132</f>
        <v>4.038484380567804E-3</v>
      </c>
      <c r="S133" s="30">
        <f t="shared" ref="S133:S196" ca="1" si="24">(E133-E132)/E132</f>
        <v>1.037235379322022E-3</v>
      </c>
      <c r="T133" s="30">
        <f t="shared" ref="T133:T196" ca="1" si="25">(G133-G132)/G132</f>
        <v>1.1204481792716694E-3</v>
      </c>
      <c r="U133" s="30">
        <f t="shared" ref="U133:U196" ca="1" si="26">(I133-I132)/I132</f>
        <v>9.9459459459459131E-3</v>
      </c>
      <c r="V133" s="30">
        <f t="shared" ref="V133:V196" ca="1" si="27">(K133-K132)/K132</f>
        <v>3.5971223021582704E-2</v>
      </c>
      <c r="W133" s="30">
        <f t="shared" ca="1" si="22"/>
        <v>-1.9834233639849912E-2</v>
      </c>
      <c r="X133" s="30">
        <f t="shared" ref="X133:X196" ca="1" si="28">(O133-O132)/O132</f>
        <v>1.6294508147254048E-2</v>
      </c>
      <c r="Y133" s="31">
        <f t="shared" ref="Y133:Y196" ca="1" si="29">(Q133-Q132)/Q132</f>
        <v>0.11670077060385731</v>
      </c>
    </row>
    <row r="134" spans="2:25" x14ac:dyDescent="0.45">
      <c r="B134" vm="1126">
        <f ca="1"/>
        <v>44357</v>
      </c>
      <c r="C134" vm="1127">
        <f ca="1"/>
        <v>257.24</v>
      </c>
      <c r="D134" vm="1126">
        <f ca="1"/>
        <v>44357</v>
      </c>
      <c r="E134" vm="490">
        <f ca="1"/>
        <v>22.036200000000001</v>
      </c>
      <c r="F134" vm="1126">
        <f ca="1"/>
        <v>44357</v>
      </c>
      <c r="G134" vm="1128">
        <f ca="1"/>
        <v>233.95</v>
      </c>
      <c r="H134" vm="1126">
        <f ca="1"/>
        <v>44357</v>
      </c>
      <c r="I134" vm="1129">
        <f ca="1"/>
        <v>143.06</v>
      </c>
      <c r="J134" vm="1126">
        <f ca="1"/>
        <v>44357</v>
      </c>
      <c r="K134" vm="1130">
        <f ca="1"/>
        <v>27.75</v>
      </c>
      <c r="L134" vm="1126">
        <f ca="1"/>
        <v>44357</v>
      </c>
      <c r="M134" vm="1131">
        <f ca="1"/>
        <v>247.19</v>
      </c>
      <c r="N134" vm="1126">
        <f ca="1"/>
        <v>44357</v>
      </c>
      <c r="O134" vm="1132">
        <f ca="1"/>
        <v>507.68</v>
      </c>
      <c r="P134" vm="1126">
        <f ca="1"/>
        <v>44357</v>
      </c>
      <c r="Q134" vm="1133">
        <f ca="1"/>
        <v>50.865000000000002</v>
      </c>
      <c r="R134" s="29">
        <f t="shared" ca="1" si="23"/>
        <v>1.4393312039118283E-2</v>
      </c>
      <c r="S134" s="30">
        <f t="shared" ca="1" si="24"/>
        <v>5.8609262454467894E-3</v>
      </c>
      <c r="T134" s="30">
        <f t="shared" ca="1" si="25"/>
        <v>7.0595325212000617E-3</v>
      </c>
      <c r="U134" s="30">
        <f t="shared" ca="1" si="26"/>
        <v>2.0909155783914987E-2</v>
      </c>
      <c r="V134" s="30">
        <f t="shared" ca="1" si="27"/>
        <v>1.4254385964912302E-2</v>
      </c>
      <c r="W134" s="30">
        <f t="shared" ref="W134:W197" ca="1" si="30">(M134-M133)/M133</f>
        <v>3.9924274295330291E-2</v>
      </c>
      <c r="X134" s="30">
        <f t="shared" ca="1" si="28"/>
        <v>-5.7897862232779075E-2</v>
      </c>
      <c r="Y134" s="31">
        <f t="shared" ca="1" si="29"/>
        <v>-8.4602039026101389E-3</v>
      </c>
    </row>
    <row r="135" spans="2:25" x14ac:dyDescent="0.45">
      <c r="B135" vm="1134">
        <f ca="1"/>
        <v>44358</v>
      </c>
      <c r="C135" vm="1135">
        <f ca="1"/>
        <v>257.89</v>
      </c>
      <c r="D135" vm="1134">
        <f ca="1"/>
        <v>44358</v>
      </c>
      <c r="E135" vm="481">
        <f ca="1"/>
        <v>22.1419</v>
      </c>
      <c r="F135" vm="1134">
        <f ca="1"/>
        <v>44358</v>
      </c>
      <c r="G135" vm="1136">
        <f ca="1"/>
        <v>234.96</v>
      </c>
      <c r="H135" vm="1134">
        <f ca="1"/>
        <v>44358</v>
      </c>
      <c r="I135" vm="1137">
        <f ca="1"/>
        <v>143.53</v>
      </c>
      <c r="J135" vm="1134">
        <f ca="1"/>
        <v>44358</v>
      </c>
      <c r="K135" vm="1138">
        <f ca="1"/>
        <v>28.66</v>
      </c>
      <c r="L135" vm="1134">
        <f ca="1"/>
        <v>44358</v>
      </c>
      <c r="M135" vm="1139">
        <f ca="1"/>
        <v>243.66</v>
      </c>
      <c r="N135" vm="1134">
        <f ca="1"/>
        <v>44358</v>
      </c>
      <c r="O135" vm="1140">
        <f ca="1"/>
        <v>493.12</v>
      </c>
      <c r="P135" vm="1134">
        <f ca="1"/>
        <v>44358</v>
      </c>
      <c r="Q135" vm="1141">
        <f ca="1"/>
        <v>51.643999999999998</v>
      </c>
      <c r="R135" s="29">
        <f t="shared" ca="1" si="23"/>
        <v>2.5268232001243091E-3</v>
      </c>
      <c r="S135" s="30">
        <f t="shared" ca="1" si="24"/>
        <v>4.796652780424882E-3</v>
      </c>
      <c r="T135" s="30">
        <f t="shared" ca="1" si="25"/>
        <v>4.3171617867066442E-3</v>
      </c>
      <c r="U135" s="30">
        <f t="shared" ca="1" si="26"/>
        <v>3.2853348245491321E-3</v>
      </c>
      <c r="V135" s="30">
        <f t="shared" ca="1" si="27"/>
        <v>3.2792792792792798E-2</v>
      </c>
      <c r="W135" s="30">
        <f t="shared" ca="1" si="30"/>
        <v>-1.4280512965734864E-2</v>
      </c>
      <c r="X135" s="30">
        <f t="shared" ca="1" si="28"/>
        <v>-2.867948313898519E-2</v>
      </c>
      <c r="Y135" s="31">
        <f t="shared" ca="1" si="29"/>
        <v>1.5315049641207045E-2</v>
      </c>
    </row>
    <row r="136" spans="2:25" x14ac:dyDescent="0.45">
      <c r="B136" vm="1142">
        <f ca="1"/>
        <v>44361</v>
      </c>
      <c r="C136" vm="1143">
        <f ca="1"/>
        <v>259.89</v>
      </c>
      <c r="D136" vm="1142">
        <f ca="1"/>
        <v>44361</v>
      </c>
      <c r="E136" vm="12">
        <f ca="1"/>
        <v>21.9682</v>
      </c>
      <c r="F136" vm="1142">
        <f ca="1"/>
        <v>44361</v>
      </c>
      <c r="G136" vm="1144">
        <f ca="1"/>
        <v>234.08</v>
      </c>
      <c r="H136" vm="1142">
        <f ca="1"/>
        <v>44361</v>
      </c>
      <c r="I136" vm="1145">
        <f ca="1"/>
        <v>144.38999999999999</v>
      </c>
      <c r="J136" vm="1142">
        <f ca="1"/>
        <v>44361</v>
      </c>
      <c r="K136" vm="1146">
        <f ca="1"/>
        <v>26.75</v>
      </c>
      <c r="L136" vm="1142">
        <f ca="1"/>
        <v>44361</v>
      </c>
      <c r="M136" vm="1147">
        <f ca="1"/>
        <v>251.51</v>
      </c>
      <c r="N136" vm="1142">
        <f ca="1"/>
        <v>44361</v>
      </c>
      <c r="O136" vm="1148">
        <f ca="1"/>
        <v>497.76</v>
      </c>
      <c r="P136" vm="1142">
        <f ca="1"/>
        <v>44361</v>
      </c>
      <c r="Q136" vm="1149">
        <f ca="1"/>
        <v>59.848999999999997</v>
      </c>
      <c r="R136" s="29">
        <f t="shared" ca="1" si="23"/>
        <v>7.7552444840823607E-3</v>
      </c>
      <c r="S136" s="30">
        <f t="shared" ca="1" si="24"/>
        <v>-7.8448552292260457E-3</v>
      </c>
      <c r="T136" s="30">
        <f t="shared" ca="1" si="25"/>
        <v>-3.7453183520599056E-3</v>
      </c>
      <c r="U136" s="30">
        <f t="shared" ca="1" si="26"/>
        <v>5.9917787222182484E-3</v>
      </c>
      <c r="V136" s="30">
        <f t="shared" ca="1" si="27"/>
        <v>-6.6643405443126316E-2</v>
      </c>
      <c r="W136" s="30">
        <f t="shared" ca="1" si="30"/>
        <v>3.2217023721579224E-2</v>
      </c>
      <c r="X136" s="30">
        <f t="shared" ca="1" si="28"/>
        <v>9.4094743672939376E-3</v>
      </c>
      <c r="Y136" s="31">
        <f t="shared" ca="1" si="29"/>
        <v>0.15887615211834866</v>
      </c>
    </row>
    <row r="137" spans="2:25" x14ac:dyDescent="0.45">
      <c r="B137" vm="1150">
        <f ca="1"/>
        <v>44362</v>
      </c>
      <c r="C137" vm="1151">
        <f ca="1"/>
        <v>258.36</v>
      </c>
      <c r="D137" vm="1150">
        <f ca="1"/>
        <v>44362</v>
      </c>
      <c r="E137" vm="1152">
        <f ca="1"/>
        <v>22.111699999999999</v>
      </c>
      <c r="F137" vm="1150">
        <f ca="1"/>
        <v>44362</v>
      </c>
      <c r="G137" vm="1153">
        <f ca="1"/>
        <v>232.98</v>
      </c>
      <c r="H137" vm="1150">
        <f ca="1"/>
        <v>44362</v>
      </c>
      <c r="I137" vm="1154">
        <f ca="1"/>
        <v>144.62</v>
      </c>
      <c r="J137" vm="1150">
        <f ca="1"/>
        <v>44362</v>
      </c>
      <c r="K137" vm="1155">
        <f ca="1"/>
        <v>26.94</v>
      </c>
      <c r="L137" vm="1150">
        <f ca="1"/>
        <v>44362</v>
      </c>
      <c r="M137" vm="1156">
        <f ca="1"/>
        <v>242.76</v>
      </c>
      <c r="N137" vm="1150">
        <f ca="1"/>
        <v>44362</v>
      </c>
      <c r="O137" vm="1157">
        <f ca="1"/>
        <v>508.64</v>
      </c>
      <c r="P137" vm="1150">
        <f ca="1"/>
        <v>44362</v>
      </c>
      <c r="Q137" vm="1158">
        <f ca="1"/>
        <v>63.054000000000002</v>
      </c>
      <c r="R137" s="29">
        <f t="shared" ca="1" si="23"/>
        <v>-5.8871060833428478E-3</v>
      </c>
      <c r="S137" s="30">
        <f t="shared" ca="1" si="24"/>
        <v>6.5321692264272684E-3</v>
      </c>
      <c r="T137" s="30">
        <f t="shared" ca="1" si="25"/>
        <v>-4.6992481203008488E-3</v>
      </c>
      <c r="U137" s="30">
        <f t="shared" ca="1" si="26"/>
        <v>1.592908096128667E-3</v>
      </c>
      <c r="V137" s="30">
        <f t="shared" ca="1" si="27"/>
        <v>7.1028037383178049E-3</v>
      </c>
      <c r="W137" s="30">
        <f t="shared" ca="1" si="30"/>
        <v>-3.4789869190091846E-2</v>
      </c>
      <c r="X137" s="30">
        <f t="shared" ca="1" si="28"/>
        <v>2.1857923497267749E-2</v>
      </c>
      <c r="Y137" s="31">
        <f t="shared" ca="1" si="29"/>
        <v>5.3551437785092575E-2</v>
      </c>
    </row>
    <row r="138" spans="2:25" x14ac:dyDescent="0.45">
      <c r="B138" vm="1159">
        <f ca="1"/>
        <v>44363</v>
      </c>
      <c r="C138" vm="1160">
        <f ca="1"/>
        <v>257.38</v>
      </c>
      <c r="D138" vm="1159">
        <f ca="1"/>
        <v>44363</v>
      </c>
      <c r="E138" vm="1161">
        <f ca="1"/>
        <v>21.945499999999999</v>
      </c>
      <c r="F138" vm="1159">
        <f ca="1"/>
        <v>44363</v>
      </c>
      <c r="G138" vm="1162">
        <f ca="1"/>
        <v>229.6</v>
      </c>
      <c r="H138" vm="1159">
        <f ca="1"/>
        <v>44363</v>
      </c>
      <c r="I138" vm="1163">
        <f ca="1"/>
        <v>143.59</v>
      </c>
      <c r="J138" vm="1159">
        <f ca="1"/>
        <v>44363</v>
      </c>
      <c r="K138" vm="1164">
        <f ca="1"/>
        <v>25.8</v>
      </c>
      <c r="L138" vm="1159">
        <f ca="1"/>
        <v>44363</v>
      </c>
      <c r="M138" vm="1165">
        <f ca="1"/>
        <v>242.78</v>
      </c>
      <c r="N138" vm="1159">
        <f ca="1"/>
        <v>44363</v>
      </c>
      <c r="O138" vm="1166">
        <f ca="1"/>
        <v>513.12</v>
      </c>
      <c r="P138" vm="1159">
        <f ca="1"/>
        <v>44363</v>
      </c>
      <c r="Q138" vm="1167">
        <f ca="1"/>
        <v>61.981999999999999</v>
      </c>
      <c r="R138" s="29">
        <f t="shared" ca="1" si="23"/>
        <v>-3.7931568354235105E-3</v>
      </c>
      <c r="S138" s="30">
        <f t="shared" ca="1" si="24"/>
        <v>-7.51638272950519E-3</v>
      </c>
      <c r="T138" s="30">
        <f t="shared" ca="1" si="25"/>
        <v>-1.4507683062923837E-2</v>
      </c>
      <c r="U138" s="30">
        <f t="shared" ca="1" si="26"/>
        <v>-7.1221131240492399E-3</v>
      </c>
      <c r="V138" s="30">
        <f t="shared" ca="1" si="27"/>
        <v>-4.2316258351893114E-2</v>
      </c>
      <c r="W138" s="30">
        <f t="shared" ca="1" si="30"/>
        <v>8.2385895534726607E-5</v>
      </c>
      <c r="X138" s="30">
        <f t="shared" ca="1" si="28"/>
        <v>8.8078011953444842E-3</v>
      </c>
      <c r="Y138" s="31">
        <f t="shared" ca="1" si="29"/>
        <v>-1.7001300472610822E-2</v>
      </c>
    </row>
    <row r="139" spans="2:25" x14ac:dyDescent="0.45">
      <c r="B139" vm="1168">
        <f ca="1"/>
        <v>44364</v>
      </c>
      <c r="C139" vm="1169">
        <f ca="1"/>
        <v>260.89999999999998</v>
      </c>
      <c r="D139" vm="1168">
        <f ca="1"/>
        <v>44364</v>
      </c>
      <c r="E139" vm="1170">
        <f ca="1"/>
        <v>21.703900000000001</v>
      </c>
      <c r="F139" vm="1168">
        <f ca="1"/>
        <v>44364</v>
      </c>
      <c r="G139" vm="1171">
        <f ca="1"/>
        <v>232.15</v>
      </c>
      <c r="H139" vm="1168">
        <f ca="1"/>
        <v>44364</v>
      </c>
      <c r="I139" vm="1172">
        <f ca="1"/>
        <v>146.91999999999999</v>
      </c>
      <c r="J139" vm="1168">
        <f ca="1"/>
        <v>44364</v>
      </c>
      <c r="K139" vm="1173">
        <f ca="1"/>
        <v>23.82</v>
      </c>
      <c r="L139" vm="1168">
        <f ca="1"/>
        <v>44364</v>
      </c>
      <c r="M139" vm="1174">
        <f ca="1"/>
        <v>247.11</v>
      </c>
      <c r="N139" vm="1168">
        <f ca="1"/>
        <v>44364</v>
      </c>
      <c r="O139" vm="1175">
        <f ca="1"/>
        <v>510.24</v>
      </c>
      <c r="P139" vm="1168">
        <f ca="1"/>
        <v>44364</v>
      </c>
      <c r="Q139" vm="1176">
        <f ca="1"/>
        <v>63.081000000000003</v>
      </c>
      <c r="R139" s="29">
        <f t="shared" ca="1" si="23"/>
        <v>1.3676276322946546E-2</v>
      </c>
      <c r="S139" s="30">
        <f t="shared" ca="1" si="24"/>
        <v>-1.1009090701966156E-2</v>
      </c>
      <c r="T139" s="30">
        <f t="shared" ca="1" si="25"/>
        <v>1.1106271777003534E-2</v>
      </c>
      <c r="U139" s="30">
        <f t="shared" ca="1" si="26"/>
        <v>2.3191030016017716E-2</v>
      </c>
      <c r="V139" s="30">
        <f t="shared" ca="1" si="27"/>
        <v>-7.6744186046511648E-2</v>
      </c>
      <c r="W139" s="30">
        <f t="shared" ca="1" si="30"/>
        <v>1.7835077024466645E-2</v>
      </c>
      <c r="X139" s="30">
        <f t="shared" ca="1" si="28"/>
        <v>-5.6127221702525635E-3</v>
      </c>
      <c r="Y139" s="31">
        <f t="shared" ca="1" si="29"/>
        <v>1.7730954147978505E-2</v>
      </c>
    </row>
    <row r="140" spans="2:25" x14ac:dyDescent="0.45">
      <c r="B140" vm="1177">
        <f ca="1"/>
        <v>44365</v>
      </c>
      <c r="C140" vm="1178">
        <f ca="1"/>
        <v>259.43</v>
      </c>
      <c r="D140" vm="1177">
        <f ca="1"/>
        <v>44365</v>
      </c>
      <c r="E140" vm="367">
        <f ca="1"/>
        <v>21.635899999999999</v>
      </c>
      <c r="F140" vm="1177">
        <f ca="1"/>
        <v>44365</v>
      </c>
      <c r="G140" vm="1179">
        <f ca="1"/>
        <v>230.41</v>
      </c>
      <c r="H140" vm="1177">
        <f ca="1"/>
        <v>44365</v>
      </c>
      <c r="I140" vm="1180">
        <f ca="1"/>
        <v>145.01</v>
      </c>
      <c r="J140" vm="1177">
        <f ca="1"/>
        <v>44365</v>
      </c>
      <c r="K140" vm="1181">
        <f ca="1"/>
        <v>22.71</v>
      </c>
      <c r="L140" vm="1177">
        <f ca="1"/>
        <v>44365</v>
      </c>
      <c r="M140" vm="1182">
        <f ca="1"/>
        <v>247.64</v>
      </c>
      <c r="N140" vm="1177">
        <f ca="1"/>
        <v>44365</v>
      </c>
      <c r="O140" vm="1183">
        <f ca="1"/>
        <v>555.04</v>
      </c>
      <c r="P140" vm="1177">
        <f ca="1"/>
        <v>44365</v>
      </c>
      <c r="Q140" vm="1184">
        <f ca="1"/>
        <v>64.646000000000001</v>
      </c>
      <c r="R140" s="29">
        <f t="shared" ca="1" si="23"/>
        <v>-5.6343426600228841E-3</v>
      </c>
      <c r="S140" s="30">
        <f t="shared" ca="1" si="24"/>
        <v>-3.1330774653403944E-3</v>
      </c>
      <c r="T140" s="30">
        <f t="shared" ca="1" si="25"/>
        <v>-7.4951539952617229E-3</v>
      </c>
      <c r="U140" s="30">
        <f t="shared" ca="1" si="26"/>
        <v>-1.3000272257010595E-2</v>
      </c>
      <c r="V140" s="30">
        <f t="shared" ca="1" si="27"/>
        <v>-4.6599496221662443E-2</v>
      </c>
      <c r="W140" s="30">
        <f t="shared" ca="1" si="30"/>
        <v>2.1447938165188485E-3</v>
      </c>
      <c r="X140" s="30">
        <f t="shared" ca="1" si="28"/>
        <v>8.7801818751959776E-2</v>
      </c>
      <c r="Y140" s="31">
        <f t="shared" ca="1" si="29"/>
        <v>2.4809372077170586E-2</v>
      </c>
    </row>
    <row r="141" spans="2:25" x14ac:dyDescent="0.45">
      <c r="B141" vm="1185">
        <f ca="1"/>
        <v>44368</v>
      </c>
      <c r="C141" vm="1186">
        <f ca="1"/>
        <v>262.63</v>
      </c>
      <c r="D141" vm="1185">
        <f ca="1"/>
        <v>44368</v>
      </c>
      <c r="E141" vm="314">
        <f ca="1"/>
        <v>21.8474</v>
      </c>
      <c r="F141" vm="1185">
        <f ca="1"/>
        <v>44368</v>
      </c>
      <c r="G141" vm="1187">
        <f ca="1"/>
        <v>234.32</v>
      </c>
      <c r="H141" vm="1185">
        <f ca="1"/>
        <v>44368</v>
      </c>
      <c r="I141" vm="1188">
        <f ca="1"/>
        <v>146.41</v>
      </c>
      <c r="J141" vm="1185">
        <f ca="1"/>
        <v>44368</v>
      </c>
      <c r="K141" vm="1189">
        <f ca="1"/>
        <v>23.31</v>
      </c>
      <c r="L141" vm="1185">
        <f ca="1"/>
        <v>44368</v>
      </c>
      <c r="M141" vm="1190">
        <f ca="1"/>
        <v>245.6</v>
      </c>
      <c r="N141" vm="1185">
        <f ca="1"/>
        <v>44368</v>
      </c>
      <c r="O141" vm="1191">
        <f ca="1"/>
        <v>520.64</v>
      </c>
      <c r="P141" vm="1185">
        <f ca="1"/>
        <v>44368</v>
      </c>
      <c r="Q141" vm="1192">
        <f ca="1"/>
        <v>58.366999999999997</v>
      </c>
      <c r="R141" s="29">
        <f t="shared" ca="1" si="23"/>
        <v>1.2334733839571324E-2</v>
      </c>
      <c r="S141" s="30">
        <f t="shared" ca="1" si="24"/>
        <v>9.7754195573098845E-3</v>
      </c>
      <c r="T141" s="30">
        <f t="shared" ca="1" si="25"/>
        <v>1.6969749576841268E-2</v>
      </c>
      <c r="U141" s="30">
        <f t="shared" ca="1" si="26"/>
        <v>9.6545065857527469E-3</v>
      </c>
      <c r="V141" s="30">
        <f t="shared" ca="1" si="27"/>
        <v>2.6420079260237685E-2</v>
      </c>
      <c r="W141" s="30">
        <f t="shared" ca="1" si="30"/>
        <v>-8.2377644968502344E-3</v>
      </c>
      <c r="X141" s="30">
        <f t="shared" ca="1" si="28"/>
        <v>-6.1977515134044356E-2</v>
      </c>
      <c r="Y141" s="31">
        <f t="shared" ca="1" si="29"/>
        <v>-9.7128979364539236E-2</v>
      </c>
    </row>
    <row r="142" spans="2:25" x14ac:dyDescent="0.45">
      <c r="B142" vm="1193">
        <f ca="1"/>
        <v>44369</v>
      </c>
      <c r="C142" vm="1194">
        <f ca="1"/>
        <v>265.51</v>
      </c>
      <c r="D142" vm="1193">
        <f ca="1"/>
        <v>44369</v>
      </c>
      <c r="E142" vm="1195">
        <f ca="1"/>
        <v>21.734100000000002</v>
      </c>
      <c r="F142" vm="1193">
        <f ca="1"/>
        <v>44369</v>
      </c>
      <c r="G142" vm="1196">
        <f ca="1"/>
        <v>235.93</v>
      </c>
      <c r="H142" vm="1193">
        <f ca="1"/>
        <v>44369</v>
      </c>
      <c r="I142" vm="1197">
        <f ca="1"/>
        <v>146.63</v>
      </c>
      <c r="J142" vm="1193">
        <f ca="1"/>
        <v>44369</v>
      </c>
      <c r="K142" vm="1198">
        <f ca="1"/>
        <v>23.11</v>
      </c>
      <c r="L142" vm="1193">
        <f ca="1"/>
        <v>44369</v>
      </c>
      <c r="M142" vm="1199">
        <f ca="1"/>
        <v>253.64</v>
      </c>
      <c r="N142" vm="1193">
        <f ca="1"/>
        <v>44369</v>
      </c>
      <c r="O142" vm="1200">
        <f ca="1"/>
        <v>493.92</v>
      </c>
      <c r="P142" vm="1193">
        <f ca="1"/>
        <v>44369</v>
      </c>
      <c r="Q142" vm="1201">
        <f ca="1"/>
        <v>55.372</v>
      </c>
      <c r="R142" s="29">
        <f t="shared" ca="1" si="23"/>
        <v>1.0965997791569872E-2</v>
      </c>
      <c r="S142" s="30">
        <f t="shared" ca="1" si="24"/>
        <v>-5.1859717861163727E-3</v>
      </c>
      <c r="T142" s="30">
        <f t="shared" ca="1" si="25"/>
        <v>6.8709457152612398E-3</v>
      </c>
      <c r="U142" s="30">
        <f t="shared" ca="1" si="26"/>
        <v>1.5026296018031478E-3</v>
      </c>
      <c r="V142" s="30">
        <f t="shared" ca="1" si="27"/>
        <v>-8.5800085800085499E-3</v>
      </c>
      <c r="W142" s="30">
        <f t="shared" ca="1" si="30"/>
        <v>3.2736156351791501E-2</v>
      </c>
      <c r="X142" s="30">
        <f t="shared" ca="1" si="28"/>
        <v>-5.1321450522433872E-2</v>
      </c>
      <c r="Y142" s="31">
        <f t="shared" ca="1" si="29"/>
        <v>-5.1313242071718564E-2</v>
      </c>
    </row>
    <row r="143" spans="2:25" x14ac:dyDescent="0.45">
      <c r="B143" vm="1202">
        <f ca="1"/>
        <v>44370</v>
      </c>
      <c r="C143" vm="1203">
        <f ca="1"/>
        <v>265.27499999999998</v>
      </c>
      <c r="D143" vm="1202">
        <f ca="1"/>
        <v>44370</v>
      </c>
      <c r="E143" vm="367">
        <f ca="1"/>
        <v>21.635899999999999</v>
      </c>
      <c r="F143" vm="1202">
        <f ca="1"/>
        <v>44370</v>
      </c>
      <c r="G143" vm="1204">
        <f ca="1"/>
        <v>234.68</v>
      </c>
      <c r="H143" vm="1202">
        <f ca="1"/>
        <v>44370</v>
      </c>
      <c r="I143" vm="1205">
        <f ca="1"/>
        <v>147.24</v>
      </c>
      <c r="J143" vm="1202">
        <f ca="1"/>
        <v>44370</v>
      </c>
      <c r="K143" vm="1206">
        <f ca="1"/>
        <v>23.49</v>
      </c>
      <c r="L143" vm="1202">
        <f ca="1"/>
        <v>44370</v>
      </c>
      <c r="M143" vm="1207">
        <f ca="1"/>
        <v>256.7</v>
      </c>
      <c r="N143" vm="1202">
        <f ca="1"/>
        <v>44370</v>
      </c>
      <c r="O143" vm="1208">
        <f ca="1"/>
        <v>484.64</v>
      </c>
      <c r="P143" vm="1202">
        <f ca="1"/>
        <v>44370</v>
      </c>
      <c r="Q143" vm="1209">
        <f ca="1"/>
        <v>55.3</v>
      </c>
      <c r="R143" s="29">
        <f t="shared" ca="1" si="23"/>
        <v>-8.8508907385790984E-4</v>
      </c>
      <c r="S143" s="30">
        <f t="shared" ca="1" si="24"/>
        <v>-4.5182455220138884E-3</v>
      </c>
      <c r="T143" s="30">
        <f t="shared" ca="1" si="25"/>
        <v>-5.2981816640528968E-3</v>
      </c>
      <c r="U143" s="30">
        <f t="shared" ca="1" si="26"/>
        <v>4.1601309418264586E-3</v>
      </c>
      <c r="V143" s="30">
        <f t="shared" ca="1" si="27"/>
        <v>1.6443098225876203E-2</v>
      </c>
      <c r="W143" s="30">
        <f t="shared" ca="1" si="30"/>
        <v>1.2064343163538884E-2</v>
      </c>
      <c r="X143" s="30">
        <f t="shared" ca="1" si="28"/>
        <v>-1.8788467768059664E-2</v>
      </c>
      <c r="Y143" s="31">
        <f t="shared" ca="1" si="29"/>
        <v>-1.3002961785740577E-3</v>
      </c>
    </row>
    <row r="144" spans="2:25" x14ac:dyDescent="0.45">
      <c r="B144" vm="1210">
        <f ca="1"/>
        <v>44371</v>
      </c>
      <c r="C144" vm="1211">
        <f ca="1"/>
        <v>266.69</v>
      </c>
      <c r="D144" vm="1210">
        <f ca="1"/>
        <v>44371</v>
      </c>
      <c r="E144" vm="1212">
        <f ca="1"/>
        <v>21.741599999999998</v>
      </c>
      <c r="F144" vm="1210">
        <f ca="1"/>
        <v>44371</v>
      </c>
      <c r="G144" vm="1213">
        <f ca="1"/>
        <v>236.24</v>
      </c>
      <c r="H144" vm="1210">
        <f ca="1"/>
        <v>44371</v>
      </c>
      <c r="I144" vm="1214">
        <f ca="1"/>
        <v>146.66999999999999</v>
      </c>
      <c r="J144" vm="1210">
        <f ca="1"/>
        <v>44371</v>
      </c>
      <c r="K144" vm="1215">
        <f ca="1"/>
        <v>24.28</v>
      </c>
      <c r="L144" vm="1210">
        <f ca="1"/>
        <v>44371</v>
      </c>
      <c r="M144" vm="1216">
        <f ca="1"/>
        <v>264.16000000000003</v>
      </c>
      <c r="N144" vm="1210">
        <f ca="1"/>
        <v>44371</v>
      </c>
      <c r="O144" vm="1217">
        <f ca="1"/>
        <v>475.2</v>
      </c>
      <c r="P144" vm="1210">
        <f ca="1"/>
        <v>44371</v>
      </c>
      <c r="Q144" vm="1218">
        <f ca="1"/>
        <v>58.188000000000002</v>
      </c>
      <c r="R144" s="29">
        <f t="shared" ca="1" si="23"/>
        <v>5.3340872679295851E-3</v>
      </c>
      <c r="S144" s="30">
        <f t="shared" ca="1" si="24"/>
        <v>4.8853988047642483E-3</v>
      </c>
      <c r="T144" s="30">
        <f t="shared" ca="1" si="25"/>
        <v>6.6473495824100996E-3</v>
      </c>
      <c r="U144" s="30">
        <f t="shared" ca="1" si="26"/>
        <v>-3.8712306438469274E-3</v>
      </c>
      <c r="V144" s="30">
        <f t="shared" ca="1" si="27"/>
        <v>3.3631332481907313E-2</v>
      </c>
      <c r="W144" s="30">
        <f t="shared" ca="1" si="30"/>
        <v>2.9061160888196481E-2</v>
      </c>
      <c r="X144" s="30">
        <f t="shared" ca="1" si="28"/>
        <v>-1.9478375701551663E-2</v>
      </c>
      <c r="Y144" s="31">
        <f t="shared" ca="1" si="29"/>
        <v>5.222423146473789E-2</v>
      </c>
    </row>
    <row r="145" spans="2:25" x14ac:dyDescent="0.45">
      <c r="B145" vm="1219">
        <f ca="1"/>
        <v>44372</v>
      </c>
      <c r="C145" vm="1220">
        <f ca="1"/>
        <v>265.02</v>
      </c>
      <c r="D145" vm="1219">
        <f ca="1"/>
        <v>44372</v>
      </c>
      <c r="E145" vm="393">
        <f ca="1"/>
        <v>21.8172</v>
      </c>
      <c r="F145" vm="1219">
        <f ca="1"/>
        <v>44372</v>
      </c>
      <c r="G145" vm="1221">
        <f ca="1"/>
        <v>237.32</v>
      </c>
      <c r="H145" vm="1219">
        <f ca="1"/>
        <v>44372</v>
      </c>
      <c r="I145" vm="1222">
        <f ca="1"/>
        <v>147.28</v>
      </c>
      <c r="J145" vm="1219">
        <f ca="1"/>
        <v>44372</v>
      </c>
      <c r="K145" vm="1223">
        <f ca="1"/>
        <v>23.64</v>
      </c>
      <c r="L145" vm="1219">
        <f ca="1"/>
        <v>44372</v>
      </c>
      <c r="M145" vm="1224">
        <f ca="1"/>
        <v>266.38</v>
      </c>
      <c r="N145" vm="1219">
        <f ca="1"/>
        <v>44372</v>
      </c>
      <c r="O145" vm="1225">
        <f ca="1"/>
        <v>466.4</v>
      </c>
      <c r="P145" vm="1219">
        <f ca="1"/>
        <v>44372</v>
      </c>
      <c r="Q145" vm="1226">
        <f ca="1"/>
        <v>55.005000000000003</v>
      </c>
      <c r="R145" s="29">
        <f t="shared" ca="1" si="23"/>
        <v>-6.2619520791931307E-3</v>
      </c>
      <c r="S145" s="30">
        <f t="shared" ca="1" si="24"/>
        <v>3.477204989513258E-3</v>
      </c>
      <c r="T145" s="30">
        <f t="shared" ca="1" si="25"/>
        <v>4.5716220792413817E-3</v>
      </c>
      <c r="U145" s="30">
        <f t="shared" ca="1" si="26"/>
        <v>4.1589963864458561E-3</v>
      </c>
      <c r="V145" s="30">
        <f t="shared" ca="1" si="27"/>
        <v>-2.6359143327841866E-2</v>
      </c>
      <c r="W145" s="30">
        <f t="shared" ca="1" si="30"/>
        <v>8.4039975772258104E-3</v>
      </c>
      <c r="X145" s="30">
        <f t="shared" ca="1" si="28"/>
        <v>-1.8518518518518542E-2</v>
      </c>
      <c r="Y145" s="31">
        <f t="shared" ca="1" si="29"/>
        <v>-5.4702000412456174E-2</v>
      </c>
    </row>
    <row r="146" spans="2:25" x14ac:dyDescent="0.45">
      <c r="B146" vm="1227">
        <f ca="1"/>
        <v>44375</v>
      </c>
      <c r="C146" vm="1228">
        <f ca="1"/>
        <v>268.72000000000003</v>
      </c>
      <c r="D146" vm="1227">
        <f ca="1"/>
        <v>44375</v>
      </c>
      <c r="E146" vm="1195">
        <f ca="1"/>
        <v>21.734100000000002</v>
      </c>
      <c r="F146" vm="1227">
        <f ca="1"/>
        <v>44375</v>
      </c>
      <c r="G146" vm="1229">
        <f ca="1"/>
        <v>234.09</v>
      </c>
      <c r="H146" vm="1227">
        <f ca="1"/>
        <v>44375</v>
      </c>
      <c r="I146" vm="1230">
        <f ca="1"/>
        <v>147.93</v>
      </c>
      <c r="J146" vm="1227">
        <f ca="1"/>
        <v>44375</v>
      </c>
      <c r="K146" vm="1231">
        <f ca="1"/>
        <v>23.21</v>
      </c>
      <c r="L146" vm="1227">
        <f ca="1"/>
        <v>44375</v>
      </c>
      <c r="M146" vm="1232">
        <f ca="1"/>
        <v>271.56</v>
      </c>
      <c r="N146" vm="1227">
        <f ca="1"/>
        <v>44375</v>
      </c>
      <c r="O146" vm="1225">
        <f ca="1"/>
        <v>466.4</v>
      </c>
      <c r="P146" vm="1227">
        <f ca="1"/>
        <v>44375</v>
      </c>
      <c r="Q146" vm="1233">
        <f ca="1"/>
        <v>62.417000000000002</v>
      </c>
      <c r="R146" s="29">
        <f t="shared" ca="1" si="23"/>
        <v>1.3961210474681329E-2</v>
      </c>
      <c r="S146" s="30">
        <f t="shared" ca="1" si="24"/>
        <v>-3.8089214014629821E-3</v>
      </c>
      <c r="T146" s="30">
        <f t="shared" ca="1" si="25"/>
        <v>-1.3610315186246376E-2</v>
      </c>
      <c r="U146" s="30">
        <f t="shared" ca="1" si="26"/>
        <v>4.4133623030961824E-3</v>
      </c>
      <c r="V146" s="30">
        <f t="shared" ca="1" si="27"/>
        <v>-1.8189509306260562E-2</v>
      </c>
      <c r="W146" s="30">
        <f t="shared" ca="1" si="30"/>
        <v>1.9445904347173238E-2</v>
      </c>
      <c r="X146" s="30">
        <f t="shared" ca="1" si="28"/>
        <v>0</v>
      </c>
      <c r="Y146" s="31">
        <f t="shared" ca="1" si="29"/>
        <v>0.13475138623761473</v>
      </c>
    </row>
    <row r="147" spans="2:25" x14ac:dyDescent="0.45">
      <c r="B147" vm="1234">
        <f ca="1"/>
        <v>44376</v>
      </c>
      <c r="C147" vm="1235">
        <f ca="1"/>
        <v>271.39999999999998</v>
      </c>
      <c r="D147" vm="1234">
        <f ca="1"/>
        <v>44376</v>
      </c>
      <c r="E147" vm="1236">
        <f ca="1"/>
        <v>21.6435</v>
      </c>
      <c r="F147" vm="1234">
        <f ca="1"/>
        <v>44376</v>
      </c>
      <c r="G147" vm="1237">
        <f ca="1"/>
        <v>235.95</v>
      </c>
      <c r="H147" vm="1234">
        <f ca="1"/>
        <v>44376</v>
      </c>
      <c r="I147" vm="1238">
        <f ca="1"/>
        <v>148.81</v>
      </c>
      <c r="J147" vm="1234">
        <f ca="1"/>
        <v>44376</v>
      </c>
      <c r="K147" vm="1239">
        <f ca="1"/>
        <v>23.36</v>
      </c>
      <c r="L147" vm="1234">
        <f ca="1"/>
        <v>44376</v>
      </c>
      <c r="M147" vm="1240">
        <f ca="1"/>
        <v>272.86</v>
      </c>
      <c r="N147" vm="1234">
        <f ca="1"/>
        <v>44376</v>
      </c>
      <c r="O147" vm="1241">
        <f ca="1"/>
        <v>476.32</v>
      </c>
      <c r="P147" vm="1234">
        <f ca="1"/>
        <v>44376</v>
      </c>
      <c r="Q147" vm="1242">
        <f ca="1"/>
        <v>66.899000000000001</v>
      </c>
      <c r="R147" s="29">
        <f t="shared" ca="1" si="23"/>
        <v>9.9732063114020154E-3</v>
      </c>
      <c r="S147" s="30">
        <f t="shared" ca="1" si="24"/>
        <v>-4.1685646058498864E-3</v>
      </c>
      <c r="T147" s="30">
        <f t="shared" ca="1" si="25"/>
        <v>7.9456619249006159E-3</v>
      </c>
      <c r="U147" s="30">
        <f t="shared" ca="1" si="26"/>
        <v>5.9487595484350392E-3</v>
      </c>
      <c r="V147" s="30">
        <f t="shared" ca="1" si="27"/>
        <v>6.4627315812149323E-3</v>
      </c>
      <c r="W147" s="30">
        <f t="shared" ca="1" si="30"/>
        <v>4.7871556930328893E-3</v>
      </c>
      <c r="X147" s="30">
        <f t="shared" ca="1" si="28"/>
        <v>2.126929674099489E-2</v>
      </c>
      <c r="Y147" s="31">
        <f t="shared" ca="1" si="29"/>
        <v>7.1807360174311469E-2</v>
      </c>
    </row>
    <row r="148" spans="2:25" x14ac:dyDescent="0.45">
      <c r="B148" vm="1243">
        <f ca="1"/>
        <v>44377</v>
      </c>
      <c r="C148" vm="1244">
        <f ca="1"/>
        <v>270.89999999999998</v>
      </c>
      <c r="D148" vm="1243">
        <f ca="1"/>
        <v>44377</v>
      </c>
      <c r="E148" vm="1195">
        <f ca="1"/>
        <v>21.734100000000002</v>
      </c>
      <c r="F148" vm="1243">
        <f ca="1"/>
        <v>44377</v>
      </c>
      <c r="G148" vm="1245">
        <f ca="1"/>
        <v>233.82</v>
      </c>
      <c r="H148" vm="1243">
        <f ca="1"/>
        <v>44377</v>
      </c>
      <c r="I148" vm="1246">
        <f ca="1"/>
        <v>147.81</v>
      </c>
      <c r="J148" vm="1243">
        <f ca="1"/>
        <v>44377</v>
      </c>
      <c r="K148" vm="1247">
        <f ca="1"/>
        <v>24</v>
      </c>
      <c r="L148" vm="1243">
        <f ca="1"/>
        <v>44377</v>
      </c>
      <c r="M148" vm="1248">
        <f ca="1"/>
        <v>275.58999999999997</v>
      </c>
      <c r="N148" vm="1243">
        <f ca="1"/>
        <v>44377</v>
      </c>
      <c r="O148" vm="1249">
        <f ca="1"/>
        <v>471.36</v>
      </c>
      <c r="P148" vm="1243">
        <f ca="1"/>
        <v>44377</v>
      </c>
      <c r="Q148" vm="1250">
        <f ca="1"/>
        <v>66.45</v>
      </c>
      <c r="R148" s="29">
        <f t="shared" ca="1" si="23"/>
        <v>-1.8422991893883569E-3</v>
      </c>
      <c r="S148" s="30">
        <f t="shared" ca="1" si="24"/>
        <v>4.1860142768037527E-3</v>
      </c>
      <c r="T148" s="30">
        <f t="shared" ca="1" si="25"/>
        <v>-9.0273363000635543E-3</v>
      </c>
      <c r="U148" s="30">
        <f t="shared" ca="1" si="26"/>
        <v>-6.7199784960688125E-3</v>
      </c>
      <c r="V148" s="30">
        <f t="shared" ca="1" si="27"/>
        <v>2.7397260273972629E-2</v>
      </c>
      <c r="W148" s="30">
        <f t="shared" ca="1" si="30"/>
        <v>1.0005130836326179E-2</v>
      </c>
      <c r="X148" s="30">
        <f t="shared" ca="1" si="28"/>
        <v>-1.041316761840775E-2</v>
      </c>
      <c r="Y148" s="31">
        <f t="shared" ca="1" si="29"/>
        <v>-6.7116100390140071E-3</v>
      </c>
    </row>
    <row r="149" spans="2:25" x14ac:dyDescent="0.45">
      <c r="B149" vm="1251">
        <f ca="1"/>
        <v>44378</v>
      </c>
      <c r="C149" vm="1252">
        <f ca="1"/>
        <v>271.60000000000002</v>
      </c>
      <c r="D149" vm="1251">
        <f ca="1"/>
        <v>44378</v>
      </c>
      <c r="E149" vm="323">
        <f ca="1"/>
        <v>21.9833</v>
      </c>
      <c r="F149" vm="1251">
        <f ca="1"/>
        <v>44378</v>
      </c>
      <c r="G149" vm="1253">
        <f ca="1"/>
        <v>235.15</v>
      </c>
      <c r="H149" vm="1251">
        <f ca="1"/>
        <v>44378</v>
      </c>
      <c r="I149" vm="1254">
        <f ca="1"/>
        <v>147.79</v>
      </c>
      <c r="J149" vm="1251">
        <f ca="1"/>
        <v>44378</v>
      </c>
      <c r="K149" vm="1255">
        <f ca="1"/>
        <v>24.07</v>
      </c>
      <c r="L149" vm="1251">
        <f ca="1"/>
        <v>44378</v>
      </c>
      <c r="M149" vm="1256">
        <f ca="1"/>
        <v>268.63</v>
      </c>
      <c r="N149" vm="1251">
        <f ca="1"/>
        <v>44378</v>
      </c>
      <c r="O149" vm="1257">
        <f ca="1"/>
        <v>463.68</v>
      </c>
      <c r="P149" vm="1251">
        <f ca="1"/>
        <v>44378</v>
      </c>
      <c r="Q149" vm="1258">
        <f ca="1"/>
        <v>65.085999999999999</v>
      </c>
      <c r="R149" s="29">
        <f t="shared" ca="1" si="23"/>
        <v>2.5839793281655426E-3</v>
      </c>
      <c r="S149" s="30">
        <f t="shared" ca="1" si="24"/>
        <v>1.1465853198430038E-2</v>
      </c>
      <c r="T149" s="30">
        <f t="shared" ca="1" si="25"/>
        <v>5.6881361731246794E-3</v>
      </c>
      <c r="U149" s="30">
        <f t="shared" ca="1" si="26"/>
        <v>-1.3530884243292219E-4</v>
      </c>
      <c r="V149" s="30">
        <f t="shared" ca="1" si="27"/>
        <v>2.9166666666666785E-3</v>
      </c>
      <c r="W149" s="30">
        <f t="shared" ca="1" si="30"/>
        <v>-2.5254907652672375E-2</v>
      </c>
      <c r="X149" s="30">
        <f t="shared" ca="1" si="28"/>
        <v>-1.6293279022403271E-2</v>
      </c>
      <c r="Y149" s="31">
        <f t="shared" ca="1" si="29"/>
        <v>-2.0526711813393592E-2</v>
      </c>
    </row>
    <row r="150" spans="2:25" x14ac:dyDescent="0.45">
      <c r="B150" vm="1259">
        <f ca="1"/>
        <v>44379</v>
      </c>
      <c r="C150" vm="1260">
        <f ca="1"/>
        <v>277.64999999999998</v>
      </c>
      <c r="D150" vm="1259">
        <f ca="1"/>
        <v>44379</v>
      </c>
      <c r="E150" vm="21">
        <f ca="1"/>
        <v>22.073899999999998</v>
      </c>
      <c r="F150" vm="1259">
        <f ca="1"/>
        <v>44379</v>
      </c>
      <c r="G150" vm="1261">
        <f ca="1"/>
        <v>238.63</v>
      </c>
      <c r="H150" vm="1259">
        <f ca="1"/>
        <v>44379</v>
      </c>
      <c r="I150" vm="1262">
        <f ca="1"/>
        <v>148.82</v>
      </c>
      <c r="J150" vm="1259">
        <f ca="1"/>
        <v>44379</v>
      </c>
      <c r="K150" vm="1263">
        <f ca="1"/>
        <v>24.09</v>
      </c>
      <c r="L150" vm="1259">
        <f ca="1"/>
        <v>44379</v>
      </c>
      <c r="M150" vm="1264">
        <f ca="1"/>
        <v>267.83</v>
      </c>
      <c r="N150" vm="1259">
        <f ca="1"/>
        <v>44379</v>
      </c>
      <c r="O150" vm="1265">
        <f ca="1"/>
        <v>462.56</v>
      </c>
      <c r="P150" vm="1259">
        <f ca="1"/>
        <v>44379</v>
      </c>
      <c r="Q150" vm="1266">
        <f ca="1"/>
        <v>63.561</v>
      </c>
      <c r="R150" s="29">
        <f t="shared" ca="1" si="23"/>
        <v>2.2275405007363601E-2</v>
      </c>
      <c r="S150" s="30">
        <f t="shared" ca="1" si="24"/>
        <v>4.1213102673392284E-3</v>
      </c>
      <c r="T150" s="30">
        <f t="shared" ca="1" si="25"/>
        <v>1.479906442696147E-2</v>
      </c>
      <c r="U150" s="30">
        <f t="shared" ca="1" si="26"/>
        <v>6.9693483997564191E-3</v>
      </c>
      <c r="V150" s="30">
        <f t="shared" ca="1" si="27"/>
        <v>8.3090984628166075E-4</v>
      </c>
      <c r="W150" s="30">
        <f t="shared" ca="1" si="30"/>
        <v>-2.9780739306853716E-3</v>
      </c>
      <c r="X150" s="30">
        <f t="shared" ca="1" si="28"/>
        <v>-2.4154589371980775E-3</v>
      </c>
      <c r="Y150" s="31">
        <f t="shared" ca="1" si="29"/>
        <v>-2.3430538057339498E-2</v>
      </c>
    </row>
    <row r="151" spans="2:25" x14ac:dyDescent="0.45">
      <c r="B151" vm="1267">
        <f ca="1"/>
        <v>44383</v>
      </c>
      <c r="C151" vm="1268">
        <f ca="1"/>
        <v>277.66000000000003</v>
      </c>
      <c r="D151" vm="1267">
        <f ca="1"/>
        <v>44383</v>
      </c>
      <c r="E151" vm="236">
        <f ca="1"/>
        <v>21.915299999999998</v>
      </c>
      <c r="F151" vm="1267">
        <f ca="1"/>
        <v>44383</v>
      </c>
      <c r="G151" vm="1269">
        <f ca="1"/>
        <v>239.6</v>
      </c>
      <c r="H151" vm="1267">
        <f ca="1"/>
        <v>44383</v>
      </c>
      <c r="I151" vm="1270">
        <f ca="1"/>
        <v>148.97999999999999</v>
      </c>
      <c r="J151" vm="1267">
        <f ca="1"/>
        <v>44383</v>
      </c>
      <c r="K151" vm="1271">
        <f ca="1"/>
        <v>22.48</v>
      </c>
      <c r="L151" vm="1267">
        <f ca="1"/>
        <v>44383</v>
      </c>
      <c r="M151" vm="1272">
        <f ca="1"/>
        <v>263.52</v>
      </c>
      <c r="N151" vm="1267">
        <f ca="1"/>
        <v>44383</v>
      </c>
      <c r="O151" vm="1273">
        <f ca="1"/>
        <v>473.12</v>
      </c>
      <c r="P151" vm="1267">
        <f ca="1"/>
        <v>44383</v>
      </c>
      <c r="Q151" vm="1274">
        <f ca="1"/>
        <v>63.429000000000002</v>
      </c>
      <c r="R151" s="29">
        <f t="shared" ca="1" si="23"/>
        <v>3.6016567621277687E-5</v>
      </c>
      <c r="S151" s="30">
        <f t="shared" ca="1" si="24"/>
        <v>-7.1849559887468854E-3</v>
      </c>
      <c r="T151" s="30">
        <f t="shared" ca="1" si="25"/>
        <v>4.0648703013032679E-3</v>
      </c>
      <c r="U151" s="30">
        <f t="shared" ca="1" si="26"/>
        <v>1.0751243112484652E-3</v>
      </c>
      <c r="V151" s="30">
        <f t="shared" ca="1" si="27"/>
        <v>-6.6832710668327078E-2</v>
      </c>
      <c r="W151" s="30">
        <f t="shared" ca="1" si="30"/>
        <v>-1.6092297352798428E-2</v>
      </c>
      <c r="X151" s="30">
        <f t="shared" ca="1" si="28"/>
        <v>2.2829470771359398E-2</v>
      </c>
      <c r="Y151" s="31">
        <f t="shared" ca="1" si="29"/>
        <v>-2.0767451739273752E-3</v>
      </c>
    </row>
    <row r="152" spans="2:25" x14ac:dyDescent="0.45">
      <c r="B152" vm="1275">
        <f ca="1"/>
        <v>44384</v>
      </c>
      <c r="C152" vm="1276">
        <f ca="1"/>
        <v>279.93</v>
      </c>
      <c r="D152" vm="1275">
        <f ca="1"/>
        <v>44384</v>
      </c>
      <c r="E152" vm="314">
        <f ca="1"/>
        <v>21.8474</v>
      </c>
      <c r="F152" vm="1275">
        <f ca="1"/>
        <v>44384</v>
      </c>
      <c r="G152" vm="1277">
        <f ca="1"/>
        <v>240</v>
      </c>
      <c r="H152" vm="1275">
        <f ca="1"/>
        <v>44384</v>
      </c>
      <c r="I152" vm="1278">
        <f ca="1"/>
        <v>149.49</v>
      </c>
      <c r="J152" vm="1275">
        <f ca="1"/>
        <v>44384</v>
      </c>
      <c r="K152" vm="1279">
        <f ca="1"/>
        <v>22.93</v>
      </c>
      <c r="L152" vm="1275">
        <f ca="1"/>
        <v>44384</v>
      </c>
      <c r="M152" vm="1280">
        <f ca="1"/>
        <v>259.04000000000002</v>
      </c>
      <c r="N152" vm="1275">
        <f ca="1"/>
        <v>44384</v>
      </c>
      <c r="O152" vm="1281">
        <f ca="1"/>
        <v>474.08</v>
      </c>
      <c r="P152" vm="1275">
        <f ca="1"/>
        <v>44384</v>
      </c>
      <c r="Q152" vm="1282">
        <f ca="1"/>
        <v>63.985999999999997</v>
      </c>
      <c r="R152" s="29">
        <f t="shared" ca="1" si="23"/>
        <v>8.1754663977525802E-3</v>
      </c>
      <c r="S152" s="30">
        <f t="shared" ca="1" si="24"/>
        <v>-3.0982920607976199E-3</v>
      </c>
      <c r="T152" s="30">
        <f t="shared" ca="1" si="25"/>
        <v>1.6694490818030287E-3</v>
      </c>
      <c r="U152" s="30">
        <f t="shared" ca="1" si="26"/>
        <v>3.4232782923883701E-3</v>
      </c>
      <c r="V152" s="30">
        <f t="shared" ca="1" si="27"/>
        <v>2.0017793594306017E-2</v>
      </c>
      <c r="W152" s="30">
        <f t="shared" ca="1" si="30"/>
        <v>-1.7000607164541444E-2</v>
      </c>
      <c r="X152" s="30">
        <f t="shared" ca="1" si="28"/>
        <v>2.0290835306052998E-3</v>
      </c>
      <c r="Y152" s="31">
        <f t="shared" ca="1" si="29"/>
        <v>8.7814721972598493E-3</v>
      </c>
    </row>
    <row r="153" spans="2:25" x14ac:dyDescent="0.45">
      <c r="B153" vm="1283">
        <f ca="1"/>
        <v>44385</v>
      </c>
      <c r="C153" vm="1284">
        <f ca="1"/>
        <v>277.42</v>
      </c>
      <c r="D153" vm="1283">
        <f ca="1"/>
        <v>44385</v>
      </c>
      <c r="E153" vm="1285">
        <f ca="1"/>
        <v>21.280999999999999</v>
      </c>
      <c r="F153" vm="1283">
        <f ca="1"/>
        <v>44385</v>
      </c>
      <c r="G153" vm="1286">
        <f ca="1"/>
        <v>236.61</v>
      </c>
      <c r="H153" vm="1283">
        <f ca="1"/>
        <v>44385</v>
      </c>
      <c r="I153" vm="1287">
        <f ca="1"/>
        <v>148.83000000000001</v>
      </c>
      <c r="J153" vm="1283">
        <f ca="1"/>
        <v>44385</v>
      </c>
      <c r="K153" vm="1288">
        <f ca="1"/>
        <v>22.63</v>
      </c>
      <c r="L153" vm="1283">
        <f ca="1"/>
        <v>44385</v>
      </c>
      <c r="M153" vm="1289">
        <f ca="1"/>
        <v>256.14999999999998</v>
      </c>
      <c r="N153" vm="1283">
        <f ca="1"/>
        <v>44385</v>
      </c>
      <c r="O153" vm="1290">
        <f ca="1"/>
        <v>504.8</v>
      </c>
      <c r="P153" vm="1283">
        <f ca="1"/>
        <v>44385</v>
      </c>
      <c r="Q153" vm="1291">
        <f ca="1"/>
        <v>61.844000000000001</v>
      </c>
      <c r="R153" s="29">
        <f t="shared" ca="1" si="23"/>
        <v>-8.9665273461222127E-3</v>
      </c>
      <c r="S153" s="30">
        <f t="shared" ca="1" si="24"/>
        <v>-2.5925281726887482E-2</v>
      </c>
      <c r="T153" s="30">
        <f t="shared" ca="1" si="25"/>
        <v>-1.4124999999999943E-2</v>
      </c>
      <c r="U153" s="30">
        <f t="shared" ca="1" si="26"/>
        <v>-4.4150110375275704E-3</v>
      </c>
      <c r="V153" s="30">
        <f t="shared" ca="1" si="27"/>
        <v>-1.3083296990841724E-2</v>
      </c>
      <c r="W153" s="30">
        <f t="shared" ca="1" si="30"/>
        <v>-1.1156578134651185E-2</v>
      </c>
      <c r="X153" s="30">
        <f t="shared" ca="1" si="28"/>
        <v>6.4799190010124935E-2</v>
      </c>
      <c r="Y153" s="31">
        <f t="shared" ca="1" si="29"/>
        <v>-3.3476072890944834E-2</v>
      </c>
    </row>
    <row r="154" spans="2:25" x14ac:dyDescent="0.45">
      <c r="B154" vm="1292">
        <f ca="1"/>
        <v>44386</v>
      </c>
      <c r="C154" vm="1293">
        <f ca="1"/>
        <v>277.94</v>
      </c>
      <c r="D154" vm="1292">
        <f ca="1"/>
        <v>44386</v>
      </c>
      <c r="E154" vm="1294">
        <f ca="1"/>
        <v>21.4849</v>
      </c>
      <c r="F154" vm="1292">
        <f ca="1"/>
        <v>44386</v>
      </c>
      <c r="G154" vm="1295">
        <f ca="1"/>
        <v>238.47</v>
      </c>
      <c r="H154" vm="1292">
        <f ca="1"/>
        <v>44386</v>
      </c>
      <c r="I154" vm="1296">
        <f ca="1"/>
        <v>150.03</v>
      </c>
      <c r="J154" vm="1292">
        <f ca="1"/>
        <v>44386</v>
      </c>
      <c r="K154" vm="1297">
        <f ca="1"/>
        <v>24.54</v>
      </c>
      <c r="L154" vm="1292">
        <f ca="1"/>
        <v>44386</v>
      </c>
      <c r="M154" vm="1298">
        <f ca="1"/>
        <v>262.83</v>
      </c>
      <c r="N154" vm="1292">
        <f ca="1"/>
        <v>44386</v>
      </c>
      <c r="O154" vm="1299">
        <f ca="1"/>
        <v>470.88</v>
      </c>
      <c r="P154" vm="1292">
        <f ca="1"/>
        <v>44386</v>
      </c>
      <c r="Q154" vm="1300">
        <f ca="1"/>
        <v>62.866</v>
      </c>
      <c r="R154" s="29">
        <f t="shared" ca="1" si="23"/>
        <v>1.8744142455482005E-3</v>
      </c>
      <c r="S154" s="30">
        <f t="shared" ca="1" si="24"/>
        <v>9.5813166674498795E-3</v>
      </c>
      <c r="T154" s="30">
        <f t="shared" ca="1" si="25"/>
        <v>7.8610371497400151E-3</v>
      </c>
      <c r="U154" s="30">
        <f t="shared" ca="1" si="26"/>
        <v>8.0628905462607568E-3</v>
      </c>
      <c r="V154" s="30">
        <f t="shared" ca="1" si="27"/>
        <v>8.4401237295625292E-2</v>
      </c>
      <c r="W154" s="30">
        <f t="shared" ca="1" si="30"/>
        <v>2.6078469646691419E-2</v>
      </c>
      <c r="X154" s="30">
        <f t="shared" ca="1" si="28"/>
        <v>-6.7194928684627606E-2</v>
      </c>
      <c r="Y154" s="31">
        <f t="shared" ca="1" si="29"/>
        <v>1.6525451135114132E-2</v>
      </c>
    </row>
    <row r="155" spans="2:25" x14ac:dyDescent="0.45">
      <c r="B155" vm="1301">
        <f ca="1"/>
        <v>44389</v>
      </c>
      <c r="C155" vm="1302">
        <f ca="1"/>
        <v>277.32</v>
      </c>
      <c r="D155" vm="1301">
        <f ca="1"/>
        <v>44389</v>
      </c>
      <c r="E155" vm="1303">
        <f ca="1"/>
        <v>21.5075</v>
      </c>
      <c r="F155" vm="1301">
        <f ca="1"/>
        <v>44389</v>
      </c>
      <c r="G155" vm="1304">
        <f ca="1"/>
        <v>237.87</v>
      </c>
      <c r="H155" vm="1301">
        <f ca="1"/>
        <v>44389</v>
      </c>
      <c r="I155" vm="1305">
        <f ca="1"/>
        <v>149.51</v>
      </c>
      <c r="J155" vm="1301">
        <f ca="1"/>
        <v>44389</v>
      </c>
      <c r="K155" vm="720">
        <f ca="1"/>
        <v>25</v>
      </c>
      <c r="L155" vm="1301">
        <f ca="1"/>
        <v>44389</v>
      </c>
      <c r="M155" vm="1306">
        <f ca="1"/>
        <v>261.01</v>
      </c>
      <c r="N155" vm="1301">
        <f ca="1"/>
        <v>44389</v>
      </c>
      <c r="O155" vm="1307">
        <f ca="1"/>
        <v>467.84</v>
      </c>
      <c r="P155" vm="1301">
        <f ca="1"/>
        <v>44389</v>
      </c>
      <c r="Q155" vm="1308">
        <f ca="1"/>
        <v>58.869</v>
      </c>
      <c r="R155" s="29">
        <f t="shared" ca="1" si="23"/>
        <v>-2.2306972727927053E-3</v>
      </c>
      <c r="S155" s="30">
        <f t="shared" ca="1" si="24"/>
        <v>1.0519015680780744E-3</v>
      </c>
      <c r="T155" s="30">
        <f t="shared" ca="1" si="25"/>
        <v>-2.5160397534280802E-3</v>
      </c>
      <c r="U155" s="30">
        <f t="shared" ca="1" si="26"/>
        <v>-3.4659734719723403E-3</v>
      </c>
      <c r="V155" s="30">
        <f t="shared" ca="1" si="27"/>
        <v>1.8744906275468657E-2</v>
      </c>
      <c r="W155" s="30">
        <f t="shared" ca="1" si="30"/>
        <v>-6.9246280865958732E-3</v>
      </c>
      <c r="X155" s="30">
        <f t="shared" ca="1" si="28"/>
        <v>-6.4559972816853987E-3</v>
      </c>
      <c r="Y155" s="31">
        <f t="shared" ca="1" si="29"/>
        <v>-6.3579677409092358E-2</v>
      </c>
    </row>
    <row r="156" spans="2:25" x14ac:dyDescent="0.45">
      <c r="B156" vm="1309">
        <f ca="1"/>
        <v>44390</v>
      </c>
      <c r="C156" vm="1310">
        <f ca="1"/>
        <v>280.98</v>
      </c>
      <c r="D156" vm="1309">
        <f ca="1"/>
        <v>44390</v>
      </c>
      <c r="E156" vm="1311">
        <f ca="1"/>
        <v>21.3489</v>
      </c>
      <c r="F156" vm="1309">
        <f ca="1"/>
        <v>44390</v>
      </c>
      <c r="G156" vm="716">
        <f ca="1"/>
        <v>242.35</v>
      </c>
      <c r="H156" vm="1309">
        <f ca="1"/>
        <v>44390</v>
      </c>
      <c r="I156" vm="1312">
        <f ca="1"/>
        <v>149.27000000000001</v>
      </c>
      <c r="J156" vm="1309">
        <f ca="1"/>
        <v>44390</v>
      </c>
      <c r="K156" vm="1313">
        <f ca="1"/>
        <v>24.22</v>
      </c>
      <c r="L156" vm="1309">
        <f ca="1"/>
        <v>44390</v>
      </c>
      <c r="M156" vm="1314">
        <f ca="1"/>
        <v>263.85000000000002</v>
      </c>
      <c r="N156" vm="1309">
        <f ca="1"/>
        <v>44390</v>
      </c>
      <c r="O156" vm="1315">
        <f ca="1"/>
        <v>473.44</v>
      </c>
      <c r="P156" vm="1309">
        <f ca="1"/>
        <v>44390</v>
      </c>
      <c r="Q156" vm="1316">
        <f ca="1"/>
        <v>57.988</v>
      </c>
      <c r="R156" s="29">
        <f t="shared" ca="1" si="23"/>
        <v>1.3197749891821813E-2</v>
      </c>
      <c r="S156" s="30">
        <f t="shared" ca="1" si="24"/>
        <v>-7.3741718005346903E-3</v>
      </c>
      <c r="T156" s="30">
        <f t="shared" ca="1" si="25"/>
        <v>1.8833816790683945E-2</v>
      </c>
      <c r="U156" s="30">
        <f t="shared" ca="1" si="26"/>
        <v>-1.6052437964014492E-3</v>
      </c>
      <c r="V156" s="30">
        <f t="shared" ca="1" si="27"/>
        <v>-3.1200000000000047E-2</v>
      </c>
      <c r="W156" s="30">
        <f t="shared" ca="1" si="30"/>
        <v>1.0880809164399954E-2</v>
      </c>
      <c r="X156" s="30">
        <f t="shared" ca="1" si="28"/>
        <v>1.1969904240766122E-2</v>
      </c>
      <c r="Y156" s="31">
        <f t="shared" ca="1" si="29"/>
        <v>-1.4965431721279454E-2</v>
      </c>
    </row>
    <row r="157" spans="2:25" x14ac:dyDescent="0.45">
      <c r="B157" vm="1317">
        <f ca="1"/>
        <v>44391</v>
      </c>
      <c r="C157" vm="1318">
        <f ca="1"/>
        <v>282.51</v>
      </c>
      <c r="D157" vm="1317">
        <f ca="1"/>
        <v>44391</v>
      </c>
      <c r="E157" vm="1319">
        <f ca="1"/>
        <v>21.3414</v>
      </c>
      <c r="F157" vm="1317">
        <f ca="1"/>
        <v>44391</v>
      </c>
      <c r="G157" vm="1320">
        <f ca="1"/>
        <v>245.99</v>
      </c>
      <c r="H157" vm="1317">
        <f ca="1"/>
        <v>44391</v>
      </c>
      <c r="I157" vm="1321">
        <f ca="1"/>
        <v>148.63</v>
      </c>
      <c r="J157" vm="1317">
        <f ca="1"/>
        <v>44391</v>
      </c>
      <c r="K157" vm="1322">
        <f ca="1"/>
        <v>23.26</v>
      </c>
      <c r="L157" vm="1317">
        <f ca="1"/>
        <v>44391</v>
      </c>
      <c r="M157" vm="1323">
        <f ca="1"/>
        <v>253.41</v>
      </c>
      <c r="N157" vm="1317">
        <f ca="1"/>
        <v>44391</v>
      </c>
      <c r="O157" vm="1265">
        <f ca="1"/>
        <v>462.56</v>
      </c>
      <c r="P157" vm="1317">
        <f ca="1"/>
        <v>44391</v>
      </c>
      <c r="Q157" vm="1324">
        <f ca="1"/>
        <v>56.042999999999999</v>
      </c>
      <c r="R157" s="29">
        <f t="shared" ca="1" si="23"/>
        <v>5.4452274183214916E-3</v>
      </c>
      <c r="S157" s="30">
        <f t="shared" ca="1" si="24"/>
        <v>-3.513061562890961E-4</v>
      </c>
      <c r="T157" s="30">
        <f t="shared" ca="1" si="25"/>
        <v>1.5019599752424241E-2</v>
      </c>
      <c r="U157" s="30">
        <f t="shared" ca="1" si="26"/>
        <v>-4.287532658940274E-3</v>
      </c>
      <c r="V157" s="30">
        <f t="shared" ca="1" si="27"/>
        <v>-3.9636663914120449E-2</v>
      </c>
      <c r="W157" s="30">
        <f t="shared" ca="1" si="30"/>
        <v>-3.9567936327458877E-2</v>
      </c>
      <c r="X157" s="30">
        <f t="shared" ca="1" si="28"/>
        <v>-2.2980736735383565E-2</v>
      </c>
      <c r="Y157" s="31">
        <f t="shared" ca="1" si="29"/>
        <v>-3.3541422363247572E-2</v>
      </c>
    </row>
    <row r="158" spans="2:25" x14ac:dyDescent="0.45">
      <c r="B158" vm="1325">
        <f ca="1"/>
        <v>44392</v>
      </c>
      <c r="C158" vm="1326">
        <f ca="1"/>
        <v>281.02999999999997</v>
      </c>
      <c r="D158" vm="1325">
        <f ca="1"/>
        <v>44392</v>
      </c>
      <c r="E158" vm="1327">
        <f ca="1"/>
        <v>21.469799999999999</v>
      </c>
      <c r="F158" vm="1325">
        <f ca="1"/>
        <v>44392</v>
      </c>
      <c r="G158" vm="1328">
        <f ca="1"/>
        <v>248.55</v>
      </c>
      <c r="H158" vm="1325">
        <f ca="1"/>
        <v>44392</v>
      </c>
      <c r="I158" vm="1329">
        <f ca="1"/>
        <v>148.96</v>
      </c>
      <c r="J158" vm="1325">
        <f ca="1"/>
        <v>44392</v>
      </c>
      <c r="K158" vm="1330">
        <f ca="1"/>
        <v>23.2</v>
      </c>
      <c r="L158" vm="1325">
        <f ca="1"/>
        <v>44392</v>
      </c>
      <c r="M158" vm="1331">
        <f ca="1"/>
        <v>247.97</v>
      </c>
      <c r="N158" vm="1325">
        <f ca="1"/>
        <v>44392</v>
      </c>
      <c r="O158" vm="1332">
        <f ca="1"/>
        <v>469.28</v>
      </c>
      <c r="P158" vm="1325">
        <f ca="1"/>
        <v>44392</v>
      </c>
      <c r="Q158" vm="1333">
        <f ca="1"/>
        <v>54.103999999999999</v>
      </c>
      <c r="R158" s="29">
        <f t="shared" ca="1" si="23"/>
        <v>-5.2387526105271255E-3</v>
      </c>
      <c r="S158" s="30">
        <f t="shared" ca="1" si="24"/>
        <v>6.0164750203828797E-3</v>
      </c>
      <c r="T158" s="30">
        <f t="shared" ca="1" si="25"/>
        <v>1.0406927110858173E-2</v>
      </c>
      <c r="U158" s="30">
        <f t="shared" ca="1" si="26"/>
        <v>2.2202785440356087E-3</v>
      </c>
      <c r="V158" s="30">
        <f t="shared" ca="1" si="27"/>
        <v>-2.5795356835770539E-3</v>
      </c>
      <c r="W158" s="30">
        <f t="shared" ca="1" si="30"/>
        <v>-2.1467187561658965E-2</v>
      </c>
      <c r="X158" s="30">
        <f t="shared" ca="1" si="28"/>
        <v>1.4527845036319549E-2</v>
      </c>
      <c r="Y158" s="31">
        <f t="shared" ca="1" si="29"/>
        <v>-3.4598433345823743E-2</v>
      </c>
    </row>
    <row r="159" spans="2:25" x14ac:dyDescent="0.45">
      <c r="B159" vm="1334">
        <f ca="1"/>
        <v>44393</v>
      </c>
      <c r="C159" vm="1335">
        <f ca="1"/>
        <v>280.75</v>
      </c>
      <c r="D159" vm="1334">
        <f ca="1"/>
        <v>44393</v>
      </c>
      <c r="E159" vm="1336">
        <f ca="1"/>
        <v>21.401800000000001</v>
      </c>
      <c r="F159" vm="1334">
        <f ca="1"/>
        <v>44393</v>
      </c>
      <c r="G159" vm="1337">
        <f ca="1"/>
        <v>248.12</v>
      </c>
      <c r="H159" vm="1334">
        <f ca="1"/>
        <v>44393</v>
      </c>
      <c r="I159" vm="1338">
        <f ca="1"/>
        <v>148.93</v>
      </c>
      <c r="J159" vm="1334">
        <f ca="1"/>
        <v>44393</v>
      </c>
      <c r="K159" vm="1339">
        <f ca="1"/>
        <v>21.89</v>
      </c>
      <c r="L159" vm="1334">
        <f ca="1"/>
        <v>44393</v>
      </c>
      <c r="M159" vm="1340">
        <f ca="1"/>
        <v>243.24</v>
      </c>
      <c r="N159" vm="1334">
        <f ca="1"/>
        <v>44393</v>
      </c>
      <c r="O159" vm="1341">
        <f ca="1"/>
        <v>488.8</v>
      </c>
      <c r="P159" vm="1334">
        <f ca="1"/>
        <v>44393</v>
      </c>
      <c r="Q159" vm="1342">
        <f ca="1"/>
        <v>52.308999999999997</v>
      </c>
      <c r="R159" s="29">
        <f t="shared" ca="1" si="23"/>
        <v>-9.9633491086351198E-4</v>
      </c>
      <c r="S159" s="30">
        <f t="shared" ca="1" si="24"/>
        <v>-3.1672395644113051E-3</v>
      </c>
      <c r="T159" s="30">
        <f t="shared" ca="1" si="25"/>
        <v>-1.7300341983504598E-3</v>
      </c>
      <c r="U159" s="30">
        <f t="shared" ca="1" si="26"/>
        <v>-2.0139634801289699E-4</v>
      </c>
      <c r="V159" s="30">
        <f t="shared" ca="1" si="27"/>
        <v>-5.6465517241379257E-2</v>
      </c>
      <c r="W159" s="30">
        <f t="shared" ca="1" si="30"/>
        <v>-1.9074888091301326E-2</v>
      </c>
      <c r="X159" s="30">
        <f t="shared" ca="1" si="28"/>
        <v>4.1595635867712324E-2</v>
      </c>
      <c r="Y159" s="31">
        <f t="shared" ca="1" si="29"/>
        <v>-3.3176844595593703E-2</v>
      </c>
    </row>
    <row r="160" spans="2:25" x14ac:dyDescent="0.45">
      <c r="B160" vm="1343">
        <f ca="1"/>
        <v>44396</v>
      </c>
      <c r="C160" vm="1344">
        <f ca="1"/>
        <v>277.01</v>
      </c>
      <c r="D160" vm="1343">
        <f ca="1"/>
        <v>44396</v>
      </c>
      <c r="E160" vm="1345">
        <f ca="1"/>
        <v>20.986499999999999</v>
      </c>
      <c r="F160" vm="1343">
        <f ca="1"/>
        <v>44396</v>
      </c>
      <c r="G160" vm="1346">
        <f ca="1"/>
        <v>240.41</v>
      </c>
      <c r="H160" vm="1343">
        <f ca="1"/>
        <v>44396</v>
      </c>
      <c r="I160" vm="1347">
        <f ca="1"/>
        <v>147.58000000000001</v>
      </c>
      <c r="J160" vm="1343">
        <f ca="1"/>
        <v>44396</v>
      </c>
      <c r="K160" vm="1348">
        <f ca="1"/>
        <v>21.5</v>
      </c>
      <c r="L160" vm="1343">
        <f ca="1"/>
        <v>44396</v>
      </c>
      <c r="M160" vm="1349">
        <f ca="1"/>
        <v>241.81</v>
      </c>
      <c r="N160" vm="1343">
        <f ca="1"/>
        <v>44396</v>
      </c>
      <c r="O160" vm="1350">
        <f ca="1"/>
        <v>558.55999999999995</v>
      </c>
      <c r="P160" vm="1343">
        <f ca="1"/>
        <v>44396</v>
      </c>
      <c r="Q160" vm="1351">
        <f ca="1"/>
        <v>49.872</v>
      </c>
      <c r="R160" s="29">
        <f t="shared" ca="1" si="23"/>
        <v>-1.3321460373998251E-2</v>
      </c>
      <c r="S160" s="30">
        <f t="shared" ca="1" si="24"/>
        <v>-1.9404909867394425E-2</v>
      </c>
      <c r="T160" s="30">
        <f t="shared" ca="1" si="25"/>
        <v>-3.1073674028695823E-2</v>
      </c>
      <c r="U160" s="30">
        <f t="shared" ca="1" si="26"/>
        <v>-9.0646612502517567E-3</v>
      </c>
      <c r="V160" s="30">
        <f t="shared" ca="1" si="27"/>
        <v>-1.7816354499771609E-2</v>
      </c>
      <c r="W160" s="30">
        <f t="shared" ca="1" si="30"/>
        <v>-5.8789672751192517E-3</v>
      </c>
      <c r="X160" s="30">
        <f t="shared" ca="1" si="28"/>
        <v>0.14271685761047451</v>
      </c>
      <c r="Y160" s="31">
        <f t="shared" ca="1" si="29"/>
        <v>-4.6588541168823674E-2</v>
      </c>
    </row>
    <row r="161" spans="2:25" x14ac:dyDescent="0.45">
      <c r="B161" vm="1352">
        <f ca="1"/>
        <v>44397</v>
      </c>
      <c r="C161" vm="1353">
        <f ca="1"/>
        <v>279.32</v>
      </c>
      <c r="D161" vm="1352">
        <f ca="1"/>
        <v>44397</v>
      </c>
      <c r="E161" vm="1354">
        <f ca="1"/>
        <v>21.077100000000002</v>
      </c>
      <c r="F161" vm="1352">
        <f ca="1"/>
        <v>44397</v>
      </c>
      <c r="G161" vm="1355">
        <f ca="1"/>
        <v>242.7</v>
      </c>
      <c r="H161" vm="1352">
        <f ca="1"/>
        <v>44397</v>
      </c>
      <c r="I161" vm="1356">
        <f ca="1"/>
        <v>149.30000000000001</v>
      </c>
      <c r="J161" vm="1352">
        <f ca="1"/>
        <v>44397</v>
      </c>
      <c r="K161" vm="1357">
        <f ca="1"/>
        <v>22.06</v>
      </c>
      <c r="L161" vm="1352">
        <f ca="1"/>
        <v>44397</v>
      </c>
      <c r="M161" vm="1358">
        <f ca="1"/>
        <v>246.5</v>
      </c>
      <c r="N161" vm="1352">
        <f ca="1"/>
        <v>44397</v>
      </c>
      <c r="O161" vm="1359">
        <f ca="1"/>
        <v>511.52</v>
      </c>
      <c r="P161" vm="1352">
        <f ca="1"/>
        <v>44397</v>
      </c>
      <c r="Q161" vm="1360">
        <f ca="1"/>
        <v>50.177999999999997</v>
      </c>
      <c r="R161" s="29">
        <f t="shared" ca="1" si="23"/>
        <v>8.3390491318003045E-3</v>
      </c>
      <c r="S161" s="30">
        <f t="shared" ca="1" si="24"/>
        <v>4.3170609677650879E-3</v>
      </c>
      <c r="T161" s="30">
        <f t="shared" ca="1" si="25"/>
        <v>9.5253941183810666E-3</v>
      </c>
      <c r="U161" s="30">
        <f t="shared" ca="1" si="26"/>
        <v>1.1654695758232815E-2</v>
      </c>
      <c r="V161" s="30">
        <f t="shared" ca="1" si="27"/>
        <v>2.6046511627906919E-2</v>
      </c>
      <c r="W161" s="30">
        <f t="shared" ca="1" si="30"/>
        <v>1.9395393077209371E-2</v>
      </c>
      <c r="X161" s="30">
        <f t="shared" ca="1" si="28"/>
        <v>-8.4216556860498365E-2</v>
      </c>
      <c r="Y161" s="31">
        <f t="shared" ca="1" si="29"/>
        <v>6.1357074109720357E-3</v>
      </c>
    </row>
    <row r="162" spans="2:25" x14ac:dyDescent="0.45">
      <c r="B162" vm="1361">
        <f ca="1"/>
        <v>44398</v>
      </c>
      <c r="C162" vm="1362">
        <f ca="1"/>
        <v>281.39999999999998</v>
      </c>
      <c r="D162" vm="1361">
        <f ca="1"/>
        <v>44398</v>
      </c>
      <c r="E162" vm="1363">
        <f ca="1"/>
        <v>21.069500000000001</v>
      </c>
      <c r="F162" vm="1361">
        <f ca="1"/>
        <v>44398</v>
      </c>
      <c r="G162" vm="1139">
        <f ca="1"/>
        <v>243.66</v>
      </c>
      <c r="H162" vm="1361">
        <f ca="1"/>
        <v>44398</v>
      </c>
      <c r="I162" vm="1364">
        <f ca="1"/>
        <v>148.94999999999999</v>
      </c>
      <c r="J162" vm="1361">
        <f ca="1"/>
        <v>44398</v>
      </c>
      <c r="K162" vm="1365">
        <f ca="1"/>
        <v>23.06</v>
      </c>
      <c r="L162" vm="1361">
        <f ca="1"/>
        <v>44398</v>
      </c>
      <c r="M162" vm="1366">
        <f ca="1"/>
        <v>247.91</v>
      </c>
      <c r="N162" vm="1361">
        <f ca="1"/>
        <v>44398</v>
      </c>
      <c r="O162" vm="1367">
        <f ca="1"/>
        <v>479.04</v>
      </c>
      <c r="P162" vm="1361">
        <f ca="1"/>
        <v>44398</v>
      </c>
      <c r="Q162" vm="1368">
        <f ca="1"/>
        <v>55.694000000000003</v>
      </c>
      <c r="R162" s="29">
        <f t="shared" ca="1" si="23"/>
        <v>7.4466561649720181E-3</v>
      </c>
      <c r="S162" s="30">
        <f t="shared" ca="1" si="24"/>
        <v>-3.6058091483173922E-4</v>
      </c>
      <c r="T162" s="30">
        <f t="shared" ca="1" si="25"/>
        <v>3.9555006180470049E-3</v>
      </c>
      <c r="U162" s="30">
        <f t="shared" ca="1" si="26"/>
        <v>-2.3442732752848141E-3</v>
      </c>
      <c r="V162" s="30">
        <f t="shared" ca="1" si="27"/>
        <v>4.5330915684496827E-2</v>
      </c>
      <c r="W162" s="30">
        <f t="shared" ca="1" si="30"/>
        <v>5.7200811359026235E-3</v>
      </c>
      <c r="X162" s="30">
        <f t="shared" ca="1" si="28"/>
        <v>-6.3497028464185104E-2</v>
      </c>
      <c r="Y162" s="31">
        <f t="shared" ca="1" si="29"/>
        <v>0.10992865399178935</v>
      </c>
    </row>
    <row r="163" spans="2:25" x14ac:dyDescent="0.45">
      <c r="B163" vm="1369">
        <f ca="1"/>
        <v>44399</v>
      </c>
      <c r="C163" vm="1370">
        <f ca="1"/>
        <v>286.14</v>
      </c>
      <c r="D163" vm="1369">
        <f ca="1"/>
        <v>44399</v>
      </c>
      <c r="E163" vm="1371">
        <f ca="1"/>
        <v>21.1526</v>
      </c>
      <c r="F163" vm="1369">
        <f ca="1"/>
        <v>44399</v>
      </c>
      <c r="G163" vm="1372">
        <f ca="1"/>
        <v>244.14</v>
      </c>
      <c r="H163" vm="1369">
        <f ca="1"/>
        <v>44399</v>
      </c>
      <c r="I163" vm="1373">
        <f ca="1"/>
        <v>150.30000000000001</v>
      </c>
      <c r="J163" vm="1369">
        <f ca="1"/>
        <v>44399</v>
      </c>
      <c r="K163" vm="1374">
        <f ca="1"/>
        <v>23.04</v>
      </c>
      <c r="L163" vm="1369">
        <f ca="1"/>
        <v>44399</v>
      </c>
      <c r="M163" vm="1375">
        <f ca="1"/>
        <v>244.18</v>
      </c>
      <c r="N163" vm="1369">
        <f ca="1"/>
        <v>44399</v>
      </c>
      <c r="O163" vm="1376">
        <f ca="1"/>
        <v>487.52</v>
      </c>
      <c r="P163" vm="1369">
        <f ca="1"/>
        <v>44399</v>
      </c>
      <c r="Q163" vm="1377">
        <f ca="1"/>
        <v>55.594000000000001</v>
      </c>
      <c r="R163" s="29">
        <f t="shared" ca="1" si="23"/>
        <v>1.6844349680170609E-2</v>
      </c>
      <c r="S163" s="30">
        <f t="shared" ca="1" si="24"/>
        <v>3.9440897980492261E-3</v>
      </c>
      <c r="T163" s="30">
        <f t="shared" ca="1" si="25"/>
        <v>1.9699581383895172E-3</v>
      </c>
      <c r="U163" s="30">
        <f t="shared" ca="1" si="26"/>
        <v>9.0634441087614828E-3</v>
      </c>
      <c r="V163" s="30">
        <f t="shared" ca="1" si="27"/>
        <v>-8.6730268863831632E-4</v>
      </c>
      <c r="W163" s="30">
        <f t="shared" ca="1" si="30"/>
        <v>-1.5045782743737605E-2</v>
      </c>
      <c r="X163" s="30">
        <f t="shared" ca="1" si="28"/>
        <v>1.7702070808283153E-2</v>
      </c>
      <c r="Y163" s="31">
        <f t="shared" ca="1" si="29"/>
        <v>-1.7955255503286065E-3</v>
      </c>
    </row>
    <row r="164" spans="2:25" x14ac:dyDescent="0.45">
      <c r="B164" vm="1378">
        <f ca="1"/>
        <v>44400</v>
      </c>
      <c r="C164" vm="1379">
        <f ca="1"/>
        <v>289.67</v>
      </c>
      <c r="D164" vm="1378">
        <f ca="1"/>
        <v>44400</v>
      </c>
      <c r="E164" vm="1380">
        <f ca="1"/>
        <v>21.258299999999998</v>
      </c>
      <c r="F164" vm="1378">
        <f ca="1"/>
        <v>44400</v>
      </c>
      <c r="G164" vm="1381">
        <f ca="1"/>
        <v>249.02</v>
      </c>
      <c r="H164" vm="1378">
        <f ca="1"/>
        <v>44400</v>
      </c>
      <c r="I164" vm="1382">
        <f ca="1"/>
        <v>152.31</v>
      </c>
      <c r="J164" vm="1378">
        <f ca="1"/>
        <v>44400</v>
      </c>
      <c r="K164" vm="1383">
        <f ca="1"/>
        <v>23.13</v>
      </c>
      <c r="L164" vm="1378">
        <f ca="1"/>
        <v>44400</v>
      </c>
      <c r="M164" vm="1384">
        <f ca="1"/>
        <v>243.64</v>
      </c>
      <c r="N164" vm="1378">
        <f ca="1"/>
        <v>44400</v>
      </c>
      <c r="O164" vm="1385">
        <f ca="1"/>
        <v>485.28</v>
      </c>
      <c r="P164" vm="1378">
        <f ca="1"/>
        <v>44400</v>
      </c>
      <c r="Q164" vm="1386">
        <f ca="1"/>
        <v>53.970999999999997</v>
      </c>
      <c r="R164" s="29">
        <f t="shared" ca="1" si="23"/>
        <v>1.23366184385267E-2</v>
      </c>
      <c r="S164" s="30">
        <f t="shared" ca="1" si="24"/>
        <v>4.9970216427294425E-3</v>
      </c>
      <c r="T164" s="30">
        <f t="shared" ca="1" si="25"/>
        <v>1.9988531170639895E-2</v>
      </c>
      <c r="U164" s="30">
        <f t="shared" ca="1" si="26"/>
        <v>1.3373253493013911E-2</v>
      </c>
      <c r="V164" s="30">
        <f t="shared" ca="1" si="27"/>
        <v>3.9062499999999939E-3</v>
      </c>
      <c r="W164" s="30">
        <f t="shared" ca="1" si="30"/>
        <v>-2.2114833319683037E-3</v>
      </c>
      <c r="X164" s="30">
        <f t="shared" ca="1" si="28"/>
        <v>-4.5946832950443245E-3</v>
      </c>
      <c r="Y164" s="31">
        <f t="shared" ca="1" si="29"/>
        <v>-2.9193797891858917E-2</v>
      </c>
    </row>
    <row r="165" spans="2:25" x14ac:dyDescent="0.45">
      <c r="B165" vm="1387">
        <f ca="1"/>
        <v>44403</v>
      </c>
      <c r="C165" vm="1388">
        <f ca="1"/>
        <v>289.05</v>
      </c>
      <c r="D165" vm="1387">
        <f ca="1"/>
        <v>44403</v>
      </c>
      <c r="E165" vm="1285">
        <f ca="1"/>
        <v>21.280999999999999</v>
      </c>
      <c r="F165" vm="1387">
        <f ca="1"/>
        <v>44403</v>
      </c>
      <c r="G165" vm="1389">
        <f ca="1"/>
        <v>250.25</v>
      </c>
      <c r="H165" vm="1387">
        <f ca="1"/>
        <v>44403</v>
      </c>
      <c r="I165" vm="1390">
        <f ca="1"/>
        <v>150.25</v>
      </c>
      <c r="J165" vm="1387">
        <f ca="1"/>
        <v>44403</v>
      </c>
      <c r="K165" vm="1391">
        <f ca="1"/>
        <v>24.15</v>
      </c>
      <c r="L165" vm="1387">
        <f ca="1"/>
        <v>44403</v>
      </c>
      <c r="M165" vm="1392">
        <f ca="1"/>
        <v>240.59</v>
      </c>
      <c r="N165" vm="1387">
        <f ca="1"/>
        <v>44403</v>
      </c>
      <c r="O165" vm="1393">
        <f ca="1"/>
        <v>477.6</v>
      </c>
      <c r="P165" vm="1387">
        <f ca="1"/>
        <v>44403</v>
      </c>
      <c r="Q165" vm="1394">
        <f ca="1"/>
        <v>68.25</v>
      </c>
      <c r="R165" s="29">
        <f t="shared" ca="1" si="23"/>
        <v>-2.1403666240894965E-3</v>
      </c>
      <c r="S165" s="30">
        <f t="shared" ca="1" si="24"/>
        <v>1.0678182168847173E-3</v>
      </c>
      <c r="T165" s="30">
        <f t="shared" ca="1" si="25"/>
        <v>4.939362300216809E-3</v>
      </c>
      <c r="U165" s="30">
        <f t="shared" ca="1" si="26"/>
        <v>-1.3525047600288899E-2</v>
      </c>
      <c r="V165" s="30">
        <f t="shared" ca="1" si="27"/>
        <v>4.4098573281452641E-2</v>
      </c>
      <c r="W165" s="30">
        <f t="shared" ca="1" si="30"/>
        <v>-1.2518469873583907E-2</v>
      </c>
      <c r="X165" s="30">
        <f t="shared" ca="1" si="28"/>
        <v>-1.5825914935707119E-2</v>
      </c>
      <c r="Y165" s="31">
        <f t="shared" ca="1" si="29"/>
        <v>0.26456800874543746</v>
      </c>
    </row>
    <row r="166" spans="2:25" x14ac:dyDescent="0.45">
      <c r="B166" vm="1395">
        <f ca="1"/>
        <v>44404</v>
      </c>
      <c r="C166" vm="1396">
        <f ca="1"/>
        <v>286.54000000000002</v>
      </c>
      <c r="D166" vm="1395">
        <f ca="1"/>
        <v>44404</v>
      </c>
      <c r="E166" vm="1397">
        <f ca="1"/>
        <v>21.296099999999999</v>
      </c>
      <c r="F166" vm="1395">
        <f ca="1"/>
        <v>44404</v>
      </c>
      <c r="G166" vm="1398">
        <f ca="1"/>
        <v>250.93</v>
      </c>
      <c r="H166" vm="1395">
        <f ca="1"/>
        <v>44404</v>
      </c>
      <c r="I166" vm="1399">
        <f ca="1"/>
        <v>149.94999999999999</v>
      </c>
      <c r="J166" vm="1395">
        <f ca="1"/>
        <v>44404</v>
      </c>
      <c r="K166" vm="1400">
        <f ca="1"/>
        <v>23.84</v>
      </c>
      <c r="L166" vm="1395">
        <f ca="1"/>
        <v>44404</v>
      </c>
      <c r="M166" vm="1401">
        <f ca="1"/>
        <v>236.93</v>
      </c>
      <c r="N166" vm="1395">
        <f ca="1"/>
        <v>44404</v>
      </c>
      <c r="O166" vm="1402">
        <f ca="1"/>
        <v>493.76</v>
      </c>
      <c r="P166" vm="1395">
        <f ca="1"/>
        <v>44404</v>
      </c>
      <c r="Q166" vm="1403">
        <f ca="1"/>
        <v>63.061</v>
      </c>
      <c r="R166" s="29">
        <f t="shared" ca="1" si="23"/>
        <v>-8.6836187510810955E-3</v>
      </c>
      <c r="S166" s="30">
        <f t="shared" ca="1" si="24"/>
        <v>7.0955312250365753E-4</v>
      </c>
      <c r="T166" s="30">
        <f t="shared" ca="1" si="25"/>
        <v>2.7172827172827446E-3</v>
      </c>
      <c r="U166" s="30">
        <f t="shared" ca="1" si="26"/>
        <v>-1.9966722129784449E-3</v>
      </c>
      <c r="V166" s="30">
        <f t="shared" ca="1" si="27"/>
        <v>-1.2836438923395393E-2</v>
      </c>
      <c r="W166" s="30">
        <f t="shared" ca="1" si="30"/>
        <v>-1.5212602352549967E-2</v>
      </c>
      <c r="X166" s="30">
        <f t="shared" ca="1" si="28"/>
        <v>3.3835845896147333E-2</v>
      </c>
      <c r="Y166" s="31">
        <f t="shared" ca="1" si="29"/>
        <v>-7.6029304029304023E-2</v>
      </c>
    </row>
    <row r="167" spans="2:25" x14ac:dyDescent="0.45">
      <c r="B167" vm="1404">
        <f ca="1"/>
        <v>44405</v>
      </c>
      <c r="C167" vm="1405">
        <f ca="1"/>
        <v>286.22000000000003</v>
      </c>
      <c r="D167" vm="1404">
        <f ca="1"/>
        <v>44405</v>
      </c>
      <c r="E167" vm="1371">
        <f ca="1"/>
        <v>21.1526</v>
      </c>
      <c r="F167" vm="1404">
        <f ca="1"/>
        <v>44405</v>
      </c>
      <c r="G167" vm="1406">
        <f ca="1"/>
        <v>246.94</v>
      </c>
      <c r="H167" vm="1404">
        <f ca="1"/>
        <v>44405</v>
      </c>
      <c r="I167" vm="1407">
        <f ca="1"/>
        <v>151.46</v>
      </c>
      <c r="J167" vm="1404">
        <f ca="1"/>
        <v>44405</v>
      </c>
      <c r="K167" vm="1408">
        <f ca="1"/>
        <v>24.55</v>
      </c>
      <c r="L167" vm="1404">
        <f ca="1"/>
        <v>44405</v>
      </c>
      <c r="M167" vm="1409">
        <f ca="1"/>
        <v>223.32</v>
      </c>
      <c r="N167" vm="1404">
        <f ca="1"/>
        <v>44405</v>
      </c>
      <c r="O167" vm="1410">
        <f ca="1"/>
        <v>479.84</v>
      </c>
      <c r="P167" vm="1404">
        <f ca="1"/>
        <v>44405</v>
      </c>
      <c r="Q167" vm="1411">
        <f ca="1"/>
        <v>64.665000000000006</v>
      </c>
      <c r="R167" s="29">
        <f t="shared" ca="1" si="23"/>
        <v>-1.1167725273958022E-3</v>
      </c>
      <c r="S167" s="30">
        <f t="shared" ca="1" si="24"/>
        <v>-6.7383229793248301E-3</v>
      </c>
      <c r="T167" s="30">
        <f t="shared" ca="1" si="25"/>
        <v>-1.5900848842306654E-2</v>
      </c>
      <c r="U167" s="30">
        <f t="shared" ca="1" si="26"/>
        <v>1.0070023341113834E-2</v>
      </c>
      <c r="V167" s="30">
        <f t="shared" ca="1" si="27"/>
        <v>2.9781879194630909E-2</v>
      </c>
      <c r="W167" s="30">
        <f t="shared" ca="1" si="30"/>
        <v>-5.7443126661883309E-2</v>
      </c>
      <c r="X167" s="30">
        <f t="shared" ca="1" si="28"/>
        <v>-2.8191834089436197E-2</v>
      </c>
      <c r="Y167" s="31">
        <f t="shared" ca="1" si="29"/>
        <v>2.5435689253262814E-2</v>
      </c>
    </row>
    <row r="168" spans="2:25" x14ac:dyDescent="0.45">
      <c r="B168" vm="1412">
        <f ca="1"/>
        <v>44406</v>
      </c>
      <c r="C168" vm="1413">
        <f ca="1"/>
        <v>286.5</v>
      </c>
      <c r="D168" vm="1412">
        <f ca="1"/>
        <v>44406</v>
      </c>
      <c r="E168" vm="1414">
        <f ca="1"/>
        <v>21.364000000000001</v>
      </c>
      <c r="F168" vm="1412">
        <f ca="1"/>
        <v>44406</v>
      </c>
      <c r="G168" vm="1415">
        <f ca="1"/>
        <v>247.92</v>
      </c>
      <c r="H168" vm="1412">
        <f ca="1"/>
        <v>44406</v>
      </c>
      <c r="I168" vm="1416">
        <f ca="1"/>
        <v>152.66999999999999</v>
      </c>
      <c r="J168" vm="1412">
        <f ca="1"/>
        <v>44406</v>
      </c>
      <c r="K168" vm="1417">
        <f ca="1"/>
        <v>25.47</v>
      </c>
      <c r="L168" vm="1412">
        <f ca="1"/>
        <v>44406</v>
      </c>
      <c r="M168" vm="1418">
        <f ca="1"/>
        <v>225.27</v>
      </c>
      <c r="N168" vm="1412">
        <f ca="1"/>
        <v>44406</v>
      </c>
      <c r="O168" vm="1419">
        <f ca="1"/>
        <v>471.84</v>
      </c>
      <c r="P168" vm="1412">
        <f ca="1"/>
        <v>44406</v>
      </c>
      <c r="Q168" vm="1420">
        <f ca="1"/>
        <v>62.500999999999998</v>
      </c>
      <c r="R168" s="29">
        <f t="shared" ca="1" si="23"/>
        <v>9.7826846481717804E-4</v>
      </c>
      <c r="S168" s="30">
        <f t="shared" ca="1" si="24"/>
        <v>9.9940432854590516E-3</v>
      </c>
      <c r="T168" s="30">
        <f t="shared" ca="1" si="25"/>
        <v>3.9685753624361777E-3</v>
      </c>
      <c r="U168" s="30">
        <f t="shared" ca="1" si="26"/>
        <v>7.988907962498213E-3</v>
      </c>
      <c r="V168" s="30">
        <f t="shared" ca="1" si="27"/>
        <v>3.7474541751527417E-2</v>
      </c>
      <c r="W168" s="30">
        <f t="shared" ca="1" si="30"/>
        <v>8.731864588930759E-3</v>
      </c>
      <c r="X168" s="30">
        <f t="shared" ca="1" si="28"/>
        <v>-1.6672224074691565E-2</v>
      </c>
      <c r="Y168" s="31">
        <f t="shared" ca="1" si="29"/>
        <v>-3.3464780020103738E-2</v>
      </c>
    </row>
    <row r="169" spans="2:25" x14ac:dyDescent="0.45">
      <c r="B169" vm="1421">
        <f ca="1"/>
        <v>44407</v>
      </c>
      <c r="C169" vm="1422">
        <f ca="1"/>
        <v>284.91000000000003</v>
      </c>
      <c r="D169" vm="1421">
        <f ca="1"/>
        <v>44407</v>
      </c>
      <c r="E169" vm="1423">
        <f ca="1"/>
        <v>21.1828</v>
      </c>
      <c r="F169" vm="1421">
        <f ca="1"/>
        <v>44407</v>
      </c>
      <c r="G169" vm="1424">
        <f ca="1"/>
        <v>246.39</v>
      </c>
      <c r="H169" vm="1421">
        <f ca="1"/>
        <v>44407</v>
      </c>
      <c r="I169" vm="1425">
        <f ca="1"/>
        <v>153.22999999999999</v>
      </c>
      <c r="J169" vm="1421">
        <f ca="1"/>
        <v>44407</v>
      </c>
      <c r="K169" vm="1426">
        <f ca="1"/>
        <v>26.48</v>
      </c>
      <c r="L169" vm="1421">
        <f ca="1"/>
        <v>44407</v>
      </c>
      <c r="M169" vm="1427">
        <f ca="1"/>
        <v>228.67</v>
      </c>
      <c r="N169" vm="1421">
        <f ca="1"/>
        <v>44407</v>
      </c>
      <c r="O169" vm="1428">
        <f ca="1"/>
        <v>483.36</v>
      </c>
      <c r="P169" vm="1421">
        <f ca="1"/>
        <v>44407</v>
      </c>
      <c r="Q169" vm="1429">
        <f ca="1"/>
        <v>62.600999999999999</v>
      </c>
      <c r="R169" s="29">
        <f t="shared" ca="1" si="23"/>
        <v>-5.5497382198952004E-3</v>
      </c>
      <c r="S169" s="30">
        <f t="shared" ca="1" si="24"/>
        <v>-8.4815577607189885E-3</v>
      </c>
      <c r="T169" s="30">
        <f t="shared" ca="1" si="25"/>
        <v>-6.1713455953533447E-3</v>
      </c>
      <c r="U169" s="30">
        <f t="shared" ca="1" si="26"/>
        <v>3.6680421824851137E-3</v>
      </c>
      <c r="V169" s="30">
        <f t="shared" ca="1" si="27"/>
        <v>3.9654495484884242E-2</v>
      </c>
      <c r="W169" s="30">
        <f t="shared" ca="1" si="30"/>
        <v>1.5092999511696972E-2</v>
      </c>
      <c r="X169" s="30">
        <f t="shared" ca="1" si="28"/>
        <v>2.4415055951169971E-2</v>
      </c>
      <c r="Y169" s="31">
        <f t="shared" ca="1" si="29"/>
        <v>1.5999744004096162E-3</v>
      </c>
    </row>
    <row r="170" spans="2:25" x14ac:dyDescent="0.45">
      <c r="B170" vm="1430">
        <f ca="1"/>
        <v>44410</v>
      </c>
      <c r="C170" vm="1431">
        <f ca="1"/>
        <v>284.82</v>
      </c>
      <c r="D170" vm="1430">
        <f ca="1"/>
        <v>44410</v>
      </c>
      <c r="E170" vm="1432">
        <f ca="1"/>
        <v>21.228100000000001</v>
      </c>
      <c r="F170" vm="1430">
        <f ca="1"/>
        <v>44410</v>
      </c>
      <c r="G170" vm="1433">
        <f ca="1"/>
        <v>239.78</v>
      </c>
      <c r="H170" vm="1430">
        <f ca="1"/>
        <v>44410</v>
      </c>
      <c r="I170" vm="1434">
        <f ca="1"/>
        <v>153.07</v>
      </c>
      <c r="J170" vm="1430">
        <f ca="1"/>
        <v>44410</v>
      </c>
      <c r="K170" vm="1435">
        <f ca="1"/>
        <v>25.07</v>
      </c>
      <c r="L170" vm="1430">
        <f ca="1"/>
        <v>44410</v>
      </c>
      <c r="M170" vm="1436">
        <f ca="1"/>
        <v>228.4</v>
      </c>
      <c r="N170" vm="1430">
        <f ca="1"/>
        <v>44410</v>
      </c>
      <c r="O170" vm="1437">
        <f ca="1"/>
        <v>502.08</v>
      </c>
      <c r="P170" vm="1430">
        <f ca="1"/>
        <v>44410</v>
      </c>
      <c r="Q170" vm="1438">
        <f ca="1"/>
        <v>63.779000000000003</v>
      </c>
      <c r="R170" s="29">
        <f t="shared" ca="1" si="23"/>
        <v>-3.1588922817743086E-4</v>
      </c>
      <c r="S170" s="30">
        <f t="shared" ca="1" si="24"/>
        <v>2.1385274845629946E-3</v>
      </c>
      <c r="T170" s="30">
        <f t="shared" ca="1" si="25"/>
        <v>-2.682738747514098E-2</v>
      </c>
      <c r="U170" s="30">
        <f t="shared" ca="1" si="26"/>
        <v>-1.0441819487045396E-3</v>
      </c>
      <c r="V170" s="30">
        <f t="shared" ca="1" si="27"/>
        <v>-5.3247734138972817E-2</v>
      </c>
      <c r="W170" s="30">
        <f t="shared" ca="1" si="30"/>
        <v>-1.1807408055275368E-3</v>
      </c>
      <c r="X170" s="30">
        <f t="shared" ca="1" si="28"/>
        <v>3.8728897715988024E-2</v>
      </c>
      <c r="Y170" s="31">
        <f t="shared" ca="1" si="29"/>
        <v>1.88175907733104E-2</v>
      </c>
    </row>
    <row r="171" spans="2:25" x14ac:dyDescent="0.45">
      <c r="B171" vm="1439">
        <f ca="1"/>
        <v>44411</v>
      </c>
      <c r="C171" vm="1440">
        <f ca="1"/>
        <v>287.12</v>
      </c>
      <c r="D171" vm="1439">
        <f ca="1"/>
        <v>44411</v>
      </c>
      <c r="E171" vm="1441">
        <f ca="1"/>
        <v>21.288499999999999</v>
      </c>
      <c r="F171" vm="1439">
        <f ca="1"/>
        <v>44411</v>
      </c>
      <c r="G171" vm="1442">
        <f ca="1"/>
        <v>237.09</v>
      </c>
      <c r="H171" vm="1439">
        <f ca="1"/>
        <v>44411</v>
      </c>
      <c r="I171" vm="1443">
        <f ca="1"/>
        <v>153.86000000000001</v>
      </c>
      <c r="J171" vm="1439">
        <f ca="1"/>
        <v>44411</v>
      </c>
      <c r="K171" vm="1444">
        <f ca="1"/>
        <v>25.87</v>
      </c>
      <c r="L171" vm="1439">
        <f ca="1"/>
        <v>44411</v>
      </c>
      <c r="M171" vm="1445">
        <f ca="1"/>
        <v>217.95</v>
      </c>
      <c r="N171" vm="1439">
        <f ca="1"/>
        <v>44411</v>
      </c>
      <c r="O171" vm="1446">
        <f ca="1"/>
        <v>476.96</v>
      </c>
      <c r="P171" vm="1439">
        <f ca="1"/>
        <v>44411</v>
      </c>
      <c r="Q171" vm="1447">
        <f ca="1"/>
        <v>62.506</v>
      </c>
      <c r="R171" s="29">
        <f t="shared" ca="1" si="23"/>
        <v>8.0752756126676907E-3</v>
      </c>
      <c r="S171" s="30">
        <f t="shared" ca="1" si="24"/>
        <v>2.8452852586900281E-3</v>
      </c>
      <c r="T171" s="30">
        <f t="shared" ca="1" si="25"/>
        <v>-1.1218617065643498E-2</v>
      </c>
      <c r="U171" s="30">
        <f t="shared" ca="1" si="26"/>
        <v>5.1610374338539261E-3</v>
      </c>
      <c r="V171" s="30">
        <f t="shared" ca="1" si="27"/>
        <v>3.1910650179497436E-2</v>
      </c>
      <c r="W171" s="30">
        <f t="shared" ca="1" si="30"/>
        <v>-4.5753064798599023E-2</v>
      </c>
      <c r="X171" s="30">
        <f t="shared" ca="1" si="28"/>
        <v>-5.0031867431485036E-2</v>
      </c>
      <c r="Y171" s="31">
        <f t="shared" ca="1" si="29"/>
        <v>-1.9959547813543692E-2</v>
      </c>
    </row>
    <row r="172" spans="2:25" x14ac:dyDescent="0.45">
      <c r="B172" vm="1448">
        <f ca="1"/>
        <v>44412</v>
      </c>
      <c r="C172" vm="1449">
        <f ca="1"/>
        <v>286.51</v>
      </c>
      <c r="D172" vm="1448">
        <f ca="1"/>
        <v>44412</v>
      </c>
      <c r="E172" vm="1450">
        <f ca="1"/>
        <v>21.0318</v>
      </c>
      <c r="F172" vm="1448">
        <f ca="1"/>
        <v>44412</v>
      </c>
      <c r="G172" vm="1451">
        <f ca="1"/>
        <v>236.67</v>
      </c>
      <c r="H172" vm="1448">
        <f ca="1"/>
        <v>44412</v>
      </c>
      <c r="I172" vm="1452">
        <f ca="1"/>
        <v>154.27000000000001</v>
      </c>
      <c r="J172" vm="1448">
        <f ca="1"/>
        <v>44412</v>
      </c>
      <c r="K172" vm="1453">
        <f ca="1"/>
        <v>25.24</v>
      </c>
      <c r="L172" vm="1448">
        <f ca="1"/>
        <v>44412</v>
      </c>
      <c r="M172" vm="1454">
        <f ca="1"/>
        <v>217.42</v>
      </c>
      <c r="N172" vm="1448">
        <f ca="1"/>
        <v>44412</v>
      </c>
      <c r="O172" vm="1241">
        <f ca="1"/>
        <v>476.32</v>
      </c>
      <c r="P172" vm="1448">
        <f ca="1"/>
        <v>44412</v>
      </c>
      <c r="Q172" vm="1455">
        <f ca="1"/>
        <v>67.093000000000004</v>
      </c>
      <c r="R172" s="29">
        <f t="shared" ca="1" si="23"/>
        <v>-2.1245472276400588E-3</v>
      </c>
      <c r="S172" s="30">
        <f t="shared" ca="1" si="24"/>
        <v>-1.205815346313731E-2</v>
      </c>
      <c r="T172" s="30">
        <f t="shared" ca="1" si="25"/>
        <v>-1.7714791851196419E-3</v>
      </c>
      <c r="U172" s="30">
        <f t="shared" ca="1" si="26"/>
        <v>2.6647601715845352E-3</v>
      </c>
      <c r="V172" s="30">
        <f t="shared" ca="1" si="27"/>
        <v>-2.4352531890220429E-2</v>
      </c>
      <c r="W172" s="30">
        <f t="shared" ca="1" si="30"/>
        <v>-2.4317504014682318E-3</v>
      </c>
      <c r="X172" s="30">
        <f t="shared" ca="1" si="28"/>
        <v>-1.3418316001341545E-3</v>
      </c>
      <c r="Y172" s="31">
        <f t="shared" ca="1" si="29"/>
        <v>7.3384955044315803E-2</v>
      </c>
    </row>
    <row r="173" spans="2:25" x14ac:dyDescent="0.45">
      <c r="B173" vm="1456">
        <f ca="1"/>
        <v>44413</v>
      </c>
      <c r="C173" vm="1457">
        <f ca="1"/>
        <v>289.52</v>
      </c>
      <c r="D173" vm="1456">
        <f ca="1"/>
        <v>44413</v>
      </c>
      <c r="E173" vm="1458">
        <f ca="1"/>
        <v>21.099699999999999</v>
      </c>
      <c r="F173" vm="1456">
        <f ca="1"/>
        <v>44413</v>
      </c>
      <c r="G173" vm="1459">
        <f ca="1"/>
        <v>240.21</v>
      </c>
      <c r="H173" vm="1456">
        <f ca="1"/>
        <v>44413</v>
      </c>
      <c r="I173" vm="1460">
        <f ca="1"/>
        <v>155.04</v>
      </c>
      <c r="J173" vm="1456">
        <f ca="1"/>
        <v>44413</v>
      </c>
      <c r="K173" vm="1461">
        <f ca="1"/>
        <v>25.31</v>
      </c>
      <c r="L173" vm="1456">
        <f ca="1"/>
        <v>44413</v>
      </c>
      <c r="M173" vm="1462">
        <f ca="1"/>
        <v>221.13</v>
      </c>
      <c r="N173" vm="1456">
        <f ca="1"/>
        <v>44413</v>
      </c>
      <c r="O173" vm="1463">
        <f ca="1"/>
        <v>464.8</v>
      </c>
      <c r="P173" vm="1456">
        <f ca="1"/>
        <v>44413</v>
      </c>
      <c r="Q173" vm="1464">
        <f ca="1"/>
        <v>71.561999999999998</v>
      </c>
      <c r="R173" s="29">
        <f t="shared" ca="1" si="23"/>
        <v>1.0505741509894912E-2</v>
      </c>
      <c r="S173" s="30">
        <f t="shared" ca="1" si="24"/>
        <v>3.2284445458780546E-3</v>
      </c>
      <c r="T173" s="30">
        <f t="shared" ca="1" si="25"/>
        <v>1.4957535809354884E-2</v>
      </c>
      <c r="U173" s="30">
        <f t="shared" ca="1" si="26"/>
        <v>4.9912491087053977E-3</v>
      </c>
      <c r="V173" s="30">
        <f t="shared" ca="1" si="27"/>
        <v>2.7733755942947816E-3</v>
      </c>
      <c r="W173" s="30">
        <f t="shared" ca="1" si="30"/>
        <v>1.7063747585318777E-2</v>
      </c>
      <c r="X173" s="30">
        <f t="shared" ca="1" si="28"/>
        <v>-2.4185421565334191E-2</v>
      </c>
      <c r="Y173" s="31">
        <f t="shared" ca="1" si="29"/>
        <v>6.6609035219769477E-2</v>
      </c>
    </row>
    <row r="174" spans="2:25" x14ac:dyDescent="0.45">
      <c r="B174" vm="1465">
        <f ca="1"/>
        <v>44414</v>
      </c>
      <c r="C174" vm="1466">
        <f ca="1"/>
        <v>289.45999999999998</v>
      </c>
      <c r="D174" vm="1465">
        <f ca="1"/>
        <v>44414</v>
      </c>
      <c r="E174" vm="1467">
        <f ca="1"/>
        <v>21.114799999999999</v>
      </c>
      <c r="F174" vm="1465">
        <f ca="1"/>
        <v>44414</v>
      </c>
      <c r="G174" vm="1468">
        <f ca="1"/>
        <v>241.4</v>
      </c>
      <c r="H174" vm="1465">
        <f ca="1"/>
        <v>44414</v>
      </c>
      <c r="I174" vm="1469">
        <f ca="1"/>
        <v>155.69999999999999</v>
      </c>
      <c r="J174" vm="1465">
        <f ca="1"/>
        <v>44414</v>
      </c>
      <c r="K174" vm="1470">
        <f ca="1"/>
        <v>25.91</v>
      </c>
      <c r="L174" vm="1465">
        <f ca="1"/>
        <v>44414</v>
      </c>
      <c r="M174" vm="1471">
        <f ca="1"/>
        <v>221.97</v>
      </c>
      <c r="N174" vm="1465">
        <f ca="1"/>
        <v>44414</v>
      </c>
      <c r="O174" vm="1472">
        <f ca="1"/>
        <v>452.8</v>
      </c>
      <c r="P174" vm="1465">
        <f ca="1"/>
        <v>44414</v>
      </c>
      <c r="Q174" vm="1473">
        <f ca="1"/>
        <v>74.872</v>
      </c>
      <c r="R174" s="29">
        <f t="shared" ca="1" si="23"/>
        <v>-2.0723956894170447E-4</v>
      </c>
      <c r="S174" s="30">
        <f t="shared" ca="1" si="24"/>
        <v>7.1564998554483417E-4</v>
      </c>
      <c r="T174" s="30">
        <f t="shared" ca="1" si="25"/>
        <v>4.9539985845718235E-3</v>
      </c>
      <c r="U174" s="30">
        <f t="shared" ca="1" si="26"/>
        <v>4.2569659442724238E-3</v>
      </c>
      <c r="V174" s="30">
        <f t="shared" ca="1" si="27"/>
        <v>2.3706045041485636E-2</v>
      </c>
      <c r="W174" s="30">
        <f t="shared" ca="1" si="30"/>
        <v>3.7986704653371474E-3</v>
      </c>
      <c r="X174" s="30">
        <f t="shared" ca="1" si="28"/>
        <v>-2.5817555938037865E-2</v>
      </c>
      <c r="Y174" s="31">
        <f t="shared" ca="1" si="29"/>
        <v>4.625359827841595E-2</v>
      </c>
    </row>
    <row r="175" spans="2:25" x14ac:dyDescent="0.45">
      <c r="B175" vm="1474">
        <f ca="1"/>
        <v>44417</v>
      </c>
      <c r="C175" vm="1475">
        <f ca="1"/>
        <v>288.33</v>
      </c>
      <c r="D175" vm="1474">
        <f ca="1"/>
        <v>44417</v>
      </c>
      <c r="E175" vm="1450">
        <f ca="1"/>
        <v>21.0318</v>
      </c>
      <c r="F175" vm="1474">
        <f ca="1"/>
        <v>44417</v>
      </c>
      <c r="G175" vm="1277">
        <f ca="1"/>
        <v>240</v>
      </c>
      <c r="H175" vm="1474">
        <f ca="1"/>
        <v>44417</v>
      </c>
      <c r="I175" vm="1476">
        <f ca="1"/>
        <v>156.54</v>
      </c>
      <c r="J175" vm="1474">
        <f ca="1"/>
        <v>44417</v>
      </c>
      <c r="K175" vm="1477">
        <f ca="1"/>
        <v>27.03</v>
      </c>
      <c r="L175" vm="1474">
        <f ca="1"/>
        <v>44417</v>
      </c>
      <c r="M175" vm="1478">
        <f ca="1"/>
        <v>224.78</v>
      </c>
      <c r="N175" vm="1474">
        <f ca="1"/>
        <v>44417</v>
      </c>
      <c r="O175" vm="1479">
        <f ca="1"/>
        <v>448.16</v>
      </c>
      <c r="P175" vm="1474">
        <f ca="1"/>
        <v>44417</v>
      </c>
      <c r="Q175" vm="1480">
        <f ca="1"/>
        <v>76.772999999999996</v>
      </c>
      <c r="R175" s="29">
        <f t="shared" ca="1" si="23"/>
        <v>-3.9038209078974487E-3</v>
      </c>
      <c r="S175" s="30">
        <f t="shared" ca="1" si="24"/>
        <v>-3.9308920757003818E-3</v>
      </c>
      <c r="T175" s="30">
        <f t="shared" ca="1" si="25"/>
        <v>-5.7995028997514736E-3</v>
      </c>
      <c r="U175" s="30">
        <f t="shared" ca="1" si="26"/>
        <v>5.3949903660886539E-3</v>
      </c>
      <c r="V175" s="30">
        <f t="shared" ca="1" si="27"/>
        <v>4.32265534542648E-2</v>
      </c>
      <c r="W175" s="30">
        <f t="shared" ca="1" si="30"/>
        <v>1.2659368383114846E-2</v>
      </c>
      <c r="X175" s="30">
        <f t="shared" ca="1" si="28"/>
        <v>-1.0247349823321525E-2</v>
      </c>
      <c r="Y175" s="31">
        <f t="shared" ca="1" si="29"/>
        <v>2.5389998931509727E-2</v>
      </c>
    </row>
    <row r="176" spans="2:25" x14ac:dyDescent="0.45">
      <c r="B176" vm="1481">
        <f ca="1"/>
        <v>44418</v>
      </c>
      <c r="C176" vm="1482">
        <f ca="1"/>
        <v>286.44</v>
      </c>
      <c r="D176" vm="1481">
        <f ca="1"/>
        <v>44418</v>
      </c>
      <c r="E176" vm="523">
        <f ca="1"/>
        <v>21.213000000000001</v>
      </c>
      <c r="F176" vm="1481">
        <f ca="1"/>
        <v>44418</v>
      </c>
      <c r="G176" vm="1483">
        <f ca="1"/>
        <v>238.07</v>
      </c>
      <c r="H176" vm="1481">
        <f ca="1"/>
        <v>44418</v>
      </c>
      <c r="I176" vm="1484">
        <f ca="1"/>
        <v>156.52000000000001</v>
      </c>
      <c r="J176" vm="1481">
        <f ca="1"/>
        <v>44418</v>
      </c>
      <c r="K176" vm="1485">
        <f ca="1"/>
        <v>28.31</v>
      </c>
      <c r="L176" vm="1481">
        <f ca="1"/>
        <v>44418</v>
      </c>
      <c r="M176" vm="1486">
        <f ca="1"/>
        <v>215.48</v>
      </c>
      <c r="N176" vm="1481">
        <f ca="1"/>
        <v>44418</v>
      </c>
      <c r="O176" vm="1487">
        <f ca="1"/>
        <v>440.48</v>
      </c>
      <c r="P176" vm="1481">
        <f ca="1"/>
        <v>44418</v>
      </c>
      <c r="Q176" vm="1488">
        <f ca="1"/>
        <v>75.049000000000007</v>
      </c>
      <c r="R176" s="29">
        <f t="shared" ca="1" si="23"/>
        <v>-6.5549890750181616E-3</v>
      </c>
      <c r="S176" s="30">
        <f t="shared" ca="1" si="24"/>
        <v>8.6155250620489204E-3</v>
      </c>
      <c r="T176" s="30">
        <f t="shared" ca="1" si="25"/>
        <v>-8.0416666666666952E-3</v>
      </c>
      <c r="U176" s="30">
        <f t="shared" ca="1" si="26"/>
        <v>-1.2776287210924882E-4</v>
      </c>
      <c r="V176" s="30">
        <f t="shared" ca="1" si="27"/>
        <v>4.7354790972992881E-2</v>
      </c>
      <c r="W176" s="30">
        <f t="shared" ca="1" si="30"/>
        <v>-4.1373787703532394E-2</v>
      </c>
      <c r="X176" s="30">
        <f t="shared" ca="1" si="28"/>
        <v>-1.7136736879685841E-2</v>
      </c>
      <c r="Y176" s="31">
        <f t="shared" ca="1" si="29"/>
        <v>-2.2455811287822407E-2</v>
      </c>
    </row>
    <row r="177" spans="2:25" x14ac:dyDescent="0.45">
      <c r="B177" vm="1489">
        <f ca="1"/>
        <v>44419</v>
      </c>
      <c r="C177" vm="1490">
        <f ca="1"/>
        <v>286.95</v>
      </c>
      <c r="D177" vm="1489">
        <f ca="1"/>
        <v>44419</v>
      </c>
      <c r="E177" vm="1491">
        <f ca="1"/>
        <v>21.265899999999998</v>
      </c>
      <c r="F177" vm="1489">
        <f ca="1"/>
        <v>44419</v>
      </c>
      <c r="G177" vm="1492">
        <f ca="1"/>
        <v>235.06</v>
      </c>
      <c r="H177" vm="1489">
        <f ca="1"/>
        <v>44419</v>
      </c>
      <c r="I177" vm="1484">
        <f ca="1"/>
        <v>156.52000000000001</v>
      </c>
      <c r="J177" vm="1489">
        <f ca="1"/>
        <v>44419</v>
      </c>
      <c r="K177" vm="1493">
        <f ca="1"/>
        <v>28.35</v>
      </c>
      <c r="L177" vm="1489">
        <f ca="1"/>
        <v>44419</v>
      </c>
      <c r="M177" vm="1494">
        <f ca="1"/>
        <v>214</v>
      </c>
      <c r="N177" vm="1489">
        <f ca="1"/>
        <v>44419</v>
      </c>
      <c r="O177" vm="1495">
        <f ca="1"/>
        <v>428.48</v>
      </c>
      <c r="P177" vm="1489">
        <f ca="1"/>
        <v>44419</v>
      </c>
      <c r="Q177" vm="1496">
        <f ca="1"/>
        <v>74.748999999999995</v>
      </c>
      <c r="R177" s="29">
        <f t="shared" ca="1" si="23"/>
        <v>1.7804775869291682E-3</v>
      </c>
      <c r="S177" s="30">
        <f t="shared" ca="1" si="24"/>
        <v>2.4937538301983454E-3</v>
      </c>
      <c r="T177" s="30">
        <f t="shared" ca="1" si="25"/>
        <v>-1.2643340194060533E-2</v>
      </c>
      <c r="U177" s="30">
        <f t="shared" ca="1" si="26"/>
        <v>0</v>
      </c>
      <c r="V177" s="30">
        <f t="shared" ca="1" si="27"/>
        <v>1.4129282938891805E-3</v>
      </c>
      <c r="W177" s="30">
        <f t="shared" ca="1" si="30"/>
        <v>-6.8683868572488854E-3</v>
      </c>
      <c r="X177" s="30">
        <f t="shared" ca="1" si="28"/>
        <v>-2.7243007628042135E-2</v>
      </c>
      <c r="Y177" s="31">
        <f t="shared" ca="1" si="29"/>
        <v>-3.9973883729298373E-3</v>
      </c>
    </row>
    <row r="178" spans="2:25" x14ac:dyDescent="0.45">
      <c r="B178" vm="1497">
        <f ca="1"/>
        <v>44420</v>
      </c>
      <c r="C178" vm="1498">
        <f ca="1"/>
        <v>289.81</v>
      </c>
      <c r="D178" vm="1497">
        <f ca="1"/>
        <v>44420</v>
      </c>
      <c r="E178" vm="1499">
        <f ca="1"/>
        <v>21.1601</v>
      </c>
      <c r="F178" vm="1497">
        <f ca="1"/>
        <v>44420</v>
      </c>
      <c r="G178" vm="1500">
        <f ca="1"/>
        <v>231.79</v>
      </c>
      <c r="H178" vm="1497">
        <f ca="1"/>
        <v>44420</v>
      </c>
      <c r="I178" vm="1501">
        <f ca="1"/>
        <v>158.15</v>
      </c>
      <c r="J178" vm="1497">
        <f ca="1"/>
        <v>44420</v>
      </c>
      <c r="K178" vm="1502">
        <f ca="1"/>
        <v>28.08</v>
      </c>
      <c r="L178" vm="1497">
        <f ca="1"/>
        <v>44420</v>
      </c>
      <c r="M178" vm="1503">
        <f ca="1"/>
        <v>215.04</v>
      </c>
      <c r="N178" vm="1497">
        <f ca="1"/>
        <v>44420</v>
      </c>
      <c r="O178" vm="1504">
        <f ca="1"/>
        <v>419.84</v>
      </c>
      <c r="P178" vm="1497">
        <f ca="1"/>
        <v>44420</v>
      </c>
      <c r="Q178" vm="1505">
        <f ca="1"/>
        <v>72.099000000000004</v>
      </c>
      <c r="R178" s="29">
        <f t="shared" ca="1" si="23"/>
        <v>9.966893186966419E-3</v>
      </c>
      <c r="S178" s="30">
        <f t="shared" ca="1" si="24"/>
        <v>-4.9751009832642197E-3</v>
      </c>
      <c r="T178" s="30">
        <f t="shared" ca="1" si="25"/>
        <v>-1.3911341785076194E-2</v>
      </c>
      <c r="U178" s="30">
        <f t="shared" ca="1" si="26"/>
        <v>1.0414004600051083E-2</v>
      </c>
      <c r="V178" s="30">
        <f t="shared" ca="1" si="27"/>
        <v>-9.523809523809634E-3</v>
      </c>
      <c r="W178" s="30">
        <f t="shared" ca="1" si="30"/>
        <v>4.8598130841121124E-3</v>
      </c>
      <c r="X178" s="30">
        <f t="shared" ca="1" si="28"/>
        <v>-2.0164301717699874E-2</v>
      </c>
      <c r="Y178" s="31">
        <f t="shared" ca="1" si="29"/>
        <v>-3.5451979290692742E-2</v>
      </c>
    </row>
    <row r="179" spans="2:25" x14ac:dyDescent="0.45">
      <c r="B179" vm="1506">
        <f ca="1"/>
        <v>44421</v>
      </c>
      <c r="C179" vm="1507">
        <f ca="1"/>
        <v>292.85000000000002</v>
      </c>
      <c r="D179" vm="1506">
        <f ca="1"/>
        <v>44421</v>
      </c>
      <c r="E179" vm="1441">
        <f ca="1"/>
        <v>21.288499999999999</v>
      </c>
      <c r="F179" vm="1506">
        <f ca="1"/>
        <v>44421</v>
      </c>
      <c r="G179" vm="1508">
        <f ca="1"/>
        <v>232.65</v>
      </c>
      <c r="H179" vm="1506">
        <f ca="1"/>
        <v>44421</v>
      </c>
      <c r="I179" vm="1509">
        <f ca="1"/>
        <v>159.22999999999999</v>
      </c>
      <c r="J179" vm="1506">
        <f ca="1"/>
        <v>44421</v>
      </c>
      <c r="K179" vm="1510">
        <f ca="1"/>
        <v>28.98</v>
      </c>
      <c r="L179" vm="1506">
        <f ca="1"/>
        <v>44421</v>
      </c>
      <c r="M179" vm="1511">
        <f ca="1"/>
        <v>211.48</v>
      </c>
      <c r="N179" vm="1506">
        <f ca="1"/>
        <v>44421</v>
      </c>
      <c r="O179" vm="1512">
        <f ca="1"/>
        <v>420.48</v>
      </c>
      <c r="P179" vm="1506">
        <f ca="1"/>
        <v>44421</v>
      </c>
      <c r="Q179" vm="1513">
        <f ca="1"/>
        <v>72.8</v>
      </c>
      <c r="R179" s="29">
        <f t="shared" ca="1" si="23"/>
        <v>1.0489631137641973E-2</v>
      </c>
      <c r="S179" s="30">
        <f t="shared" ca="1" si="24"/>
        <v>6.0680242531934714E-3</v>
      </c>
      <c r="T179" s="30">
        <f t="shared" ca="1" si="25"/>
        <v>3.7102549721731467E-3</v>
      </c>
      <c r="U179" s="30">
        <f t="shared" ca="1" si="26"/>
        <v>6.8289598482452361E-3</v>
      </c>
      <c r="V179" s="30">
        <f t="shared" ca="1" si="27"/>
        <v>3.2051282051282132E-2</v>
      </c>
      <c r="W179" s="30">
        <f t="shared" ca="1" si="30"/>
        <v>-1.6555059523809534E-2</v>
      </c>
      <c r="X179" s="30">
        <f t="shared" ca="1" si="28"/>
        <v>1.5243902439025421E-3</v>
      </c>
      <c r="Y179" s="31">
        <f t="shared" ca="1" si="29"/>
        <v>9.7227423403929789E-3</v>
      </c>
    </row>
    <row r="180" spans="2:25" x14ac:dyDescent="0.45">
      <c r="B180" vm="1514">
        <f ca="1"/>
        <v>44424</v>
      </c>
      <c r="C180" vm="1515">
        <f ca="1"/>
        <v>294.60000000000002</v>
      </c>
      <c r="D180" vm="1514">
        <f ca="1"/>
        <v>44424</v>
      </c>
      <c r="E180" vm="1397">
        <f ca="1"/>
        <v>21.296099999999999</v>
      </c>
      <c r="F180" vm="1514">
        <f ca="1"/>
        <v>44424</v>
      </c>
      <c r="G180" vm="1516">
        <f ca="1"/>
        <v>235.36</v>
      </c>
      <c r="H180" vm="1514">
        <f ca="1"/>
        <v>44424</v>
      </c>
      <c r="I180" vm="1517">
        <f ca="1"/>
        <v>162.07</v>
      </c>
      <c r="J180" vm="1514">
        <f ca="1"/>
        <v>44424</v>
      </c>
      <c r="K180" vm="1510">
        <f ca="1"/>
        <v>28.98</v>
      </c>
      <c r="L180" vm="1514">
        <f ca="1"/>
        <v>44424</v>
      </c>
      <c r="M180" vm="1518">
        <f ca="1"/>
        <v>208.83</v>
      </c>
      <c r="N180" vm="1514">
        <f ca="1"/>
        <v>44424</v>
      </c>
      <c r="O180" vm="1519">
        <f ca="1"/>
        <v>421.12</v>
      </c>
      <c r="P180" vm="1514">
        <f ca="1"/>
        <v>44424</v>
      </c>
      <c r="Q180" vm="1520">
        <f ca="1"/>
        <v>69.751000000000005</v>
      </c>
      <c r="R180" s="29">
        <f t="shared" ca="1" si="23"/>
        <v>5.9757555062318586E-3</v>
      </c>
      <c r="S180" s="30">
        <f t="shared" ca="1" si="24"/>
        <v>3.5700025835545254E-4</v>
      </c>
      <c r="T180" s="30">
        <f t="shared" ca="1" si="25"/>
        <v>1.164839888244147E-2</v>
      </c>
      <c r="U180" s="30">
        <f t="shared" ca="1" si="26"/>
        <v>1.7835834955724446E-2</v>
      </c>
      <c r="V180" s="30">
        <f t="shared" ca="1" si="27"/>
        <v>0</v>
      </c>
      <c r="W180" s="30">
        <f t="shared" ca="1" si="30"/>
        <v>-1.2530735766975493E-2</v>
      </c>
      <c r="X180" s="30">
        <f t="shared" ca="1" si="28"/>
        <v>1.5220700152206675E-3</v>
      </c>
      <c r="Y180" s="31">
        <f t="shared" ca="1" si="29"/>
        <v>-4.1881868131868026E-2</v>
      </c>
    </row>
    <row r="181" spans="2:25" x14ac:dyDescent="0.45">
      <c r="B181" vm="1521">
        <f ca="1"/>
        <v>44425</v>
      </c>
      <c r="C181" vm="1522">
        <f ca="1"/>
        <v>293.08</v>
      </c>
      <c r="D181" vm="1521">
        <f ca="1"/>
        <v>44425</v>
      </c>
      <c r="E181" vm="1441">
        <f ca="1"/>
        <v>21.288499999999999</v>
      </c>
      <c r="F181" vm="1521">
        <f ca="1"/>
        <v>44425</v>
      </c>
      <c r="G181" vm="1523">
        <f ca="1"/>
        <v>234.53</v>
      </c>
      <c r="H181" vm="1521">
        <f ca="1"/>
        <v>44425</v>
      </c>
      <c r="I181" vm="1524">
        <f ca="1"/>
        <v>160.91</v>
      </c>
      <c r="J181" vm="1521">
        <f ca="1"/>
        <v>44425</v>
      </c>
      <c r="K181" vm="1525">
        <f ca="1"/>
        <v>28.26</v>
      </c>
      <c r="L181" vm="1521">
        <f ca="1"/>
        <v>44425</v>
      </c>
      <c r="M181" vm="1526">
        <f ca="1"/>
        <v>206.16</v>
      </c>
      <c r="N181" vm="1521">
        <f ca="1"/>
        <v>44425</v>
      </c>
      <c r="O181" vm="1527">
        <f ca="1"/>
        <v>435.2</v>
      </c>
      <c r="P181" vm="1521">
        <f ca="1"/>
        <v>44425</v>
      </c>
      <c r="Q181" vm="1528">
        <f ca="1"/>
        <v>66.369</v>
      </c>
      <c r="R181" s="29">
        <f t="shared" ca="1" si="23"/>
        <v>-5.1595383570944963E-3</v>
      </c>
      <c r="S181" s="30">
        <f t="shared" ca="1" si="24"/>
        <v>-3.5687285465414096E-4</v>
      </c>
      <c r="T181" s="30">
        <f t="shared" ca="1" si="25"/>
        <v>-3.526512576478639E-3</v>
      </c>
      <c r="U181" s="30">
        <f t="shared" ca="1" si="26"/>
        <v>-7.1574011229715347E-3</v>
      </c>
      <c r="V181" s="30">
        <f t="shared" ca="1" si="27"/>
        <v>-2.484472049689437E-2</v>
      </c>
      <c r="W181" s="30">
        <f t="shared" ca="1" si="30"/>
        <v>-1.2785519321936578E-2</v>
      </c>
      <c r="X181" s="30">
        <f t="shared" ca="1" si="28"/>
        <v>3.3434650455927015E-2</v>
      </c>
      <c r="Y181" s="31">
        <f t="shared" ca="1" si="29"/>
        <v>-4.8486760046451013E-2</v>
      </c>
    </row>
    <row r="182" spans="2:25" x14ac:dyDescent="0.45">
      <c r="B182" vm="1529">
        <f ca="1"/>
        <v>44426</v>
      </c>
      <c r="C182" vm="1530">
        <f ca="1"/>
        <v>290.73</v>
      </c>
      <c r="D182" vm="1529">
        <f ca="1"/>
        <v>44426</v>
      </c>
      <c r="E182" vm="1531">
        <f ca="1"/>
        <v>21.0167</v>
      </c>
      <c r="F182" vm="1529">
        <f ca="1"/>
        <v>44426</v>
      </c>
      <c r="G182" vm="1532">
        <f ca="1"/>
        <v>231.63</v>
      </c>
      <c r="H182" vm="1529">
        <f ca="1"/>
        <v>44426</v>
      </c>
      <c r="I182" vm="1533">
        <f ca="1"/>
        <v>163.02000000000001</v>
      </c>
      <c r="J182" vm="1529">
        <f ca="1"/>
        <v>44426</v>
      </c>
      <c r="K182" vm="1534">
        <f ca="1"/>
        <v>29.45</v>
      </c>
      <c r="L182" vm="1529">
        <f ca="1"/>
        <v>44426</v>
      </c>
      <c r="M182" vm="1535">
        <f ca="1"/>
        <v>205.42</v>
      </c>
      <c r="N182" vm="1529">
        <f ca="1"/>
        <v>44426</v>
      </c>
      <c r="O182" vm="1536">
        <f ca="1"/>
        <v>465.12</v>
      </c>
      <c r="P182" vm="1529">
        <f ca="1"/>
        <v>44426</v>
      </c>
      <c r="Q182" vm="1537">
        <f ca="1"/>
        <v>65.504999999999995</v>
      </c>
      <c r="R182" s="29">
        <f t="shared" ca="1" si="23"/>
        <v>-8.0182885219051651E-3</v>
      </c>
      <c r="S182" s="30">
        <f t="shared" ca="1" si="24"/>
        <v>-1.2767456608027758E-2</v>
      </c>
      <c r="T182" s="30">
        <f t="shared" ca="1" si="25"/>
        <v>-1.2365155843602121E-2</v>
      </c>
      <c r="U182" s="30">
        <f t="shared" ca="1" si="26"/>
        <v>1.3112920265987283E-2</v>
      </c>
      <c r="V182" s="30">
        <f t="shared" ca="1" si="27"/>
        <v>4.2108987968860499E-2</v>
      </c>
      <c r="W182" s="30">
        <f t="shared" ca="1" si="30"/>
        <v>-3.5894450911913519E-3</v>
      </c>
      <c r="X182" s="30">
        <f t="shared" ca="1" si="28"/>
        <v>6.8750000000000033E-2</v>
      </c>
      <c r="Y182" s="31">
        <f t="shared" ca="1" si="29"/>
        <v>-1.301812593228773E-2</v>
      </c>
    </row>
    <row r="183" spans="2:25" x14ac:dyDescent="0.45">
      <c r="B183" vm="1538">
        <f ca="1"/>
        <v>44427</v>
      </c>
      <c r="C183" vm="1539">
        <f ca="1"/>
        <v>296.77</v>
      </c>
      <c r="D183" vm="1538">
        <f ca="1"/>
        <v>44427</v>
      </c>
      <c r="E183" vm="1540">
        <f ca="1"/>
        <v>20.790099999999999</v>
      </c>
      <c r="F183" vm="1538">
        <f ca="1"/>
        <v>44427</v>
      </c>
      <c r="G183" vm="1541">
        <f ca="1"/>
        <v>231.57</v>
      </c>
      <c r="H183" vm="1538">
        <f ca="1"/>
        <v>44427</v>
      </c>
      <c r="I183" vm="1542">
        <f ca="1"/>
        <v>167.67</v>
      </c>
      <c r="J183" vm="1538">
        <f ca="1"/>
        <v>44427</v>
      </c>
      <c r="K183" vm="1543">
        <f ca="1"/>
        <v>27.33</v>
      </c>
      <c r="L183" vm="1538">
        <f ca="1"/>
        <v>44427</v>
      </c>
      <c r="M183" vm="1544">
        <f ca="1"/>
        <v>205.08</v>
      </c>
      <c r="N183" vm="1538">
        <f ca="1"/>
        <v>44427</v>
      </c>
      <c r="O183" vm="1545">
        <f ca="1"/>
        <v>480.24</v>
      </c>
      <c r="P183" vm="1538">
        <f ca="1"/>
        <v>44427</v>
      </c>
      <c r="Q183" vm="1546">
        <f ca="1"/>
        <v>67.626000000000005</v>
      </c>
      <c r="R183" s="29">
        <f t="shared" ca="1" si="23"/>
        <v>2.0775289787775472E-2</v>
      </c>
      <c r="S183" s="30">
        <f t="shared" ca="1" si="24"/>
        <v>-1.0781902011257774E-2</v>
      </c>
      <c r="T183" s="30">
        <f t="shared" ca="1" si="25"/>
        <v>-2.5903380391142027E-4</v>
      </c>
      <c r="U183" s="30">
        <f t="shared" ca="1" si="26"/>
        <v>2.8524107471475751E-2</v>
      </c>
      <c r="V183" s="30">
        <f t="shared" ca="1" si="27"/>
        <v>-7.1986417657045873E-2</v>
      </c>
      <c r="W183" s="30">
        <f t="shared" ca="1" si="30"/>
        <v>-1.6551455554472544E-3</v>
      </c>
      <c r="X183" s="30">
        <f t="shared" ca="1" si="28"/>
        <v>3.2507739938080503E-2</v>
      </c>
      <c r="Y183" s="31">
        <f t="shared" ca="1" si="29"/>
        <v>3.2379207694069302E-2</v>
      </c>
    </row>
    <row r="184" spans="2:25" x14ac:dyDescent="0.45">
      <c r="B184" vm="1547">
        <f ca="1"/>
        <v>44428</v>
      </c>
      <c r="C184" vm="1548">
        <f ca="1"/>
        <v>304.36</v>
      </c>
      <c r="D184" vm="1547">
        <f ca="1"/>
        <v>44428</v>
      </c>
      <c r="E184" vm="1549">
        <f ca="1"/>
        <v>20.8203</v>
      </c>
      <c r="F184" vm="1547">
        <f ca="1"/>
        <v>44428</v>
      </c>
      <c r="G184" vm="1550">
        <f ca="1"/>
        <v>231.36</v>
      </c>
      <c r="H184" vm="1547">
        <f ca="1"/>
        <v>44428</v>
      </c>
      <c r="I184" vm="1551">
        <f ca="1"/>
        <v>168.13</v>
      </c>
      <c r="J184" vm="1547">
        <f ca="1"/>
        <v>44428</v>
      </c>
      <c r="K184" vm="1552">
        <f ca="1"/>
        <v>27.01</v>
      </c>
      <c r="L184" vm="1547">
        <f ca="1"/>
        <v>44428</v>
      </c>
      <c r="M184" vm="1553">
        <f ca="1"/>
        <v>216.64</v>
      </c>
      <c r="N184" vm="1547">
        <f ca="1"/>
        <v>44428</v>
      </c>
      <c r="O184" vm="1554">
        <f ca="1"/>
        <v>444.16</v>
      </c>
      <c r="P184" vm="1547">
        <f ca="1"/>
        <v>44428</v>
      </c>
      <c r="Q184" vm="1555">
        <f ca="1"/>
        <v>71.656000000000006</v>
      </c>
      <c r="R184" s="29">
        <f t="shared" ca="1" si="23"/>
        <v>2.5575361390976287E-2</v>
      </c>
      <c r="S184" s="30">
        <f t="shared" ca="1" si="24"/>
        <v>1.4526144655389187E-3</v>
      </c>
      <c r="T184" s="30">
        <f t="shared" ca="1" si="25"/>
        <v>-9.0685321932884025E-4</v>
      </c>
      <c r="U184" s="30">
        <f t="shared" ca="1" si="26"/>
        <v>2.743484224965754E-3</v>
      </c>
      <c r="V184" s="30">
        <f t="shared" ca="1" si="27"/>
        <v>-1.1708744968898527E-2</v>
      </c>
      <c r="W184" s="30">
        <f t="shared" ca="1" si="30"/>
        <v>5.6368246537936283E-2</v>
      </c>
      <c r="X184" s="30">
        <f t="shared" ca="1" si="28"/>
        <v>-7.5129102115608831E-2</v>
      </c>
      <c r="Y184" s="31">
        <f t="shared" ca="1" si="29"/>
        <v>5.9592464436755109E-2</v>
      </c>
    </row>
    <row r="185" spans="2:25" x14ac:dyDescent="0.45">
      <c r="B185" vm="1556">
        <f ca="1"/>
        <v>44431</v>
      </c>
      <c r="C185" vm="1557">
        <f ca="1"/>
        <v>304.64999999999998</v>
      </c>
      <c r="D185" vm="1556">
        <f ca="1"/>
        <v>44431</v>
      </c>
      <c r="E185" vm="1558">
        <f ca="1"/>
        <v>20.782599999999999</v>
      </c>
      <c r="F185" vm="1556">
        <f ca="1"/>
        <v>44431</v>
      </c>
      <c r="G185" vm="1559">
        <f ca="1"/>
        <v>234.14</v>
      </c>
      <c r="H185" vm="1556">
        <f ca="1"/>
        <v>44431</v>
      </c>
      <c r="I185" vm="1560">
        <f ca="1"/>
        <v>170</v>
      </c>
      <c r="J185" vm="1556">
        <f ca="1"/>
        <v>44431</v>
      </c>
      <c r="K185" vm="1561">
        <f ca="1"/>
        <v>27.26</v>
      </c>
      <c r="L185" vm="1556">
        <f ca="1"/>
        <v>44431</v>
      </c>
      <c r="M185" vm="1562">
        <f ca="1"/>
        <v>221.5</v>
      </c>
      <c r="N185" vm="1556">
        <f ca="1"/>
        <v>44431</v>
      </c>
      <c r="O185" vm="1563">
        <f ca="1"/>
        <v>428.96</v>
      </c>
      <c r="P185" vm="1556">
        <f ca="1"/>
        <v>44431</v>
      </c>
      <c r="Q185" vm="1564">
        <f ca="1"/>
        <v>71.850999999999999</v>
      </c>
      <c r="R185" s="29">
        <f t="shared" ca="1" si="23"/>
        <v>9.5281903009581943E-4</v>
      </c>
      <c r="S185" s="30">
        <f t="shared" ca="1" si="24"/>
        <v>-1.8107327944362451E-3</v>
      </c>
      <c r="T185" s="30">
        <f t="shared" ca="1" si="25"/>
        <v>1.2015905947441098E-2</v>
      </c>
      <c r="U185" s="30">
        <f t="shared" ca="1" si="26"/>
        <v>1.1122345803842292E-2</v>
      </c>
      <c r="V185" s="30">
        <f t="shared" ca="1" si="27"/>
        <v>9.2558311736393919E-3</v>
      </c>
      <c r="W185" s="30">
        <f t="shared" ca="1" si="30"/>
        <v>2.2433530280649989E-2</v>
      </c>
      <c r="X185" s="30">
        <f t="shared" ca="1" si="28"/>
        <v>-3.4221902017291167E-2</v>
      </c>
      <c r="Y185" s="31">
        <f t="shared" ca="1" si="29"/>
        <v>2.7213352685049844E-3</v>
      </c>
    </row>
    <row r="186" spans="2:25" x14ac:dyDescent="0.45">
      <c r="B186" vm="1565">
        <f ca="1"/>
        <v>44432</v>
      </c>
      <c r="C186" vm="1566">
        <f ca="1"/>
        <v>302.62</v>
      </c>
      <c r="D186" vm="1565">
        <f ca="1"/>
        <v>44432</v>
      </c>
      <c r="E186" vm="1567">
        <f ca="1"/>
        <v>20.729700000000001</v>
      </c>
      <c r="F186" vm="1565">
        <f ca="1"/>
        <v>44432</v>
      </c>
      <c r="G186" vm="1568">
        <f ca="1"/>
        <v>234.24</v>
      </c>
      <c r="H186" vm="1565">
        <f ca="1"/>
        <v>44432</v>
      </c>
      <c r="I186" vm="1569">
        <f ca="1"/>
        <v>170.57</v>
      </c>
      <c r="J186" vm="1565">
        <f ca="1"/>
        <v>44432</v>
      </c>
      <c r="K186" vm="1570">
        <f ca="1"/>
        <v>27.87</v>
      </c>
      <c r="L186" vm="1565">
        <f ca="1"/>
        <v>44432</v>
      </c>
      <c r="M186" vm="1571">
        <f ca="1"/>
        <v>224.88</v>
      </c>
      <c r="N186" vm="1565">
        <f ca="1"/>
        <v>44432</v>
      </c>
      <c r="O186" vm="1572">
        <f ca="1"/>
        <v>427.36</v>
      </c>
      <c r="P186" vm="1565">
        <f ca="1"/>
        <v>44432</v>
      </c>
      <c r="Q186" vm="1573">
        <f ca="1"/>
        <v>71.55</v>
      </c>
      <c r="R186" s="29">
        <f t="shared" ca="1" si="23"/>
        <v>-6.663384211390031E-3</v>
      </c>
      <c r="S186" s="30">
        <f t="shared" ca="1" si="24"/>
        <v>-2.5453985545599448E-3</v>
      </c>
      <c r="T186" s="30">
        <f t="shared" ca="1" si="25"/>
        <v>4.2709490048698531E-4</v>
      </c>
      <c r="U186" s="30">
        <f t="shared" ca="1" si="26"/>
        <v>3.3529411764705482E-3</v>
      </c>
      <c r="V186" s="30">
        <f t="shared" ca="1" si="27"/>
        <v>2.2377109317681564E-2</v>
      </c>
      <c r="W186" s="30">
        <f t="shared" ca="1" si="30"/>
        <v>1.5259593679458219E-2</v>
      </c>
      <c r="X186" s="30">
        <f t="shared" ca="1" si="28"/>
        <v>-3.7299515106302824E-3</v>
      </c>
      <c r="Y186" s="31">
        <f t="shared" ca="1" si="29"/>
        <v>-4.1892249238006697E-3</v>
      </c>
    </row>
    <row r="187" spans="2:25" x14ac:dyDescent="0.45">
      <c r="B187" vm="1574">
        <f ca="1"/>
        <v>44433</v>
      </c>
      <c r="C187" vm="1575">
        <f ca="1"/>
        <v>302.01</v>
      </c>
      <c r="D187" vm="1574">
        <f ca="1"/>
        <v>44433</v>
      </c>
      <c r="E187" vm="1576">
        <f ca="1"/>
        <v>20.714600000000001</v>
      </c>
      <c r="F187" vm="1574">
        <f ca="1"/>
        <v>44433</v>
      </c>
      <c r="G187" vm="1577">
        <f ca="1"/>
        <v>232.59</v>
      </c>
      <c r="H187" vm="1574">
        <f ca="1"/>
        <v>44433</v>
      </c>
      <c r="I187" vm="1578">
        <f ca="1"/>
        <v>173.3</v>
      </c>
      <c r="J187" vm="1574">
        <f ca="1"/>
        <v>44433</v>
      </c>
      <c r="K187" vm="1579">
        <f ca="1"/>
        <v>27.31</v>
      </c>
      <c r="L187" vm="1574">
        <f ca="1"/>
        <v>44433</v>
      </c>
      <c r="M187" vm="1580">
        <f ca="1"/>
        <v>226.9</v>
      </c>
      <c r="N187" vm="1574">
        <f ca="1"/>
        <v>44433</v>
      </c>
      <c r="O187" vm="1581">
        <f ca="1"/>
        <v>418.08</v>
      </c>
      <c r="P187" vm="1574">
        <f ca="1"/>
        <v>44433</v>
      </c>
      <c r="Q187" vm="1582">
        <f ca="1"/>
        <v>72.671000000000006</v>
      </c>
      <c r="R187" s="29">
        <f t="shared" ca="1" si="23"/>
        <v>-2.0157292974688178E-3</v>
      </c>
      <c r="S187" s="30">
        <f t="shared" ca="1" si="24"/>
        <v>-7.2842346970773025E-4</v>
      </c>
      <c r="T187" s="30">
        <f t="shared" ca="1" si="25"/>
        <v>-7.0440573770492046E-3</v>
      </c>
      <c r="U187" s="30">
        <f t="shared" ca="1" si="26"/>
        <v>1.6005159172187478E-2</v>
      </c>
      <c r="V187" s="30">
        <f t="shared" ca="1" si="27"/>
        <v>-2.0093290276282823E-2</v>
      </c>
      <c r="W187" s="30">
        <f t="shared" ca="1" si="30"/>
        <v>8.9825684809676735E-3</v>
      </c>
      <c r="X187" s="30">
        <f t="shared" ca="1" si="28"/>
        <v>-2.1714713590415644E-2</v>
      </c>
      <c r="Y187" s="31">
        <f t="shared" ca="1" si="29"/>
        <v>1.5667365478686364E-2</v>
      </c>
    </row>
    <row r="188" spans="2:25" x14ac:dyDescent="0.45">
      <c r="B188" vm="1583">
        <f ca="1"/>
        <v>44434</v>
      </c>
      <c r="C188" vm="1584">
        <f ca="1"/>
        <v>299.08999999999997</v>
      </c>
      <c r="D188" vm="1583">
        <f ca="1"/>
        <v>44434</v>
      </c>
      <c r="E188" vm="1585">
        <f ca="1"/>
        <v>20.405000000000001</v>
      </c>
      <c r="F188" vm="1583">
        <f ca="1"/>
        <v>44434</v>
      </c>
      <c r="G188" vm="1586">
        <f ca="1"/>
        <v>230.52</v>
      </c>
      <c r="H188" vm="1583">
        <f ca="1"/>
        <v>44434</v>
      </c>
      <c r="I188" vm="1587">
        <f ca="1"/>
        <v>173.59</v>
      </c>
      <c r="J188" vm="1583">
        <f ca="1"/>
        <v>44434</v>
      </c>
      <c r="K188" vm="1588">
        <f ca="1"/>
        <v>26.64</v>
      </c>
      <c r="L188" vm="1583">
        <f ca="1"/>
        <v>44434</v>
      </c>
      <c r="M188" vm="1589">
        <f ca="1"/>
        <v>224.62</v>
      </c>
      <c r="N188" vm="1583">
        <f ca="1"/>
        <v>44434</v>
      </c>
      <c r="O188" vm="1590">
        <f ca="1"/>
        <v>436</v>
      </c>
      <c r="P188" vm="1583">
        <f ca="1"/>
        <v>44434</v>
      </c>
      <c r="Q188" vm="1591">
        <f ca="1"/>
        <v>69.366</v>
      </c>
      <c r="R188" s="29">
        <f t="shared" ca="1" si="23"/>
        <v>-9.6685540213900731E-3</v>
      </c>
      <c r="S188" s="30">
        <f t="shared" ca="1" si="24"/>
        <v>-1.4945980129956632E-2</v>
      </c>
      <c r="T188" s="30">
        <f t="shared" ca="1" si="25"/>
        <v>-8.8997807300399551E-3</v>
      </c>
      <c r="U188" s="30">
        <f t="shared" ca="1" si="26"/>
        <v>1.6733987305250549E-3</v>
      </c>
      <c r="V188" s="30">
        <f t="shared" ca="1" si="27"/>
        <v>-2.4533138044672213E-2</v>
      </c>
      <c r="W188" s="30">
        <f t="shared" ca="1" si="30"/>
        <v>-1.0048479506390486E-2</v>
      </c>
      <c r="X188" s="30">
        <f t="shared" ca="1" si="28"/>
        <v>4.286261002678917E-2</v>
      </c>
      <c r="Y188" s="31">
        <f t="shared" ca="1" si="29"/>
        <v>-4.5478939329306141E-2</v>
      </c>
    </row>
    <row r="189" spans="2:25" x14ac:dyDescent="0.45">
      <c r="B189" vm="1592">
        <f ca="1"/>
        <v>44435</v>
      </c>
      <c r="C189" vm="1593">
        <f ca="1"/>
        <v>299.72000000000003</v>
      </c>
      <c r="D189" vm="1592">
        <f ca="1"/>
        <v>44435</v>
      </c>
      <c r="E189" vm="1594">
        <f ca="1"/>
        <v>20.488</v>
      </c>
      <c r="F189" vm="1592">
        <f ca="1"/>
        <v>44435</v>
      </c>
      <c r="G189" vm="1595">
        <f ca="1"/>
        <v>232.69</v>
      </c>
      <c r="H189" vm="1592">
        <f ca="1"/>
        <v>44435</v>
      </c>
      <c r="I189" vm="1596">
        <f ca="1"/>
        <v>173.81</v>
      </c>
      <c r="J189" vm="1592">
        <f ca="1"/>
        <v>44435</v>
      </c>
      <c r="K189" vm="1597">
        <f ca="1"/>
        <v>27.62</v>
      </c>
      <c r="L189" vm="1592">
        <f ca="1"/>
        <v>44435</v>
      </c>
      <c r="M189" vm="1598">
        <f ca="1"/>
        <v>226.02</v>
      </c>
      <c r="N189" vm="1592">
        <f ca="1"/>
        <v>44435</v>
      </c>
      <c r="O189" vm="1599">
        <f ca="1"/>
        <v>413.6</v>
      </c>
      <c r="P189" vm="1592">
        <f ca="1"/>
        <v>44435</v>
      </c>
      <c r="Q189" vm="1600">
        <f ca="1"/>
        <v>70.72</v>
      </c>
      <c r="R189" s="29">
        <f t="shared" ca="1" si="23"/>
        <v>2.1063893811229138E-3</v>
      </c>
      <c r="S189" s="30">
        <f t="shared" ca="1" si="24"/>
        <v>4.0676304827247439E-3</v>
      </c>
      <c r="T189" s="30">
        <f t="shared" ca="1" si="25"/>
        <v>9.4134999132395782E-3</v>
      </c>
      <c r="U189" s="30">
        <f t="shared" ca="1" si="26"/>
        <v>1.2673541102598011E-3</v>
      </c>
      <c r="V189" s="30">
        <f t="shared" ca="1" si="27"/>
        <v>3.6786786786786804E-2</v>
      </c>
      <c r="W189" s="30">
        <f t="shared" ca="1" si="30"/>
        <v>6.2327486421512139E-3</v>
      </c>
      <c r="X189" s="30">
        <f t="shared" ca="1" si="28"/>
        <v>-5.1376146788990773E-2</v>
      </c>
      <c r="Y189" s="31">
        <f t="shared" ca="1" si="29"/>
        <v>1.9519649395957663E-2</v>
      </c>
    </row>
    <row r="190" spans="2:25" x14ac:dyDescent="0.45">
      <c r="B190" vm="1601">
        <f ca="1"/>
        <v>44438</v>
      </c>
      <c r="C190" vm="1602">
        <f ca="1"/>
        <v>303.58999999999997</v>
      </c>
      <c r="D190" vm="1601">
        <f ca="1"/>
        <v>44438</v>
      </c>
      <c r="E190" vm="1603">
        <f ca="1"/>
        <v>20.563600000000001</v>
      </c>
      <c r="F190" vm="1601">
        <f ca="1"/>
        <v>44438</v>
      </c>
      <c r="G190" vm="1604">
        <f ca="1"/>
        <v>231.23</v>
      </c>
      <c r="H190" vm="1601">
        <f ca="1"/>
        <v>44438</v>
      </c>
      <c r="I190" vm="1605">
        <f ca="1"/>
        <v>176.73</v>
      </c>
      <c r="J190" vm="1601">
        <f ca="1"/>
        <v>44438</v>
      </c>
      <c r="K190" vm="1606">
        <f ca="1"/>
        <v>27.06</v>
      </c>
      <c r="L190" vm="1601">
        <f ca="1"/>
        <v>44438</v>
      </c>
      <c r="M190" vm="1607">
        <f ca="1"/>
        <v>233.12</v>
      </c>
      <c r="N190" vm="1601">
        <f ca="1"/>
        <v>44438</v>
      </c>
      <c r="O190" vm="1608">
        <f ca="1"/>
        <v>409.44</v>
      </c>
      <c r="P190" vm="1601">
        <f ca="1"/>
        <v>44438</v>
      </c>
      <c r="Q190" vm="1609">
        <f ca="1"/>
        <v>70.299000000000007</v>
      </c>
      <c r="R190" s="29">
        <f t="shared" ca="1" si="23"/>
        <v>1.2912051247831133E-2</v>
      </c>
      <c r="S190" s="30">
        <f t="shared" ca="1" si="24"/>
        <v>3.6899648574776184E-3</v>
      </c>
      <c r="T190" s="30">
        <f t="shared" ca="1" si="25"/>
        <v>-6.2744423911642441E-3</v>
      </c>
      <c r="U190" s="30">
        <f t="shared" ca="1" si="26"/>
        <v>1.6799953972728768E-2</v>
      </c>
      <c r="V190" s="30">
        <f t="shared" ca="1" si="27"/>
        <v>-2.0275162925416448E-2</v>
      </c>
      <c r="W190" s="30">
        <f t="shared" ca="1" si="30"/>
        <v>3.1413149278824853E-2</v>
      </c>
      <c r="X190" s="30">
        <f t="shared" ca="1" si="28"/>
        <v>-1.0058027079303734E-2</v>
      </c>
      <c r="Y190" s="31">
        <f t="shared" ca="1" si="29"/>
        <v>-5.9530542986424243E-3</v>
      </c>
    </row>
    <row r="191" spans="2:25" x14ac:dyDescent="0.45">
      <c r="B191" vm="1610">
        <f ca="1"/>
        <v>44439</v>
      </c>
      <c r="C191" vm="1611">
        <f ca="1"/>
        <v>301.88</v>
      </c>
      <c r="D191" vm="1610">
        <f ca="1"/>
        <v>44439</v>
      </c>
      <c r="E191" vm="1612">
        <f ca="1"/>
        <v>20.707000000000001</v>
      </c>
      <c r="F191" vm="1610">
        <f ca="1"/>
        <v>44439</v>
      </c>
      <c r="G191" vm="1613">
        <f ca="1"/>
        <v>229.1</v>
      </c>
      <c r="H191" vm="1610">
        <f ca="1"/>
        <v>44439</v>
      </c>
      <c r="I191" vm="1614">
        <f ca="1"/>
        <v>175.47</v>
      </c>
      <c r="J191" vm="1610">
        <f ca="1"/>
        <v>44439</v>
      </c>
      <c r="K191" vm="1146">
        <f ca="1"/>
        <v>26.75</v>
      </c>
      <c r="L191" vm="1610">
        <f ca="1"/>
        <v>44439</v>
      </c>
      <c r="M191" vm="1615">
        <f ca="1"/>
        <v>234.34</v>
      </c>
      <c r="N191" vm="1610">
        <f ca="1"/>
        <v>44439</v>
      </c>
      <c r="O191" vm="1616">
        <f ca="1"/>
        <v>407.84</v>
      </c>
      <c r="P191" vm="1610">
        <f ca="1"/>
        <v>44439</v>
      </c>
      <c r="Q191" vm="1617">
        <f ca="1"/>
        <v>69.430000000000007</v>
      </c>
      <c r="R191" s="29">
        <f t="shared" ca="1" si="23"/>
        <v>-5.6325965940906475E-3</v>
      </c>
      <c r="S191" s="30">
        <f t="shared" ca="1" si="24"/>
        <v>6.9734871326032283E-3</v>
      </c>
      <c r="T191" s="30">
        <f t="shared" ca="1" si="25"/>
        <v>-9.2116074903775269E-3</v>
      </c>
      <c r="U191" s="30">
        <f t="shared" ca="1" si="26"/>
        <v>-7.1295196061788657E-3</v>
      </c>
      <c r="V191" s="30">
        <f t="shared" ca="1" si="27"/>
        <v>-1.1456023651145555E-2</v>
      </c>
      <c r="W191" s="30">
        <f t="shared" ca="1" si="30"/>
        <v>5.233356211393269E-3</v>
      </c>
      <c r="X191" s="30">
        <f t="shared" ca="1" si="28"/>
        <v>-3.9077764751856746E-3</v>
      </c>
      <c r="Y191" s="31">
        <f t="shared" ca="1" si="29"/>
        <v>-1.2361484516138206E-2</v>
      </c>
    </row>
    <row r="192" spans="2:25" x14ac:dyDescent="0.45">
      <c r="B192" vm="1618">
        <f ca="1"/>
        <v>44440</v>
      </c>
      <c r="C192" vm="1619">
        <f ca="1"/>
        <v>301.83</v>
      </c>
      <c r="D192" vm="1618">
        <f ca="1"/>
        <v>44440</v>
      </c>
      <c r="E192" vm="1620">
        <f ca="1"/>
        <v>20.533300000000001</v>
      </c>
      <c r="F192" vm="1618">
        <f ca="1"/>
        <v>44440</v>
      </c>
      <c r="G192" vm="1621">
        <f ca="1"/>
        <v>230.12</v>
      </c>
      <c r="H192" vm="1618">
        <f ca="1"/>
        <v>44440</v>
      </c>
      <c r="I192" vm="1622">
        <f ca="1"/>
        <v>175.45</v>
      </c>
      <c r="J192" vm="1618">
        <f ca="1"/>
        <v>44440</v>
      </c>
      <c r="K192" vm="1623">
        <f ca="1"/>
        <v>26.96</v>
      </c>
      <c r="L192" vm="1618">
        <f ca="1"/>
        <v>44440</v>
      </c>
      <c r="M192" vm="1624">
        <f ca="1"/>
        <v>238.38</v>
      </c>
      <c r="N192" vm="1618">
        <f ca="1"/>
        <v>44440</v>
      </c>
      <c r="O192" vm="1625">
        <f ca="1"/>
        <v>397.12</v>
      </c>
      <c r="P192" vm="1618">
        <f ca="1"/>
        <v>44440</v>
      </c>
      <c r="Q192" vm="1626">
        <f ca="1"/>
        <v>70.25</v>
      </c>
      <c r="R192" s="29">
        <f t="shared" ca="1" si="23"/>
        <v>-1.6562872664638721E-4</v>
      </c>
      <c r="S192" s="30">
        <f t="shared" ca="1" si="24"/>
        <v>-8.388467667938387E-3</v>
      </c>
      <c r="T192" s="30">
        <f t="shared" ca="1" si="25"/>
        <v>4.4522042776080758E-3</v>
      </c>
      <c r="U192" s="30">
        <f t="shared" ca="1" si="26"/>
        <v>-1.139795976520786E-4</v>
      </c>
      <c r="V192" s="30">
        <f t="shared" ca="1" si="27"/>
        <v>7.8504672897196578E-3</v>
      </c>
      <c r="W192" s="30">
        <f t="shared" ca="1" si="30"/>
        <v>1.723990782623535E-2</v>
      </c>
      <c r="X192" s="30">
        <f t="shared" ca="1" si="28"/>
        <v>-2.6284817575519741E-2</v>
      </c>
      <c r="Y192" s="31">
        <f t="shared" ca="1" si="29"/>
        <v>1.1810456574967494E-2</v>
      </c>
    </row>
    <row r="193" spans="2:25" x14ac:dyDescent="0.45">
      <c r="B193" vm="1627">
        <f ca="1"/>
        <v>44441</v>
      </c>
      <c r="C193" vm="1628">
        <f ca="1"/>
        <v>301.14999999999998</v>
      </c>
      <c r="D193" vm="1627">
        <f ca="1"/>
        <v>44441</v>
      </c>
      <c r="E193" vm="1629">
        <f ca="1"/>
        <v>20.873200000000001</v>
      </c>
      <c r="F193" vm="1627">
        <f ca="1"/>
        <v>44441</v>
      </c>
      <c r="G193" vm="1630">
        <f ca="1"/>
        <v>224.18</v>
      </c>
      <c r="H193" vm="1627">
        <f ca="1"/>
        <v>44441</v>
      </c>
      <c r="I193" vm="1631">
        <f ca="1"/>
        <v>178.02</v>
      </c>
      <c r="J193" vm="1627">
        <f ca="1"/>
        <v>44441</v>
      </c>
      <c r="K193" vm="1155">
        <f ca="1"/>
        <v>26.94</v>
      </c>
      <c r="L193" vm="1627">
        <f ca="1"/>
        <v>44441</v>
      </c>
      <c r="M193" vm="1632">
        <f ca="1"/>
        <v>254.03</v>
      </c>
      <c r="N193" vm="1627">
        <f ca="1"/>
        <v>44441</v>
      </c>
      <c r="O193" vm="1633">
        <f ca="1"/>
        <v>396.32</v>
      </c>
      <c r="P193" vm="1627">
        <f ca="1"/>
        <v>44441</v>
      </c>
      <c r="Q193" vm="1634">
        <f ca="1"/>
        <v>69.570999999999998</v>
      </c>
      <c r="R193" s="29">
        <f t="shared" ca="1" si="23"/>
        <v>-2.2529238312957852E-3</v>
      </c>
      <c r="S193" s="30">
        <f t="shared" ca="1" si="24"/>
        <v>1.6553598301295949E-2</v>
      </c>
      <c r="T193" s="30">
        <f t="shared" ca="1" si="25"/>
        <v>-2.5812619502868058E-2</v>
      </c>
      <c r="U193" s="30">
        <f t="shared" ca="1" si="26"/>
        <v>1.4648047876888127E-2</v>
      </c>
      <c r="V193" s="30">
        <f t="shared" ca="1" si="27"/>
        <v>-7.4183976261126016E-4</v>
      </c>
      <c r="W193" s="30">
        <f t="shared" ca="1" si="30"/>
        <v>6.5651480828928632E-2</v>
      </c>
      <c r="X193" s="30">
        <f t="shared" ca="1" si="28"/>
        <v>-2.0145044319097786E-3</v>
      </c>
      <c r="Y193" s="31">
        <f t="shared" ca="1" si="29"/>
        <v>-9.665480427046293E-3</v>
      </c>
    </row>
    <row r="194" spans="2:25" x14ac:dyDescent="0.45">
      <c r="B194" vm="1635">
        <f ca="1"/>
        <v>44442</v>
      </c>
      <c r="C194" vm="1636">
        <f ca="1"/>
        <v>301.14</v>
      </c>
      <c r="D194" vm="1635">
        <f ca="1"/>
        <v>44442</v>
      </c>
      <c r="E194" vm="1637">
        <f ca="1"/>
        <v>20.812799999999999</v>
      </c>
      <c r="F194" vm="1635">
        <f ca="1"/>
        <v>44442</v>
      </c>
      <c r="G194" vm="1638">
        <f ca="1"/>
        <v>225.11</v>
      </c>
      <c r="H194" vm="1635">
        <f ca="1"/>
        <v>44442</v>
      </c>
      <c r="I194" vm="1639">
        <f ca="1"/>
        <v>179.28</v>
      </c>
      <c r="J194" vm="1635">
        <f ca="1"/>
        <v>44442</v>
      </c>
      <c r="K194" vm="1640">
        <f ca="1"/>
        <v>26.22</v>
      </c>
      <c r="L194" vm="1635">
        <f ca="1"/>
        <v>44442</v>
      </c>
      <c r="M194" vm="1641">
        <f ca="1"/>
        <v>249.04</v>
      </c>
      <c r="N194" vm="1635">
        <f ca="1"/>
        <v>44442</v>
      </c>
      <c r="O194" vm="1642">
        <f ca="1"/>
        <v>399.04</v>
      </c>
      <c r="P194" vm="1635">
        <f ca="1"/>
        <v>44442</v>
      </c>
      <c r="Q194" vm="1643">
        <f ca="1"/>
        <v>71.225999999999999</v>
      </c>
      <c r="R194" s="29">
        <f t="shared" ca="1" si="23"/>
        <v>-3.3206043499886785E-5</v>
      </c>
      <c r="S194" s="30">
        <f t="shared" ca="1" si="24"/>
        <v>-2.893662687082064E-3</v>
      </c>
      <c r="T194" s="30">
        <f t="shared" ca="1" si="25"/>
        <v>4.1484521366759158E-3</v>
      </c>
      <c r="U194" s="30">
        <f t="shared" ca="1" si="26"/>
        <v>7.0778564206268445E-3</v>
      </c>
      <c r="V194" s="30">
        <f t="shared" ca="1" si="27"/>
        <v>-2.6726057906458885E-2</v>
      </c>
      <c r="W194" s="30">
        <f t="shared" ca="1" si="30"/>
        <v>-1.9643349210723179E-2</v>
      </c>
      <c r="X194" s="30">
        <f t="shared" ca="1" si="28"/>
        <v>6.8631408962455268E-3</v>
      </c>
      <c r="Y194" s="31">
        <f t="shared" ca="1" si="29"/>
        <v>2.378864756867087E-2</v>
      </c>
    </row>
    <row r="195" spans="2:25" x14ac:dyDescent="0.45">
      <c r="B195" vm="1644">
        <f ca="1"/>
        <v>44446</v>
      </c>
      <c r="C195" vm="1645">
        <f ca="1"/>
        <v>300.18</v>
      </c>
      <c r="D195" vm="1644">
        <f ca="1"/>
        <v>44446</v>
      </c>
      <c r="E195" vm="1612">
        <f ca="1"/>
        <v>20.707000000000001</v>
      </c>
      <c r="F195" vm="1644">
        <f ca="1"/>
        <v>44446</v>
      </c>
      <c r="G195" vm="1646">
        <f ca="1"/>
        <v>226.27</v>
      </c>
      <c r="H195" vm="1644">
        <f ca="1"/>
        <v>44446</v>
      </c>
      <c r="I195" vm="1647">
        <f ca="1"/>
        <v>177.72</v>
      </c>
      <c r="J195" vm="1644">
        <f ca="1"/>
        <v>44446</v>
      </c>
      <c r="K195" vm="1426">
        <f ca="1"/>
        <v>26.48</v>
      </c>
      <c r="L195" vm="1644">
        <f ca="1"/>
        <v>44446</v>
      </c>
      <c r="M195" vm="1648">
        <f ca="1"/>
        <v>254.72</v>
      </c>
      <c r="N195" vm="1644">
        <f ca="1"/>
        <v>44446</v>
      </c>
      <c r="O195" vm="1649">
        <f ca="1"/>
        <v>408.8</v>
      </c>
      <c r="P195" vm="1644">
        <f ca="1"/>
        <v>44446</v>
      </c>
      <c r="Q195" vm="1650">
        <f ca="1"/>
        <v>64.801000000000002</v>
      </c>
      <c r="R195" s="29">
        <f t="shared" ca="1" si="23"/>
        <v>-3.18788603307425E-3</v>
      </c>
      <c r="S195" s="30">
        <f t="shared" ca="1" si="24"/>
        <v>-5.0834102091020222E-3</v>
      </c>
      <c r="T195" s="30">
        <f t="shared" ca="1" si="25"/>
        <v>5.153036293367671E-3</v>
      </c>
      <c r="U195" s="30">
        <f t="shared" ca="1" si="26"/>
        <v>-8.7014725568942564E-3</v>
      </c>
      <c r="V195" s="30">
        <f t="shared" ca="1" si="27"/>
        <v>9.916094584286864E-3</v>
      </c>
      <c r="W195" s="30">
        <f t="shared" ca="1" si="30"/>
        <v>2.2807581111468064E-2</v>
      </c>
      <c r="X195" s="30">
        <f t="shared" ca="1" si="28"/>
        <v>2.4458700882117056E-2</v>
      </c>
      <c r="Y195" s="31">
        <f t="shared" ca="1" si="29"/>
        <v>-9.0205823716058703E-2</v>
      </c>
    </row>
    <row r="196" spans="2:25" x14ac:dyDescent="0.45">
      <c r="B196" vm="1651">
        <f ca="1"/>
        <v>44447</v>
      </c>
      <c r="C196" vm="1652">
        <f ca="1"/>
        <v>300.20999999999998</v>
      </c>
      <c r="D196" vm="1651">
        <f ca="1"/>
        <v>44447</v>
      </c>
      <c r="E196" vm="1653">
        <f ca="1"/>
        <v>20.843</v>
      </c>
      <c r="F196" vm="1651">
        <f ca="1"/>
        <v>44447</v>
      </c>
      <c r="G196" vm="1654">
        <f ca="1"/>
        <v>229.09</v>
      </c>
      <c r="H196" vm="1651">
        <f ca="1"/>
        <v>44447</v>
      </c>
      <c r="I196" vm="1655">
        <f ca="1"/>
        <v>178.73</v>
      </c>
      <c r="J196" vm="1651">
        <f ca="1"/>
        <v>44447</v>
      </c>
      <c r="K196" vm="1656">
        <f ca="1"/>
        <v>25.44</v>
      </c>
      <c r="L196" vm="1651">
        <f ca="1"/>
        <v>44447</v>
      </c>
      <c r="M196" vm="1059">
        <f ca="1"/>
        <v>249.68</v>
      </c>
      <c r="N196" vm="1651">
        <f ca="1"/>
        <v>44447</v>
      </c>
      <c r="O196" vm="1657">
        <f ca="1"/>
        <v>408.16</v>
      </c>
      <c r="P196" vm="1651">
        <f ca="1"/>
        <v>44447</v>
      </c>
      <c r="Q196" vm="1658">
        <f ca="1"/>
        <v>63.862000000000002</v>
      </c>
      <c r="R196" s="29">
        <f t="shared" ca="1" si="23"/>
        <v>9.9940035978322056E-5</v>
      </c>
      <c r="S196" s="30">
        <f t="shared" ca="1" si="24"/>
        <v>6.5678273047761254E-3</v>
      </c>
      <c r="T196" s="30">
        <f t="shared" ca="1" si="25"/>
        <v>1.2462986697308494E-2</v>
      </c>
      <c r="U196" s="30">
        <f t="shared" ca="1" si="26"/>
        <v>5.6830970065270704E-3</v>
      </c>
      <c r="V196" s="30">
        <f t="shared" ca="1" si="27"/>
        <v>-3.9274924471299058E-2</v>
      </c>
      <c r="W196" s="30">
        <f t="shared" ca="1" si="30"/>
        <v>-1.9786432160803988E-2</v>
      </c>
      <c r="X196" s="30">
        <f t="shared" ca="1" si="28"/>
        <v>-1.5655577299412582E-3</v>
      </c>
      <c r="Y196" s="31">
        <f t="shared" ca="1" si="29"/>
        <v>-1.4490517121649357E-2</v>
      </c>
    </row>
    <row r="197" spans="2:25" x14ac:dyDescent="0.45">
      <c r="B197" vm="1659">
        <f ca="1"/>
        <v>44448</v>
      </c>
      <c r="C197" vm="1660">
        <f ca="1"/>
        <v>297.25</v>
      </c>
      <c r="D197" vm="1659">
        <f ca="1"/>
        <v>44448</v>
      </c>
      <c r="E197" vm="1612">
        <f ca="1"/>
        <v>20.707000000000001</v>
      </c>
      <c r="F197" vm="1659">
        <f ca="1"/>
        <v>44448</v>
      </c>
      <c r="G197" vm="1661">
        <f ca="1"/>
        <v>227.49</v>
      </c>
      <c r="H197" vm="1659">
        <f ca="1"/>
        <v>44448</v>
      </c>
      <c r="I197" vm="1662">
        <f ca="1"/>
        <v>177.23</v>
      </c>
      <c r="J197" vm="1659">
        <f ca="1"/>
        <v>44448</v>
      </c>
      <c r="K197" vm="919">
        <f ca="1"/>
        <v>25.72</v>
      </c>
      <c r="L197" vm="1659">
        <f ca="1"/>
        <v>44448</v>
      </c>
      <c r="M197" vm="1663">
        <f ca="1"/>
        <v>246.01</v>
      </c>
      <c r="N197" vm="1659">
        <f ca="1"/>
        <v>44448</v>
      </c>
      <c r="O197" vm="1664">
        <f ca="1"/>
        <v>416.8</v>
      </c>
      <c r="P197" vm="1659">
        <f ca="1"/>
        <v>44448</v>
      </c>
      <c r="Q197" vm="1665">
        <f ca="1"/>
        <v>64.061999999999998</v>
      </c>
      <c r="R197" s="29">
        <f t="shared" ref="R197:R260" ca="1" si="31">(C197-C196)/C196</f>
        <v>-9.8597648312846991E-3</v>
      </c>
      <c r="S197" s="30">
        <f t="shared" ref="S197:S260" ca="1" si="32">(E197-E196)/E196</f>
        <v>-6.5249724128004236E-3</v>
      </c>
      <c r="T197" s="30">
        <f t="shared" ref="T197:T260" ca="1" si="33">(G197-G196)/G196</f>
        <v>-6.9841546990265582E-3</v>
      </c>
      <c r="U197" s="30">
        <f t="shared" ref="U197:U260" ca="1" si="34">(I197-I196)/I196</f>
        <v>-8.3925474178929114E-3</v>
      </c>
      <c r="V197" s="30">
        <f t="shared" ref="V197:V260" ca="1" si="35">(K197-K196)/K196</f>
        <v>1.1006289308176005E-2</v>
      </c>
      <c r="W197" s="30">
        <f t="shared" ca="1" si="30"/>
        <v>-1.4698814482537712E-2</v>
      </c>
      <c r="X197" s="30">
        <f t="shared" ref="X197:X260" ca="1" si="36">(O197-O196)/O196</f>
        <v>2.1168169345354728E-2</v>
      </c>
      <c r="Y197" s="31">
        <f t="shared" ref="Y197:Y260" ca="1" si="37">(Q197-Q196)/Q196</f>
        <v>3.1317528420656375E-3</v>
      </c>
    </row>
    <row r="198" spans="2:25" x14ac:dyDescent="0.45">
      <c r="B198" vm="1666">
        <f ca="1"/>
        <v>44449</v>
      </c>
      <c r="C198" vm="1667">
        <f ca="1"/>
        <v>295.70999999999998</v>
      </c>
      <c r="D198" vm="1666">
        <f ca="1"/>
        <v>44449</v>
      </c>
      <c r="E198" vm="1668">
        <f ca="1"/>
        <v>20.5258</v>
      </c>
      <c r="F198" vm="1666">
        <f ca="1"/>
        <v>44449</v>
      </c>
      <c r="G198" vm="1669">
        <f ca="1"/>
        <v>224.91</v>
      </c>
      <c r="H198" vm="1666">
        <f ca="1"/>
        <v>44449</v>
      </c>
      <c r="I198" vm="1662">
        <f ca="1"/>
        <v>177.23</v>
      </c>
      <c r="J198" vm="1666">
        <f ca="1"/>
        <v>44449</v>
      </c>
      <c r="K198" vm="1670">
        <f ca="1"/>
        <v>25.92</v>
      </c>
      <c r="L198" vm="1666">
        <f ca="1"/>
        <v>44449</v>
      </c>
      <c r="M198" vm="1671">
        <f ca="1"/>
        <v>247.76</v>
      </c>
      <c r="N198" vm="1666">
        <f ca="1"/>
        <v>44449</v>
      </c>
      <c r="O198" vm="1672">
        <f ca="1"/>
        <v>432.96</v>
      </c>
      <c r="P198" vm="1666">
        <f ca="1"/>
        <v>44449</v>
      </c>
      <c r="Q198" vm="1673">
        <f ca="1"/>
        <v>61.557000000000002</v>
      </c>
      <c r="R198" s="29">
        <f t="shared" ca="1" si="31"/>
        <v>-5.1808242220353923E-3</v>
      </c>
      <c r="S198" s="30">
        <f t="shared" ca="1" si="32"/>
        <v>-8.7506640266576743E-3</v>
      </c>
      <c r="T198" s="30">
        <f t="shared" ca="1" si="33"/>
        <v>-1.1341157853092499E-2</v>
      </c>
      <c r="U198" s="30">
        <f t="shared" ca="1" si="34"/>
        <v>0</v>
      </c>
      <c r="V198" s="30">
        <f t="shared" ca="1" si="35"/>
        <v>7.7760497667186176E-3</v>
      </c>
      <c r="W198" s="30">
        <f t="shared" ref="W198:W261" ca="1" si="38">(M198-M197)/M197</f>
        <v>7.1135319702451119E-3</v>
      </c>
      <c r="X198" s="30">
        <f t="shared" ca="1" si="36"/>
        <v>3.8771593090211054E-2</v>
      </c>
      <c r="Y198" s="31">
        <f t="shared" ca="1" si="37"/>
        <v>-3.9102744216540156E-2</v>
      </c>
    </row>
    <row r="199" spans="2:25" x14ac:dyDescent="0.45">
      <c r="B199" vm="1674">
        <f ca="1"/>
        <v>44452</v>
      </c>
      <c r="C199" vm="1675">
        <f ca="1"/>
        <v>296.99</v>
      </c>
      <c r="D199" vm="1674">
        <f ca="1"/>
        <v>44452</v>
      </c>
      <c r="E199" vm="1558">
        <f ca="1"/>
        <v>20.782599999999999</v>
      </c>
      <c r="F199" vm="1674">
        <f ca="1"/>
        <v>44452</v>
      </c>
      <c r="G199" vm="1676">
        <f ca="1"/>
        <v>224.63</v>
      </c>
      <c r="H199" vm="1674">
        <f ca="1"/>
        <v>44452</v>
      </c>
      <c r="I199" vm="1677">
        <f ca="1"/>
        <v>172.08</v>
      </c>
      <c r="J199" vm="1674">
        <f ca="1"/>
        <v>44452</v>
      </c>
      <c r="K199" vm="1678">
        <f ca="1"/>
        <v>25.38</v>
      </c>
      <c r="L199" vm="1674">
        <f ca="1"/>
        <v>44452</v>
      </c>
      <c r="M199" vm="1679">
        <f ca="1"/>
        <v>244.22</v>
      </c>
      <c r="N199" vm="1674">
        <f ca="1"/>
        <v>44452</v>
      </c>
      <c r="O199" vm="1680">
        <f ca="1"/>
        <v>417.44</v>
      </c>
      <c r="P199" vm="1674">
        <f ca="1"/>
        <v>44452</v>
      </c>
      <c r="Q199" vm="1681">
        <f ca="1"/>
        <v>64.27</v>
      </c>
      <c r="R199" s="29">
        <f t="shared" ca="1" si="31"/>
        <v>4.3285651482872734E-3</v>
      </c>
      <c r="S199" s="30">
        <f t="shared" ca="1" si="32"/>
        <v>1.2511083611844526E-2</v>
      </c>
      <c r="T199" s="30">
        <f t="shared" ca="1" si="33"/>
        <v>-1.2449424214130147E-3</v>
      </c>
      <c r="U199" s="30">
        <f t="shared" ca="1" si="34"/>
        <v>-2.90582858432544E-2</v>
      </c>
      <c r="V199" s="30">
        <f t="shared" ca="1" si="35"/>
        <v>-2.0833333333333436E-2</v>
      </c>
      <c r="W199" s="30">
        <f t="shared" ca="1" si="38"/>
        <v>-1.4288020665159801E-2</v>
      </c>
      <c r="X199" s="30">
        <f t="shared" ca="1" si="36"/>
        <v>-3.5846267553584589E-2</v>
      </c>
      <c r="Y199" s="31">
        <f t="shared" ca="1" si="37"/>
        <v>4.4072973016878562E-2</v>
      </c>
    </row>
    <row r="200" spans="2:25" x14ac:dyDescent="0.45">
      <c r="B200" vm="1682">
        <f ca="1"/>
        <v>44453</v>
      </c>
      <c r="C200" vm="1683">
        <f ca="1"/>
        <v>299.79000000000002</v>
      </c>
      <c r="D200" vm="1682">
        <f ca="1"/>
        <v>44453</v>
      </c>
      <c r="E200" vm="1684">
        <f ca="1"/>
        <v>20.639099999999999</v>
      </c>
      <c r="F200" vm="1682">
        <f ca="1"/>
        <v>44453</v>
      </c>
      <c r="G200" vm="1685">
        <f ca="1"/>
        <v>223.03</v>
      </c>
      <c r="H200" vm="1682">
        <f ca="1"/>
        <v>44453</v>
      </c>
      <c r="I200" vm="1686">
        <f ca="1"/>
        <v>172.42</v>
      </c>
      <c r="J200" vm="1682">
        <f ca="1"/>
        <v>44453</v>
      </c>
      <c r="K200" vm="1687">
        <f ca="1"/>
        <v>24.45</v>
      </c>
      <c r="L200" vm="1682">
        <f ca="1"/>
        <v>44453</v>
      </c>
      <c r="M200" vm="1688">
        <f ca="1"/>
        <v>243.81</v>
      </c>
      <c r="N200" vm="1682">
        <f ca="1"/>
        <v>44453</v>
      </c>
      <c r="O200" vm="1689">
        <f ca="1"/>
        <v>423.36</v>
      </c>
      <c r="P200" vm="1682">
        <f ca="1"/>
        <v>44453</v>
      </c>
      <c r="Q200" vm="1690">
        <f ca="1"/>
        <v>61.847999999999999</v>
      </c>
      <c r="R200" s="29">
        <f t="shared" ca="1" si="31"/>
        <v>9.4279268662244894E-3</v>
      </c>
      <c r="S200" s="30">
        <f t="shared" ca="1" si="32"/>
        <v>-6.9048146045249167E-3</v>
      </c>
      <c r="T200" s="30">
        <f t="shared" ca="1" si="33"/>
        <v>-7.1228241997951932E-3</v>
      </c>
      <c r="U200" s="30">
        <f t="shared" ca="1" si="34"/>
        <v>1.9758251975823741E-3</v>
      </c>
      <c r="V200" s="30">
        <f t="shared" ca="1" si="35"/>
        <v>-3.6643026004728123E-2</v>
      </c>
      <c r="W200" s="30">
        <f t="shared" ca="1" si="38"/>
        <v>-1.678814183932506E-3</v>
      </c>
      <c r="X200" s="30">
        <f t="shared" ca="1" si="36"/>
        <v>1.4181678804139555E-2</v>
      </c>
      <c r="Y200" s="31">
        <f t="shared" ca="1" si="37"/>
        <v>-3.7684767387583591E-2</v>
      </c>
    </row>
    <row r="201" spans="2:25" x14ac:dyDescent="0.45">
      <c r="B201" vm="1691">
        <f ca="1"/>
        <v>44454</v>
      </c>
      <c r="C201" vm="1692">
        <f ca="1"/>
        <v>304.82</v>
      </c>
      <c r="D201" vm="1691">
        <f ca="1"/>
        <v>44454</v>
      </c>
      <c r="E201" vm="1549">
        <f ca="1"/>
        <v>20.8203</v>
      </c>
      <c r="F201" vm="1691">
        <f ca="1"/>
        <v>44454</v>
      </c>
      <c r="G201" vm="1693">
        <f ca="1"/>
        <v>223.81</v>
      </c>
      <c r="H201" vm="1691">
        <f ca="1"/>
        <v>44454</v>
      </c>
      <c r="I201" vm="1694">
        <f ca="1"/>
        <v>173.79</v>
      </c>
      <c r="J201" vm="1691">
        <f ca="1"/>
        <v>44454</v>
      </c>
      <c r="K201" vm="1695">
        <f ca="1"/>
        <v>25.67</v>
      </c>
      <c r="L201" vm="1691">
        <f ca="1"/>
        <v>44454</v>
      </c>
      <c r="M201" vm="1696">
        <f ca="1"/>
        <v>242.87</v>
      </c>
      <c r="N201" vm="1691">
        <f ca="1"/>
        <v>44454</v>
      </c>
      <c r="O201" vm="1697">
        <f ca="1"/>
        <v>406.88</v>
      </c>
      <c r="P201" vm="1691">
        <f ca="1"/>
        <v>44454</v>
      </c>
      <c r="Q201" vm="1698">
        <f ca="1"/>
        <v>63.3</v>
      </c>
      <c r="R201" s="29">
        <f t="shared" ca="1" si="31"/>
        <v>1.6778411554754902E-2</v>
      </c>
      <c r="S201" s="30">
        <f t="shared" ca="1" si="32"/>
        <v>8.7794525924095763E-3</v>
      </c>
      <c r="T201" s="30">
        <f t="shared" ca="1" si="33"/>
        <v>3.4972873604447881E-3</v>
      </c>
      <c r="U201" s="30">
        <f t="shared" ca="1" si="34"/>
        <v>7.9457139542976722E-3</v>
      </c>
      <c r="V201" s="30">
        <f t="shared" ca="1" si="35"/>
        <v>4.9897750511247542E-2</v>
      </c>
      <c r="W201" s="30">
        <f t="shared" ca="1" si="38"/>
        <v>-3.8554612198022959E-3</v>
      </c>
      <c r="X201" s="30">
        <f t="shared" ca="1" si="36"/>
        <v>-3.8926681783824683E-2</v>
      </c>
      <c r="Y201" s="31">
        <f t="shared" ca="1" si="37"/>
        <v>2.3476911136980957E-2</v>
      </c>
    </row>
    <row r="202" spans="2:25" x14ac:dyDescent="0.45">
      <c r="B202" vm="1699">
        <f ca="1"/>
        <v>44455</v>
      </c>
      <c r="C202" vm="1700">
        <f ca="1"/>
        <v>305.22000000000003</v>
      </c>
      <c r="D202" vm="1699">
        <f ca="1"/>
        <v>44455</v>
      </c>
      <c r="E202" vm="1653">
        <f ca="1"/>
        <v>20.843</v>
      </c>
      <c r="F202" vm="1699">
        <f ca="1"/>
        <v>44455</v>
      </c>
      <c r="G202" vm="1701">
        <f ca="1"/>
        <v>224.33</v>
      </c>
      <c r="H202" vm="1699">
        <f ca="1"/>
        <v>44455</v>
      </c>
      <c r="I202" vm="1702">
        <f ca="1"/>
        <v>173.28</v>
      </c>
      <c r="J202" vm="1699">
        <f ca="1"/>
        <v>44455</v>
      </c>
      <c r="K202" vm="1703">
        <f ca="1"/>
        <v>25.39</v>
      </c>
      <c r="L202" vm="1699">
        <f ca="1"/>
        <v>44455</v>
      </c>
      <c r="M202" vm="1704">
        <f ca="1"/>
        <v>242.02</v>
      </c>
      <c r="N202" vm="1699">
        <f ca="1"/>
        <v>44455</v>
      </c>
      <c r="O202" vm="1705">
        <f ca="1"/>
        <v>402.88</v>
      </c>
      <c r="P202" vm="1699">
        <f ca="1"/>
        <v>44455</v>
      </c>
      <c r="Q202" vm="1698">
        <f ca="1"/>
        <v>63.3</v>
      </c>
      <c r="R202" s="29">
        <f t="shared" ca="1" si="31"/>
        <v>1.3122498523720036E-3</v>
      </c>
      <c r="S202" s="30">
        <f t="shared" ca="1" si="32"/>
        <v>1.0902820804695604E-3</v>
      </c>
      <c r="T202" s="30">
        <f t="shared" ca="1" si="33"/>
        <v>2.3233993119164032E-3</v>
      </c>
      <c r="U202" s="30">
        <f t="shared" ca="1" si="34"/>
        <v>-2.934576212670412E-3</v>
      </c>
      <c r="V202" s="30">
        <f t="shared" ca="1" si="35"/>
        <v>-1.0907674328009393E-2</v>
      </c>
      <c r="W202" s="30">
        <f t="shared" ca="1" si="38"/>
        <v>-3.4998147156914986E-3</v>
      </c>
      <c r="X202" s="30">
        <f t="shared" ca="1" si="36"/>
        <v>-9.8309083759339361E-3</v>
      </c>
      <c r="Y202" s="31">
        <f t="shared" ca="1" si="37"/>
        <v>0</v>
      </c>
    </row>
    <row r="203" spans="2:25" x14ac:dyDescent="0.45">
      <c r="B203" vm="1706">
        <f ca="1"/>
        <v>44456</v>
      </c>
      <c r="C203" vm="1707">
        <f ca="1"/>
        <v>299.87</v>
      </c>
      <c r="D203" vm="1706">
        <f ca="1"/>
        <v>44456</v>
      </c>
      <c r="E203" vm="1540">
        <f ca="1"/>
        <v>20.790099999999999</v>
      </c>
      <c r="F203" vm="1706">
        <f ca="1"/>
        <v>44456</v>
      </c>
      <c r="G203" vm="1708">
        <f ca="1"/>
        <v>221.75</v>
      </c>
      <c r="H203" vm="1706">
        <f ca="1"/>
        <v>44456</v>
      </c>
      <c r="I203" vm="1709">
        <f ca="1"/>
        <v>173.94</v>
      </c>
      <c r="J203" vm="1706">
        <f ca="1"/>
        <v>44456</v>
      </c>
      <c r="K203" vm="1239">
        <f ca="1"/>
        <v>23.36</v>
      </c>
      <c r="L203" vm="1706">
        <f ca="1"/>
        <v>44456</v>
      </c>
      <c r="M203" vm="1710">
        <f ca="1"/>
        <v>248.1</v>
      </c>
      <c r="N203" vm="1706">
        <f ca="1"/>
        <v>44456</v>
      </c>
      <c r="O203" vm="1563">
        <f ca="1"/>
        <v>428.96</v>
      </c>
      <c r="P203" vm="1706">
        <f ca="1"/>
        <v>44456</v>
      </c>
      <c r="Q203" vm="1711">
        <f ca="1"/>
        <v>61.429000000000002</v>
      </c>
      <c r="R203" s="29">
        <f t="shared" ca="1" si="31"/>
        <v>-1.7528340213616482E-2</v>
      </c>
      <c r="S203" s="30">
        <f t="shared" ca="1" si="32"/>
        <v>-2.5380223576261123E-3</v>
      </c>
      <c r="T203" s="30">
        <f t="shared" ca="1" si="33"/>
        <v>-1.1500913832300683E-2</v>
      </c>
      <c r="U203" s="30">
        <f t="shared" ca="1" si="34"/>
        <v>3.808864265927958E-3</v>
      </c>
      <c r="V203" s="30">
        <f t="shared" ca="1" si="35"/>
        <v>-7.9952737298148918E-2</v>
      </c>
      <c r="W203" s="30">
        <f t="shared" ca="1" si="38"/>
        <v>2.5121890752830278E-2</v>
      </c>
      <c r="X203" s="30">
        <f t="shared" ca="1" si="36"/>
        <v>6.473391580619535E-2</v>
      </c>
      <c r="Y203" s="31">
        <f t="shared" ca="1" si="37"/>
        <v>-2.9557661927330097E-2</v>
      </c>
    </row>
    <row r="204" spans="2:25" x14ac:dyDescent="0.45">
      <c r="B204" vm="1712">
        <f ca="1"/>
        <v>44459</v>
      </c>
      <c r="C204" vm="1713">
        <f ca="1"/>
        <v>294.3</v>
      </c>
      <c r="D204" vm="1712">
        <f ca="1"/>
        <v>44459</v>
      </c>
      <c r="E204" vm="1714">
        <f ca="1"/>
        <v>20.548400000000001</v>
      </c>
      <c r="F204" vm="1712">
        <f ca="1"/>
        <v>44459</v>
      </c>
      <c r="G204" vm="1715">
        <f ca="1"/>
        <v>220.05</v>
      </c>
      <c r="H204" vm="1712">
        <f ca="1"/>
        <v>44459</v>
      </c>
      <c r="I204" vm="1716">
        <f ca="1"/>
        <v>171.34</v>
      </c>
      <c r="J204" vm="1712">
        <f ca="1"/>
        <v>44459</v>
      </c>
      <c r="K204" vm="1717">
        <f ca="1"/>
        <v>21.84</v>
      </c>
      <c r="L204" vm="1712">
        <f ca="1"/>
        <v>44459</v>
      </c>
      <c r="M204" vm="1718">
        <f ca="1"/>
        <v>237.76</v>
      </c>
      <c r="N204" vm="1712">
        <f ca="1"/>
        <v>44459</v>
      </c>
      <c r="O204" vm="1719">
        <f ca="1"/>
        <v>475.84</v>
      </c>
      <c r="P204" vm="1712">
        <f ca="1"/>
        <v>44459</v>
      </c>
      <c r="Q204" vm="1720">
        <f ca="1"/>
        <v>58.838999999999999</v>
      </c>
      <c r="R204" s="29">
        <f t="shared" ca="1" si="31"/>
        <v>-1.8574715710141038E-2</v>
      </c>
      <c r="S204" s="30">
        <f t="shared" ca="1" si="32"/>
        <v>-1.1625725705984967E-2</v>
      </c>
      <c r="T204" s="30">
        <f t="shared" ca="1" si="33"/>
        <v>-7.6662908680946501E-3</v>
      </c>
      <c r="U204" s="30">
        <f t="shared" ca="1" si="34"/>
        <v>-1.4947683109118055E-2</v>
      </c>
      <c r="V204" s="30">
        <f t="shared" ca="1" si="35"/>
        <v>-6.5068493150684914E-2</v>
      </c>
      <c r="W204" s="30">
        <f t="shared" ca="1" si="38"/>
        <v>-4.1676743248690057E-2</v>
      </c>
      <c r="X204" s="30">
        <f t="shared" ca="1" si="36"/>
        <v>0.10928757926146959</v>
      </c>
      <c r="Y204" s="31">
        <f t="shared" ca="1" si="37"/>
        <v>-4.2162496540721864E-2</v>
      </c>
    </row>
    <row r="205" spans="2:25" x14ac:dyDescent="0.45">
      <c r="B205" vm="1721">
        <f ca="1"/>
        <v>44460</v>
      </c>
      <c r="C205" vm="1722">
        <f ca="1"/>
        <v>294.8</v>
      </c>
      <c r="D205" vm="1721">
        <f ca="1"/>
        <v>44460</v>
      </c>
      <c r="E205" vm="1723">
        <f ca="1"/>
        <v>20.3597</v>
      </c>
      <c r="F205" vm="1721">
        <f ca="1"/>
        <v>44460</v>
      </c>
      <c r="G205" vm="1724">
        <f ca="1"/>
        <v>220.17</v>
      </c>
      <c r="H205" vm="1721">
        <f ca="1"/>
        <v>44460</v>
      </c>
      <c r="I205" vm="1725">
        <f ca="1"/>
        <v>171.44</v>
      </c>
      <c r="J205" vm="1721">
        <f ca="1"/>
        <v>44460</v>
      </c>
      <c r="K205" vm="1726">
        <f ca="1"/>
        <v>21.48</v>
      </c>
      <c r="L205" vm="1721">
        <f ca="1"/>
        <v>44460</v>
      </c>
      <c r="M205" vm="480">
        <f ca="1"/>
        <v>234.51</v>
      </c>
      <c r="N205" vm="1721">
        <f ca="1"/>
        <v>44460</v>
      </c>
      <c r="O205" vm="1727">
        <f ca="1"/>
        <v>461.76</v>
      </c>
      <c r="P205" vm="1721">
        <f ca="1"/>
        <v>44460</v>
      </c>
      <c r="Q205" vm="1728">
        <f ca="1"/>
        <v>58.101999999999997</v>
      </c>
      <c r="R205" s="29">
        <f t="shared" ca="1" si="31"/>
        <v>1.6989466530750934E-3</v>
      </c>
      <c r="S205" s="30">
        <f t="shared" ca="1" si="32"/>
        <v>-9.1831967452454082E-3</v>
      </c>
      <c r="T205" s="30">
        <f t="shared" ca="1" si="33"/>
        <v>5.4533060668019145E-4</v>
      </c>
      <c r="U205" s="30">
        <f t="shared" ca="1" si="34"/>
        <v>5.8363487802027734E-4</v>
      </c>
      <c r="V205" s="30">
        <f t="shared" ca="1" si="35"/>
        <v>-1.6483516483516456E-2</v>
      </c>
      <c r="W205" s="30">
        <f t="shared" ca="1" si="38"/>
        <v>-1.3669246298788695E-2</v>
      </c>
      <c r="X205" s="30">
        <f t="shared" ca="1" si="36"/>
        <v>-2.9589778076664394E-2</v>
      </c>
      <c r="Y205" s="31">
        <f t="shared" ca="1" si="37"/>
        <v>-1.2525705739390573E-2</v>
      </c>
    </row>
    <row r="206" spans="2:25" x14ac:dyDescent="0.45">
      <c r="B206" vm="1729">
        <f ca="1"/>
        <v>44461</v>
      </c>
      <c r="C206" vm="1730">
        <f ca="1"/>
        <v>298.58</v>
      </c>
      <c r="D206" vm="1729">
        <f ca="1"/>
        <v>44461</v>
      </c>
      <c r="E206" vm="1731">
        <f ca="1"/>
        <v>20.397400000000001</v>
      </c>
      <c r="F206" vm="1729">
        <f ca="1"/>
        <v>44461</v>
      </c>
      <c r="G206" vm="155">
        <f ca="1"/>
        <v>222.75</v>
      </c>
      <c r="H206" vm="1729">
        <f ca="1"/>
        <v>44461</v>
      </c>
      <c r="I206" vm="1732">
        <f ca="1"/>
        <v>172.44</v>
      </c>
      <c r="J206" vm="1729">
        <f ca="1"/>
        <v>44461</v>
      </c>
      <c r="K206" vm="1733">
        <f ca="1"/>
        <v>21.49</v>
      </c>
      <c r="L206" vm="1729">
        <f ca="1"/>
        <v>44461</v>
      </c>
      <c r="M206" vm="1734">
        <f ca="1"/>
        <v>235.35</v>
      </c>
      <c r="N206" vm="1729">
        <f ca="1"/>
        <v>44461</v>
      </c>
      <c r="O206" vm="1735">
        <f ca="1"/>
        <v>433.12</v>
      </c>
      <c r="P206" vm="1729">
        <f ca="1"/>
        <v>44461</v>
      </c>
      <c r="Q206" vm="1736">
        <f ca="1"/>
        <v>59.960999999999999</v>
      </c>
      <c r="R206" s="29">
        <f t="shared" ca="1" si="31"/>
        <v>1.2822252374491087E-2</v>
      </c>
      <c r="S206" s="30">
        <f t="shared" ca="1" si="32"/>
        <v>1.8516972254012071E-3</v>
      </c>
      <c r="T206" s="30">
        <f t="shared" ca="1" si="33"/>
        <v>1.1718217740836683E-2</v>
      </c>
      <c r="U206" s="30">
        <f t="shared" ca="1" si="34"/>
        <v>5.8329444703686421E-3</v>
      </c>
      <c r="V206" s="30">
        <f t="shared" ca="1" si="35"/>
        <v>4.6554934823081983E-4</v>
      </c>
      <c r="W206" s="30">
        <f t="shared" ca="1" si="38"/>
        <v>3.5819368044006797E-3</v>
      </c>
      <c r="X206" s="30">
        <f t="shared" ca="1" si="36"/>
        <v>-6.2023562023561997E-2</v>
      </c>
      <c r="Y206" s="31">
        <f t="shared" ca="1" si="37"/>
        <v>3.1995456266565726E-2</v>
      </c>
    </row>
    <row r="207" spans="2:25" x14ac:dyDescent="0.45">
      <c r="B207" vm="1737">
        <f ca="1"/>
        <v>44462</v>
      </c>
      <c r="C207" vm="1738">
        <f ca="1"/>
        <v>299.56</v>
      </c>
      <c r="D207" vm="1737">
        <f ca="1"/>
        <v>44462</v>
      </c>
      <c r="E207" vm="1620">
        <f ca="1"/>
        <v>20.533300000000001</v>
      </c>
      <c r="F207" vm="1737">
        <f ca="1"/>
        <v>44462</v>
      </c>
      <c r="G207" vm="1739">
        <f ca="1"/>
        <v>228.31</v>
      </c>
      <c r="H207" vm="1737">
        <f ca="1"/>
        <v>44462</v>
      </c>
      <c r="I207" vm="1740">
        <f ca="1"/>
        <v>172.77</v>
      </c>
      <c r="J207" vm="1737">
        <f ca="1"/>
        <v>44462</v>
      </c>
      <c r="K207" vm="1741">
        <f ca="1"/>
        <v>21.88</v>
      </c>
      <c r="L207" vm="1737">
        <f ca="1"/>
        <v>44462</v>
      </c>
      <c r="M207" vm="1742">
        <f ca="1"/>
        <v>234.86</v>
      </c>
      <c r="N207" vm="1737">
        <f ca="1"/>
        <v>44462</v>
      </c>
      <c r="O207" vm="1743">
        <f ca="1"/>
        <v>405.76</v>
      </c>
      <c r="P207" vm="1737">
        <f ca="1"/>
        <v>44462</v>
      </c>
      <c r="Q207" vm="1744">
        <f ca="1"/>
        <v>61.656999999999996</v>
      </c>
      <c r="R207" s="29">
        <f t="shared" ca="1" si="31"/>
        <v>3.282202424810832E-3</v>
      </c>
      <c r="S207" s="30">
        <f t="shared" ca="1" si="32"/>
        <v>6.662613862551083E-3</v>
      </c>
      <c r="T207" s="30">
        <f t="shared" ca="1" si="33"/>
        <v>2.4960718294051637E-2</v>
      </c>
      <c r="U207" s="30">
        <f t="shared" ca="1" si="34"/>
        <v>1.9137091162144079E-3</v>
      </c>
      <c r="V207" s="30">
        <f t="shared" ca="1" si="35"/>
        <v>1.8147975802698956E-2</v>
      </c>
      <c r="W207" s="30">
        <f t="shared" ca="1" si="38"/>
        <v>-2.0820055236880422E-3</v>
      </c>
      <c r="X207" s="30">
        <f t="shared" ca="1" si="36"/>
        <v>-6.316956039896568E-2</v>
      </c>
      <c r="Y207" s="31">
        <f t="shared" ca="1" si="37"/>
        <v>2.8285051950434417E-2</v>
      </c>
    </row>
    <row r="208" spans="2:25" x14ac:dyDescent="0.45">
      <c r="B208" vm="1745">
        <f ca="1"/>
        <v>44463</v>
      </c>
      <c r="C208" vm="1746">
        <f ca="1"/>
        <v>299.35000000000002</v>
      </c>
      <c r="D208" vm="1745">
        <f ca="1"/>
        <v>44463</v>
      </c>
      <c r="E208" vm="1594">
        <f ca="1"/>
        <v>20.488</v>
      </c>
      <c r="F208" vm="1745">
        <f ca="1"/>
        <v>44463</v>
      </c>
      <c r="G208" vm="1747">
        <f ca="1"/>
        <v>231.59</v>
      </c>
      <c r="H208" vm="1745">
        <f ca="1"/>
        <v>44463</v>
      </c>
      <c r="I208" vm="1748">
        <f ca="1"/>
        <v>172.4</v>
      </c>
      <c r="J208" vm="1745">
        <f ca="1"/>
        <v>44463</v>
      </c>
      <c r="K208" vm="1749">
        <f ca="1"/>
        <v>21.85</v>
      </c>
      <c r="L208" vm="1745">
        <f ca="1"/>
        <v>44463</v>
      </c>
      <c r="M208" vm="1750">
        <f ca="1"/>
        <v>230.2</v>
      </c>
      <c r="N208" vm="1745">
        <f ca="1"/>
        <v>44463</v>
      </c>
      <c r="O208" vm="1751">
        <f ca="1"/>
        <v>393.28</v>
      </c>
      <c r="P208" vm="1745">
        <f ca="1"/>
        <v>44463</v>
      </c>
      <c r="Q208" vm="1752">
        <f ca="1"/>
        <v>59.939</v>
      </c>
      <c r="R208" s="29">
        <f t="shared" ca="1" si="31"/>
        <v>-7.0102817465609408E-4</v>
      </c>
      <c r="S208" s="30">
        <f t="shared" ca="1" si="32"/>
        <v>-2.2061724126176017E-3</v>
      </c>
      <c r="T208" s="30">
        <f t="shared" ca="1" si="33"/>
        <v>1.4366431606149538E-2</v>
      </c>
      <c r="U208" s="30">
        <f t="shared" ca="1" si="34"/>
        <v>-2.1415755050066825E-3</v>
      </c>
      <c r="V208" s="30">
        <f t="shared" ca="1" si="35"/>
        <v>-1.3711151736744782E-3</v>
      </c>
      <c r="W208" s="30">
        <f t="shared" ca="1" si="38"/>
        <v>-1.9841607766328984E-2</v>
      </c>
      <c r="X208" s="30">
        <f t="shared" ca="1" si="36"/>
        <v>-3.0757097791798152E-2</v>
      </c>
      <c r="Y208" s="31">
        <f t="shared" ca="1" si="37"/>
        <v>-2.7863827302658198E-2</v>
      </c>
    </row>
    <row r="209" spans="2:25" x14ac:dyDescent="0.45">
      <c r="B209" vm="1753">
        <f ca="1"/>
        <v>44466</v>
      </c>
      <c r="C209" vm="1754">
        <f ca="1"/>
        <v>294.17</v>
      </c>
      <c r="D209" vm="1753">
        <f ca="1"/>
        <v>44466</v>
      </c>
      <c r="E209" vm="1755">
        <f ca="1"/>
        <v>20.6919</v>
      </c>
      <c r="F209" vm="1753">
        <f ca="1"/>
        <v>44466</v>
      </c>
      <c r="G209" vm="1162">
        <f ca="1"/>
        <v>229.6</v>
      </c>
      <c r="H209" vm="1753">
        <f ca="1"/>
        <v>44466</v>
      </c>
      <c r="I209" vm="1756">
        <f ca="1"/>
        <v>166.38</v>
      </c>
      <c r="J209" vm="1753">
        <f ca="1"/>
        <v>44466</v>
      </c>
      <c r="K209" vm="1757">
        <f ca="1"/>
        <v>22.85</v>
      </c>
      <c r="L209" vm="1753">
        <f ca="1"/>
        <v>44466</v>
      </c>
      <c r="M209" vm="1758">
        <f ca="1"/>
        <v>232.94</v>
      </c>
      <c r="N209" vm="1753">
        <f ca="1"/>
        <v>44466</v>
      </c>
      <c r="O209" vm="1625">
        <f ca="1"/>
        <v>397.12</v>
      </c>
      <c r="P209" vm="1753">
        <f ca="1"/>
        <v>44466</v>
      </c>
      <c r="Q209" vm="1759">
        <f ca="1"/>
        <v>59.475000000000001</v>
      </c>
      <c r="R209" s="29">
        <f t="shared" ca="1" si="31"/>
        <v>-1.7304159011190937E-2</v>
      </c>
      <c r="S209" s="30">
        <f t="shared" ca="1" si="32"/>
        <v>9.9521671222179264E-3</v>
      </c>
      <c r="T209" s="30">
        <f t="shared" ca="1" si="33"/>
        <v>-8.592771708623036E-3</v>
      </c>
      <c r="U209" s="30">
        <f t="shared" ca="1" si="34"/>
        <v>-3.4918793503480337E-2</v>
      </c>
      <c r="V209" s="30">
        <f t="shared" ca="1" si="35"/>
        <v>4.5766590389016017E-2</v>
      </c>
      <c r="W209" s="30">
        <f t="shared" ca="1" si="38"/>
        <v>1.1902693310165115E-2</v>
      </c>
      <c r="X209" s="30">
        <f t="shared" ca="1" si="36"/>
        <v>9.7640358014646871E-3</v>
      </c>
      <c r="Y209" s="31">
        <f t="shared" ca="1" si="37"/>
        <v>-7.7412035569495424E-3</v>
      </c>
    </row>
    <row r="210" spans="2:25" x14ac:dyDescent="0.45">
      <c r="B210" vm="1760">
        <f ca="1"/>
        <v>44467</v>
      </c>
      <c r="C210" vm="1761">
        <f ca="1"/>
        <v>283.52</v>
      </c>
      <c r="D210" vm="1760">
        <f ca="1"/>
        <v>44467</v>
      </c>
      <c r="E210" vm="1762">
        <f ca="1"/>
        <v>20.571100000000001</v>
      </c>
      <c r="F210" vm="1760">
        <f ca="1"/>
        <v>44467</v>
      </c>
      <c r="G210" vm="1763">
        <f ca="1"/>
        <v>225.56</v>
      </c>
      <c r="H210" vm="1760">
        <f ca="1"/>
        <v>44467</v>
      </c>
      <c r="I210" vm="1764">
        <f ca="1"/>
        <v>159.9</v>
      </c>
      <c r="J210" vm="1760">
        <f ca="1"/>
        <v>44467</v>
      </c>
      <c r="K210" vm="1765">
        <f ca="1"/>
        <v>22.42</v>
      </c>
      <c r="L210" vm="1760">
        <f ca="1"/>
        <v>44467</v>
      </c>
      <c r="M210" vm="1766">
        <f ca="1"/>
        <v>227.34</v>
      </c>
      <c r="N210" vm="1760">
        <f ca="1"/>
        <v>44467</v>
      </c>
      <c r="O210" vm="1767">
        <f ca="1"/>
        <v>438.56</v>
      </c>
      <c r="P210" vm="1760">
        <f ca="1"/>
        <v>44467</v>
      </c>
      <c r="Q210" vm="1768">
        <f ca="1"/>
        <v>57.350999999999999</v>
      </c>
      <c r="R210" s="29">
        <f t="shared" ca="1" si="31"/>
        <v>-3.6203555767073577E-2</v>
      </c>
      <c r="S210" s="30">
        <f t="shared" ca="1" si="32"/>
        <v>-5.838033240060078E-3</v>
      </c>
      <c r="T210" s="30">
        <f t="shared" ca="1" si="33"/>
        <v>-1.7595818815330976E-2</v>
      </c>
      <c r="U210" s="30">
        <f t="shared" ca="1" si="34"/>
        <v>-3.8946988820771668E-2</v>
      </c>
      <c r="V210" s="30">
        <f t="shared" ca="1" si="35"/>
        <v>-1.8818380743982482E-2</v>
      </c>
      <c r="W210" s="30">
        <f t="shared" ca="1" si="38"/>
        <v>-2.4040525457199254E-2</v>
      </c>
      <c r="X210" s="30">
        <f t="shared" ca="1" si="36"/>
        <v>0.10435132957292505</v>
      </c>
      <c r="Y210" s="31">
        <f t="shared" ca="1" si="37"/>
        <v>-3.5712484237074439E-2</v>
      </c>
    </row>
    <row r="211" spans="2:25" x14ac:dyDescent="0.45">
      <c r="B211" vm="1769">
        <f ca="1"/>
        <v>44468</v>
      </c>
      <c r="C211" vm="1770">
        <f ca="1"/>
        <v>284</v>
      </c>
      <c r="D211" vm="1769">
        <f ca="1"/>
        <v>44468</v>
      </c>
      <c r="E211" vm="1755">
        <f ca="1"/>
        <v>20.6919</v>
      </c>
      <c r="F211" vm="1769">
        <f ca="1"/>
        <v>44468</v>
      </c>
      <c r="G211" vm="1771">
        <f ca="1"/>
        <v>226.68</v>
      </c>
      <c r="H211" vm="1769">
        <f ca="1"/>
        <v>44468</v>
      </c>
      <c r="I211" vm="1772">
        <f ca="1"/>
        <v>160</v>
      </c>
      <c r="J211" vm="1769">
        <f ca="1"/>
        <v>44468</v>
      </c>
      <c r="K211" vm="1773">
        <f ca="1"/>
        <v>21.86</v>
      </c>
      <c r="L211" vm="1769">
        <f ca="1"/>
        <v>44468</v>
      </c>
      <c r="M211" vm="1774">
        <f ca="1"/>
        <v>220.32</v>
      </c>
      <c r="N211" vm="1769">
        <f ca="1"/>
        <v>44468</v>
      </c>
      <c r="O211" vm="1775">
        <f ca="1"/>
        <v>444.96</v>
      </c>
      <c r="P211" vm="1769">
        <f ca="1"/>
        <v>44468</v>
      </c>
      <c r="Q211" vm="1776">
        <f ca="1"/>
        <v>56.631999999999998</v>
      </c>
      <c r="R211" s="29">
        <f t="shared" ca="1" si="31"/>
        <v>1.6930022573364075E-3</v>
      </c>
      <c r="S211" s="30">
        <f t="shared" ca="1" si="32"/>
        <v>5.8723160161585491E-3</v>
      </c>
      <c r="T211" s="30">
        <f t="shared" ca="1" si="33"/>
        <v>4.9654194006029636E-3</v>
      </c>
      <c r="U211" s="30">
        <f t="shared" ca="1" si="34"/>
        <v>6.2539086929327276E-4</v>
      </c>
      <c r="V211" s="30">
        <f t="shared" ca="1" si="35"/>
        <v>-2.4977698483496978E-2</v>
      </c>
      <c r="W211" s="30">
        <f t="shared" ca="1" si="38"/>
        <v>-3.0878859857482229E-2</v>
      </c>
      <c r="X211" s="30">
        <f t="shared" ca="1" si="36"/>
        <v>1.4593214155417679E-2</v>
      </c>
      <c r="Y211" s="31">
        <f t="shared" ca="1" si="37"/>
        <v>-1.2536834580042218E-2</v>
      </c>
    </row>
    <row r="212" spans="2:25" x14ac:dyDescent="0.45">
      <c r="B212" vm="1777">
        <f ca="1"/>
        <v>44469</v>
      </c>
      <c r="C212" vm="1778">
        <f ca="1"/>
        <v>281.92</v>
      </c>
      <c r="D212" vm="1777">
        <f ca="1"/>
        <v>44469</v>
      </c>
      <c r="E212" vm="1731">
        <f ca="1"/>
        <v>20.397400000000001</v>
      </c>
      <c r="F212" vm="1777">
        <f ca="1"/>
        <v>44469</v>
      </c>
      <c r="G212" vm="155">
        <f ca="1"/>
        <v>222.75</v>
      </c>
      <c r="H212" vm="1777">
        <f ca="1"/>
        <v>44469</v>
      </c>
      <c r="I212" vm="1779">
        <f ca="1"/>
        <v>157.53</v>
      </c>
      <c r="J212" vm="1777">
        <f ca="1"/>
        <v>44469</v>
      </c>
      <c r="K212" vm="1780">
        <f ca="1"/>
        <v>21.97</v>
      </c>
      <c r="L212" vm="1777">
        <f ca="1"/>
        <v>44469</v>
      </c>
      <c r="M212" vm="1781">
        <f ca="1"/>
        <v>225.34</v>
      </c>
      <c r="N212" vm="1777">
        <f ca="1"/>
        <v>44469</v>
      </c>
      <c r="O212" vm="1782">
        <f ca="1"/>
        <v>445.28</v>
      </c>
      <c r="P212" vm="1777">
        <f ca="1"/>
        <v>44469</v>
      </c>
      <c r="Q212" vm="1783">
        <f ca="1"/>
        <v>57.84</v>
      </c>
      <c r="R212" s="29">
        <f t="shared" ca="1" si="31"/>
        <v>-7.3239436619717746E-3</v>
      </c>
      <c r="S212" s="30">
        <f t="shared" ca="1" si="32"/>
        <v>-1.4232622427133289E-2</v>
      </c>
      <c r="T212" s="30">
        <f t="shared" ca="1" si="33"/>
        <v>-1.7337215457914269E-2</v>
      </c>
      <c r="U212" s="30">
        <f t="shared" ca="1" si="34"/>
        <v>-1.5437499999999993E-2</v>
      </c>
      <c r="V212" s="30">
        <f t="shared" ca="1" si="35"/>
        <v>5.0320219579139723E-3</v>
      </c>
      <c r="W212" s="30">
        <f t="shared" ca="1" si="38"/>
        <v>2.2785039941902733E-2</v>
      </c>
      <c r="X212" s="30">
        <f t="shared" ca="1" si="36"/>
        <v>7.1916576770944172E-4</v>
      </c>
      <c r="Y212" s="31">
        <f t="shared" ca="1" si="37"/>
        <v>2.1330696426048974E-2</v>
      </c>
    </row>
    <row r="213" spans="2:25" x14ac:dyDescent="0.45">
      <c r="B213" vm="1784">
        <f ca="1"/>
        <v>44470</v>
      </c>
      <c r="C213" vm="1785">
        <f ca="1"/>
        <v>289.10000000000002</v>
      </c>
      <c r="D213" vm="1784">
        <f ca="1"/>
        <v>44470</v>
      </c>
      <c r="E213" vm="1786">
        <f ca="1"/>
        <v>20.5107</v>
      </c>
      <c r="F213" vm="1784">
        <f ca="1"/>
        <v>44470</v>
      </c>
      <c r="G213" vm="1787">
        <f ca="1"/>
        <v>230.46</v>
      </c>
      <c r="H213" vm="1784">
        <f ca="1"/>
        <v>44470</v>
      </c>
      <c r="I213" vm="1788">
        <f ca="1"/>
        <v>155.99</v>
      </c>
      <c r="J213" vm="1784">
        <f ca="1"/>
        <v>44470</v>
      </c>
      <c r="K213" vm="1789">
        <f ca="1"/>
        <v>21.72</v>
      </c>
      <c r="L213" vm="1784">
        <f ca="1"/>
        <v>44470</v>
      </c>
      <c r="M213" vm="1790">
        <f ca="1"/>
        <v>229.33</v>
      </c>
      <c r="N213" vm="1784">
        <f ca="1"/>
        <v>44470</v>
      </c>
      <c r="O213" vm="1791">
        <f ca="1"/>
        <v>429.12</v>
      </c>
      <c r="P213" vm="1784">
        <f ca="1"/>
        <v>44470</v>
      </c>
      <c r="Q213" vm="1792">
        <f ca="1"/>
        <v>61.246000000000002</v>
      </c>
      <c r="R213" s="29">
        <f t="shared" ca="1" si="31"/>
        <v>2.5468217934165743E-2</v>
      </c>
      <c r="S213" s="30">
        <f t="shared" ca="1" si="32"/>
        <v>5.5546295116043632E-3</v>
      </c>
      <c r="T213" s="30">
        <f t="shared" ca="1" si="33"/>
        <v>3.4612794612794651E-2</v>
      </c>
      <c r="U213" s="30">
        <f t="shared" ca="1" si="34"/>
        <v>-9.7759156985970427E-3</v>
      </c>
      <c r="V213" s="30">
        <f t="shared" ca="1" si="35"/>
        <v>-1.137915339098771E-2</v>
      </c>
      <c r="W213" s="30">
        <f t="shared" ca="1" si="38"/>
        <v>1.7706576728499197E-2</v>
      </c>
      <c r="X213" s="30">
        <f t="shared" ca="1" si="36"/>
        <v>-3.629177146963701E-2</v>
      </c>
      <c r="Y213" s="31">
        <f t="shared" ca="1" si="37"/>
        <v>5.8886583679114778E-2</v>
      </c>
    </row>
    <row r="214" spans="2:25" x14ac:dyDescent="0.45">
      <c r="B214" vm="1793">
        <f ca="1"/>
        <v>44473</v>
      </c>
      <c r="C214" vm="1794">
        <f ca="1"/>
        <v>283.11</v>
      </c>
      <c r="D214" vm="1793">
        <f ca="1"/>
        <v>44473</v>
      </c>
      <c r="E214" vm="1795">
        <f ca="1"/>
        <v>20.578700000000001</v>
      </c>
      <c r="F214" vm="1793">
        <f ca="1"/>
        <v>44473</v>
      </c>
      <c r="G214" vm="1796">
        <f ca="1"/>
        <v>224.73</v>
      </c>
      <c r="H214" vm="1793">
        <f ca="1"/>
        <v>44473</v>
      </c>
      <c r="I214" vm="1797">
        <f ca="1"/>
        <v>152.36000000000001</v>
      </c>
      <c r="J214" vm="1793">
        <f ca="1"/>
        <v>44473</v>
      </c>
      <c r="K214" vm="1798">
        <f ca="1"/>
        <v>21.9</v>
      </c>
      <c r="L214" vm="1793">
        <f ca="1"/>
        <v>44473</v>
      </c>
      <c r="M214" vm="1799">
        <f ca="1"/>
        <v>221.91</v>
      </c>
      <c r="N214" vm="1793">
        <f ca="1"/>
        <v>44473</v>
      </c>
      <c r="O214" vm="1800">
        <f ca="1"/>
        <v>441.12</v>
      </c>
      <c r="P214" vm="1793">
        <f ca="1"/>
        <v>44473</v>
      </c>
      <c r="Q214" vm="1801">
        <f ca="1"/>
        <v>60.725000000000001</v>
      </c>
      <c r="R214" s="29">
        <f t="shared" ca="1" si="31"/>
        <v>-2.0719474230370145E-2</v>
      </c>
      <c r="S214" s="30">
        <f t="shared" ca="1" si="32"/>
        <v>3.3153427235541153E-3</v>
      </c>
      <c r="T214" s="30">
        <f t="shared" ca="1" si="33"/>
        <v>-2.4863316844571805E-2</v>
      </c>
      <c r="U214" s="30">
        <f t="shared" ca="1" si="34"/>
        <v>-2.3270722482210366E-2</v>
      </c>
      <c r="V214" s="30">
        <f t="shared" ca="1" si="35"/>
        <v>8.2872928176795455E-3</v>
      </c>
      <c r="W214" s="30">
        <f t="shared" ca="1" si="38"/>
        <v>-3.2355121440718684E-2</v>
      </c>
      <c r="X214" s="30">
        <f t="shared" ca="1" si="36"/>
        <v>2.7964205816554809E-2</v>
      </c>
      <c r="Y214" s="31">
        <f t="shared" ca="1" si="37"/>
        <v>-8.5066779871338667E-3</v>
      </c>
    </row>
    <row r="215" spans="2:25" x14ac:dyDescent="0.45">
      <c r="B215" vm="1802">
        <f ca="1"/>
        <v>44474</v>
      </c>
      <c r="C215" vm="1803">
        <f ca="1"/>
        <v>288.76</v>
      </c>
      <c r="D215" vm="1802">
        <f ca="1"/>
        <v>44474</v>
      </c>
      <c r="E215" vm="1804">
        <f ca="1"/>
        <v>20.654199999999999</v>
      </c>
      <c r="F215" vm="1802">
        <f ca="1"/>
        <v>44474</v>
      </c>
      <c r="G215" vm="1805">
        <f ca="1"/>
        <v>224.28</v>
      </c>
      <c r="H215" vm="1802">
        <f ca="1"/>
        <v>44474</v>
      </c>
      <c r="I215" vm="1806">
        <f ca="1"/>
        <v>153.03</v>
      </c>
      <c r="J215" vm="1802">
        <f ca="1"/>
        <v>44474</v>
      </c>
      <c r="K215" vm="1807">
        <f ca="1"/>
        <v>22.44</v>
      </c>
      <c r="L215" vm="1802">
        <f ca="1"/>
        <v>44474</v>
      </c>
      <c r="M215" vm="1808">
        <f ca="1"/>
        <v>225.82</v>
      </c>
      <c r="N215" vm="1802">
        <f ca="1"/>
        <v>44474</v>
      </c>
      <c r="O215" vm="1809">
        <f ca="1"/>
        <v>424.8</v>
      </c>
      <c r="P215" vm="1802">
        <f ca="1"/>
        <v>44474</v>
      </c>
      <c r="Q215" vm="1810">
        <f ca="1"/>
        <v>65.100999999999999</v>
      </c>
      <c r="R215" s="29">
        <f t="shared" ca="1" si="31"/>
        <v>1.9956907209211887E-2</v>
      </c>
      <c r="S215" s="30">
        <f t="shared" ca="1" si="32"/>
        <v>3.6688420551345868E-3</v>
      </c>
      <c r="T215" s="30">
        <f t="shared" ca="1" si="33"/>
        <v>-2.0024028834601019E-3</v>
      </c>
      <c r="U215" s="30">
        <f t="shared" ca="1" si="34"/>
        <v>4.3974796534522673E-3</v>
      </c>
      <c r="V215" s="30">
        <f t="shared" ca="1" si="35"/>
        <v>2.4657534246575467E-2</v>
      </c>
      <c r="W215" s="30">
        <f t="shared" ca="1" si="38"/>
        <v>1.7619755756838343E-2</v>
      </c>
      <c r="X215" s="30">
        <f t="shared" ca="1" si="36"/>
        <v>-3.6996735582154501E-2</v>
      </c>
      <c r="Y215" s="31">
        <f t="shared" ca="1" si="37"/>
        <v>7.2062577192260155E-2</v>
      </c>
    </row>
    <row r="216" spans="2:25" x14ac:dyDescent="0.45">
      <c r="B216" vm="1811">
        <f ca="1"/>
        <v>44475</v>
      </c>
      <c r="C216" vm="1812">
        <f ca="1"/>
        <v>293.11</v>
      </c>
      <c r="D216" vm="1811">
        <f ca="1"/>
        <v>44475</v>
      </c>
      <c r="E216" vm="1813">
        <f ca="1"/>
        <v>20.623999999999999</v>
      </c>
      <c r="F216" vm="1811">
        <f ca="1"/>
        <v>44475</v>
      </c>
      <c r="G216" vm="1814">
        <f ca="1"/>
        <v>226.51</v>
      </c>
      <c r="H216" vm="1811">
        <f ca="1"/>
        <v>44475</v>
      </c>
      <c r="I216" vm="1815">
        <f ca="1"/>
        <v>153.65</v>
      </c>
      <c r="J216" vm="1811">
        <f ca="1"/>
        <v>44475</v>
      </c>
      <c r="K216" vm="1816">
        <f ca="1"/>
        <v>20.5</v>
      </c>
      <c r="L216" vm="1811">
        <f ca="1"/>
        <v>44475</v>
      </c>
      <c r="M216" vm="1817">
        <f ca="1"/>
        <v>232.02</v>
      </c>
      <c r="N216" vm="1811">
        <f ca="1"/>
        <v>44475</v>
      </c>
      <c r="O216" vm="1818">
        <f ca="1"/>
        <v>419.36</v>
      </c>
      <c r="P216" vm="1811">
        <f ca="1"/>
        <v>44475</v>
      </c>
      <c r="Q216" vm="1819">
        <f ca="1"/>
        <v>67.381</v>
      </c>
      <c r="R216" s="29">
        <f t="shared" ca="1" si="31"/>
        <v>1.5064413353650169E-2</v>
      </c>
      <c r="S216" s="30">
        <f t="shared" ca="1" si="32"/>
        <v>-1.4621723426712567E-3</v>
      </c>
      <c r="T216" s="30">
        <f t="shared" ca="1" si="33"/>
        <v>9.9429284822542801E-3</v>
      </c>
      <c r="U216" s="30">
        <f t="shared" ca="1" si="34"/>
        <v>4.0514931712736365E-3</v>
      </c>
      <c r="V216" s="30">
        <f t="shared" ca="1" si="35"/>
        <v>-8.6452762923351217E-2</v>
      </c>
      <c r="W216" s="30">
        <f t="shared" ca="1" si="38"/>
        <v>2.7455495527411288E-2</v>
      </c>
      <c r="X216" s="30">
        <f t="shared" ca="1" si="36"/>
        <v>-1.2806026365348394E-2</v>
      </c>
      <c r="Y216" s="31">
        <f t="shared" ca="1" si="37"/>
        <v>3.5022503494569993E-2</v>
      </c>
    </row>
    <row r="217" spans="2:25" x14ac:dyDescent="0.45">
      <c r="B217" vm="1820">
        <f ca="1"/>
        <v>44476</v>
      </c>
      <c r="C217" vm="1821">
        <f ca="1"/>
        <v>294.85000000000002</v>
      </c>
      <c r="D217" vm="1820">
        <f ca="1"/>
        <v>44476</v>
      </c>
      <c r="E217" vm="1822">
        <f ca="1"/>
        <v>20.457799999999999</v>
      </c>
      <c r="F217" vm="1820">
        <f ca="1"/>
        <v>44476</v>
      </c>
      <c r="G217" vm="1823">
        <f ca="1"/>
        <v>230.55</v>
      </c>
      <c r="H217" vm="1820">
        <f ca="1"/>
        <v>44476</v>
      </c>
      <c r="I217" vm="1824">
        <f ca="1"/>
        <v>155.32</v>
      </c>
      <c r="J217" vm="1820">
        <f ca="1"/>
        <v>44476</v>
      </c>
      <c r="K217" vm="1825">
        <f ca="1"/>
        <v>20.78</v>
      </c>
      <c r="L217" vm="1820">
        <f ca="1"/>
        <v>44476</v>
      </c>
      <c r="M217" vm="1826">
        <f ca="1"/>
        <v>234.9</v>
      </c>
      <c r="N217" vm="1820">
        <f ca="1"/>
        <v>44476</v>
      </c>
      <c r="O217" vm="1827">
        <f ca="1"/>
        <v>404.16</v>
      </c>
      <c r="P217" vm="1820">
        <f ca="1"/>
        <v>44476</v>
      </c>
      <c r="Q217" vm="1828">
        <f ca="1"/>
        <v>69.278999999999996</v>
      </c>
      <c r="R217" s="29">
        <f t="shared" ca="1" si="31"/>
        <v>5.9363378936235847E-3</v>
      </c>
      <c r="S217" s="30">
        <f t="shared" ca="1" si="32"/>
        <v>-8.0585725368502673E-3</v>
      </c>
      <c r="T217" s="30">
        <f t="shared" ca="1" si="33"/>
        <v>1.7835857136550354E-2</v>
      </c>
      <c r="U217" s="30">
        <f t="shared" ca="1" si="34"/>
        <v>1.0868857793686869E-2</v>
      </c>
      <c r="V217" s="30">
        <f t="shared" ca="1" si="35"/>
        <v>1.3658536585365909E-2</v>
      </c>
      <c r="W217" s="30">
        <f t="shared" ca="1" si="38"/>
        <v>1.2412723041117124E-2</v>
      </c>
      <c r="X217" s="30">
        <f t="shared" ca="1" si="36"/>
        <v>-3.6245707745135414E-2</v>
      </c>
      <c r="Y217" s="31">
        <f t="shared" ca="1" si="37"/>
        <v>2.8168177973019043E-2</v>
      </c>
    </row>
    <row r="218" spans="2:25" x14ac:dyDescent="0.45">
      <c r="B218" vm="1829">
        <f ca="1"/>
        <v>44477</v>
      </c>
      <c r="C218" vm="1821">
        <f ca="1"/>
        <v>294.85000000000002</v>
      </c>
      <c r="D218" vm="1829">
        <f ca="1"/>
        <v>44477</v>
      </c>
      <c r="E218" vm="1830">
        <f ca="1"/>
        <v>20.216200000000001</v>
      </c>
      <c r="F218" vm="1829">
        <f ca="1"/>
        <v>44477</v>
      </c>
      <c r="G218" vm="1831">
        <f ca="1"/>
        <v>230.27</v>
      </c>
      <c r="H218" vm="1829">
        <f ca="1"/>
        <v>44477</v>
      </c>
      <c r="I218" vm="1832">
        <f ca="1"/>
        <v>152.47</v>
      </c>
      <c r="J218" vm="1829">
        <f ca="1"/>
        <v>44477</v>
      </c>
      <c r="K218" vm="1833">
        <f ca="1"/>
        <v>20.7</v>
      </c>
      <c r="L218" vm="1829">
        <f ca="1"/>
        <v>44477</v>
      </c>
      <c r="M218" vm="1834">
        <f ca="1"/>
        <v>232.88</v>
      </c>
      <c r="N218" vm="1829">
        <f ca="1"/>
        <v>44477</v>
      </c>
      <c r="O218" vm="1835">
        <f ca="1"/>
        <v>396.64</v>
      </c>
      <c r="P218" vm="1829">
        <f ca="1"/>
        <v>44477</v>
      </c>
      <c r="Q218" vm="1836">
        <f ca="1"/>
        <v>70.882000000000005</v>
      </c>
      <c r="R218" s="29">
        <f t="shared" ca="1" si="31"/>
        <v>0</v>
      </c>
      <c r="S218" s="30">
        <f t="shared" ca="1" si="32"/>
        <v>-1.1809676504804929E-2</v>
      </c>
      <c r="T218" s="30">
        <f t="shared" ca="1" si="33"/>
        <v>-1.214487096074609E-3</v>
      </c>
      <c r="U218" s="30">
        <f t="shared" ca="1" si="34"/>
        <v>-1.8349214524851883E-2</v>
      </c>
      <c r="V218" s="30">
        <f t="shared" ca="1" si="35"/>
        <v>-3.8498556304139482E-3</v>
      </c>
      <c r="W218" s="30">
        <f t="shared" ca="1" si="38"/>
        <v>-8.5994040017028962E-3</v>
      </c>
      <c r="X218" s="30">
        <f t="shared" ca="1" si="36"/>
        <v>-1.860649247822654E-2</v>
      </c>
      <c r="Y218" s="31">
        <f t="shared" ca="1" si="37"/>
        <v>2.3138324744872308E-2</v>
      </c>
    </row>
    <row r="219" spans="2:25" x14ac:dyDescent="0.45">
      <c r="B219" vm="1837">
        <f ca="1"/>
        <v>44480</v>
      </c>
      <c r="C219" vm="1838">
        <f ca="1"/>
        <v>294.23</v>
      </c>
      <c r="D219" vm="1837">
        <f ca="1"/>
        <v>44480</v>
      </c>
      <c r="E219" vm="1839">
        <f ca="1"/>
        <v>19.657299999999999</v>
      </c>
      <c r="F219" vm="1837">
        <f ca="1"/>
        <v>44480</v>
      </c>
      <c r="G219" vm="1638">
        <f ca="1"/>
        <v>225.11</v>
      </c>
      <c r="H219" vm="1837">
        <f ca="1"/>
        <v>44480</v>
      </c>
      <c r="I219" vm="1840">
        <f ca="1"/>
        <v>150.02000000000001</v>
      </c>
      <c r="J219" vm="1837">
        <f ca="1"/>
        <v>44480</v>
      </c>
      <c r="K219" vm="221">
        <f ca="1"/>
        <v>21.32</v>
      </c>
      <c r="L219" vm="1837">
        <f ca="1"/>
        <v>44480</v>
      </c>
      <c r="M219" vm="1841">
        <f ca="1"/>
        <v>231.89</v>
      </c>
      <c r="N219" vm="1837">
        <f ca="1"/>
        <v>44480</v>
      </c>
      <c r="O219" vm="1842">
        <f ca="1"/>
        <v>401.92</v>
      </c>
      <c r="P219" vm="1837">
        <f ca="1"/>
        <v>44480</v>
      </c>
      <c r="Q219" vm="1843">
        <f ca="1"/>
        <v>73.180000000000007</v>
      </c>
      <c r="R219" s="29">
        <f t="shared" ca="1" si="31"/>
        <v>-2.1027641173478194E-3</v>
      </c>
      <c r="S219" s="30">
        <f t="shared" ca="1" si="32"/>
        <v>-2.7646145170704746E-2</v>
      </c>
      <c r="T219" s="30">
        <f t="shared" ca="1" si="33"/>
        <v>-2.2408477005254685E-2</v>
      </c>
      <c r="U219" s="30">
        <f t="shared" ca="1" si="34"/>
        <v>-1.6068734833081844E-2</v>
      </c>
      <c r="V219" s="30">
        <f t="shared" ca="1" si="35"/>
        <v>2.9951690821256087E-2</v>
      </c>
      <c r="W219" s="30">
        <f t="shared" ca="1" si="38"/>
        <v>-4.2511164548265593E-3</v>
      </c>
      <c r="X219" s="30">
        <f t="shared" ca="1" si="36"/>
        <v>1.3311819281968611E-2</v>
      </c>
      <c r="Y219" s="31">
        <f t="shared" ca="1" si="37"/>
        <v>3.2420078440224619E-2</v>
      </c>
    </row>
    <row r="220" spans="2:25" x14ac:dyDescent="0.45">
      <c r="B220" vm="1844">
        <f ca="1"/>
        <v>44481</v>
      </c>
      <c r="C220" vm="1845">
        <f ca="1"/>
        <v>292.88</v>
      </c>
      <c r="D220" vm="1844">
        <f ca="1"/>
        <v>44481</v>
      </c>
      <c r="E220" vm="1846">
        <f ca="1"/>
        <v>19.2042</v>
      </c>
      <c r="F220" vm="1844">
        <f ca="1"/>
        <v>44481</v>
      </c>
      <c r="G220" vm="1847">
        <f ca="1"/>
        <v>224.05</v>
      </c>
      <c r="H220" vm="1844">
        <f ca="1"/>
        <v>44481</v>
      </c>
      <c r="I220" vm="1848">
        <f ca="1"/>
        <v>147.94999999999999</v>
      </c>
      <c r="J220" vm="1844">
        <f ca="1"/>
        <v>44481</v>
      </c>
      <c r="K220" vm="1849">
        <f ca="1"/>
        <v>21.8</v>
      </c>
      <c r="L220" vm="1844">
        <f ca="1"/>
        <v>44481</v>
      </c>
      <c r="M220" vm="1850">
        <f ca="1"/>
        <v>235.3</v>
      </c>
      <c r="N220" vm="1844">
        <f ca="1"/>
        <v>44481</v>
      </c>
      <c r="O220" vm="1851">
        <f ca="1"/>
        <v>393.76</v>
      </c>
      <c r="P220" vm="1844">
        <f ca="1"/>
        <v>44481</v>
      </c>
      <c r="Q220" vm="1852">
        <f ca="1"/>
        <v>71.064999999999998</v>
      </c>
      <c r="R220" s="29">
        <f t="shared" ca="1" si="31"/>
        <v>-4.5882472895354747E-3</v>
      </c>
      <c r="S220" s="30">
        <f t="shared" ca="1" si="32"/>
        <v>-2.3049961083159903E-2</v>
      </c>
      <c r="T220" s="30">
        <f t="shared" ca="1" si="33"/>
        <v>-4.7088090266980687E-3</v>
      </c>
      <c r="U220" s="30">
        <f t="shared" ca="1" si="34"/>
        <v>-1.379816024530077E-2</v>
      </c>
      <c r="V220" s="30">
        <f t="shared" ca="1" si="35"/>
        <v>2.251407129455912E-2</v>
      </c>
      <c r="W220" s="30">
        <f t="shared" ca="1" si="38"/>
        <v>1.4705248178015547E-2</v>
      </c>
      <c r="X220" s="30">
        <f t="shared" ca="1" si="36"/>
        <v>-2.0302547770700698E-2</v>
      </c>
      <c r="Y220" s="31">
        <f t="shared" ca="1" si="37"/>
        <v>-2.8901339163706054E-2</v>
      </c>
    </row>
    <row r="221" spans="2:25" x14ac:dyDescent="0.45">
      <c r="B221" vm="1853">
        <f ca="1"/>
        <v>44482</v>
      </c>
      <c r="C221" vm="1854">
        <f ca="1"/>
        <v>296.31</v>
      </c>
      <c r="D221" vm="1853">
        <f ca="1"/>
        <v>44482</v>
      </c>
      <c r="E221" vm="1855">
        <f ca="1"/>
        <v>19.106100000000001</v>
      </c>
      <c r="F221" vm="1853">
        <f ca="1"/>
        <v>44482</v>
      </c>
      <c r="G221" vm="1856">
        <f ca="1"/>
        <v>222.46</v>
      </c>
      <c r="H221" vm="1853">
        <f ca="1"/>
        <v>44482</v>
      </c>
      <c r="I221" vm="1857">
        <f ca="1"/>
        <v>150.22</v>
      </c>
      <c r="J221" vm="1853">
        <f ca="1"/>
        <v>44482</v>
      </c>
      <c r="K221" vm="1858">
        <f ca="1"/>
        <v>21.45</v>
      </c>
      <c r="L221" vm="1853">
        <f ca="1"/>
        <v>44482</v>
      </c>
      <c r="M221" vm="1859">
        <f ca="1"/>
        <v>243.83</v>
      </c>
      <c r="N221" vm="1853">
        <f ca="1"/>
        <v>44482</v>
      </c>
      <c r="O221" vm="1860">
        <f ca="1"/>
        <v>386.24</v>
      </c>
      <c r="P221" vm="1853">
        <f ca="1"/>
        <v>44482</v>
      </c>
      <c r="Q221" vm="1861">
        <f ca="1"/>
        <v>72.63</v>
      </c>
      <c r="R221" s="29">
        <f t="shared" ca="1" si="31"/>
        <v>1.1711281070745721E-2</v>
      </c>
      <c r="S221" s="30">
        <f t="shared" ca="1" si="32"/>
        <v>-5.1082575686567907E-3</v>
      </c>
      <c r="T221" s="30">
        <f t="shared" ca="1" si="33"/>
        <v>-7.0966302164695528E-3</v>
      </c>
      <c r="U221" s="30">
        <f t="shared" ca="1" si="34"/>
        <v>1.5343021290976751E-2</v>
      </c>
      <c r="V221" s="30">
        <f t="shared" ca="1" si="35"/>
        <v>-1.6055045871559696E-2</v>
      </c>
      <c r="W221" s="30">
        <f t="shared" ca="1" si="38"/>
        <v>3.6251593710157251E-2</v>
      </c>
      <c r="X221" s="30">
        <f t="shared" ca="1" si="36"/>
        <v>-1.9097927671678134E-2</v>
      </c>
      <c r="Y221" s="31">
        <f t="shared" ca="1" si="37"/>
        <v>2.2022092450573388E-2</v>
      </c>
    </row>
    <row r="222" spans="2:25" x14ac:dyDescent="0.45">
      <c r="B222" vm="1862">
        <f ca="1"/>
        <v>44483</v>
      </c>
      <c r="C222" vm="1863">
        <f ca="1"/>
        <v>302.75</v>
      </c>
      <c r="D222" vm="1862">
        <f ca="1"/>
        <v>44483</v>
      </c>
      <c r="E222" vm="1864">
        <f ca="1"/>
        <v>19.3477</v>
      </c>
      <c r="F222" vm="1862">
        <f ca="1"/>
        <v>44483</v>
      </c>
      <c r="G222" vm="1865">
        <f ca="1"/>
        <v>225.18</v>
      </c>
      <c r="H222" vm="1862">
        <f ca="1"/>
        <v>44483</v>
      </c>
      <c r="I222" vm="1866">
        <f ca="1"/>
        <v>152.59</v>
      </c>
      <c r="J222" vm="1862">
        <f ca="1"/>
        <v>44483</v>
      </c>
      <c r="K222" vm="1807">
        <f ca="1"/>
        <v>22.44</v>
      </c>
      <c r="L222" vm="1862">
        <f ca="1"/>
        <v>44483</v>
      </c>
      <c r="M222" vm="1867">
        <f ca="1"/>
        <v>247.37</v>
      </c>
      <c r="N222" vm="1862">
        <f ca="1"/>
        <v>44483</v>
      </c>
      <c r="O222" vm="1868">
        <f ca="1"/>
        <v>364.96</v>
      </c>
      <c r="P222" vm="1862">
        <f ca="1"/>
        <v>44483</v>
      </c>
      <c r="Q222" vm="1869">
        <f ca="1"/>
        <v>72.394999999999996</v>
      </c>
      <c r="R222" s="29">
        <f t="shared" ca="1" si="31"/>
        <v>2.1733994802740367E-2</v>
      </c>
      <c r="S222" s="30">
        <f t="shared" ca="1" si="32"/>
        <v>1.264517614793172E-2</v>
      </c>
      <c r="T222" s="30">
        <f t="shared" ca="1" si="33"/>
        <v>1.2226917198597495E-2</v>
      </c>
      <c r="U222" s="30">
        <f t="shared" ca="1" si="34"/>
        <v>1.5776860604446843E-2</v>
      </c>
      <c r="V222" s="30">
        <f t="shared" ca="1" si="35"/>
        <v>4.6153846153846247E-2</v>
      </c>
      <c r="W222" s="30">
        <f t="shared" ca="1" si="38"/>
        <v>1.4518311938645745E-2</v>
      </c>
      <c r="X222" s="30">
        <f t="shared" ca="1" si="36"/>
        <v>-5.5095277547638849E-2</v>
      </c>
      <c r="Y222" s="31">
        <f t="shared" ca="1" si="37"/>
        <v>-3.2355775850199564E-3</v>
      </c>
    </row>
    <row r="223" spans="2:25" x14ac:dyDescent="0.45">
      <c r="B223" vm="1870">
        <f ca="1"/>
        <v>44484</v>
      </c>
      <c r="C223" vm="1871">
        <f ca="1"/>
        <v>304.20999999999998</v>
      </c>
      <c r="D223" vm="1870">
        <f ca="1"/>
        <v>44484</v>
      </c>
      <c r="E223" vm="1872">
        <f ca="1"/>
        <v>19.408100000000001</v>
      </c>
      <c r="F223" vm="1870">
        <f ca="1"/>
        <v>44484</v>
      </c>
      <c r="G223" vm="1873">
        <f ca="1"/>
        <v>230.99</v>
      </c>
      <c r="H223" vm="1870">
        <f ca="1"/>
        <v>44484</v>
      </c>
      <c r="I223" vm="1874">
        <f ca="1"/>
        <v>153.27000000000001</v>
      </c>
      <c r="J223" vm="1870">
        <f ca="1"/>
        <v>44484</v>
      </c>
      <c r="K223" vm="1875">
        <f ca="1"/>
        <v>22.11</v>
      </c>
      <c r="L223" vm="1870">
        <f ca="1"/>
        <v>44484</v>
      </c>
      <c r="M223" vm="1068">
        <f ca="1"/>
        <v>247.4</v>
      </c>
      <c r="N223" vm="1870">
        <f ca="1"/>
        <v>44484</v>
      </c>
      <c r="O223" vm="1876">
        <f ca="1"/>
        <v>364.64</v>
      </c>
      <c r="P223" vm="1870">
        <f ca="1"/>
        <v>44484</v>
      </c>
      <c r="Q223" vm="1877">
        <f ca="1"/>
        <v>74.984999999999999</v>
      </c>
      <c r="R223" s="29">
        <f t="shared" ca="1" si="31"/>
        <v>4.8224607762179343E-3</v>
      </c>
      <c r="S223" s="30">
        <f t="shared" ca="1" si="32"/>
        <v>3.1218180972416021E-3</v>
      </c>
      <c r="T223" s="30">
        <f t="shared" ca="1" si="33"/>
        <v>2.5801580957456268E-2</v>
      </c>
      <c r="U223" s="30">
        <f t="shared" ca="1" si="34"/>
        <v>4.4563863949145209E-3</v>
      </c>
      <c r="V223" s="30">
        <f t="shared" ca="1" si="35"/>
        <v>-1.4705882352941258E-2</v>
      </c>
      <c r="W223" s="30">
        <f t="shared" ca="1" si="38"/>
        <v>1.2127582164369623E-4</v>
      </c>
      <c r="X223" s="30">
        <f t="shared" ca="1" si="36"/>
        <v>-8.7680841736078804E-4</v>
      </c>
      <c r="Y223" s="31">
        <f t="shared" ca="1" si="37"/>
        <v>3.5775951377857634E-2</v>
      </c>
    </row>
    <row r="224" spans="2:25" x14ac:dyDescent="0.45">
      <c r="B224" vm="1878">
        <f ca="1"/>
        <v>44487</v>
      </c>
      <c r="C224" vm="1879">
        <f ca="1"/>
        <v>307.29000000000002</v>
      </c>
      <c r="D224" vm="1878">
        <f ca="1"/>
        <v>44487</v>
      </c>
      <c r="E224" vm="1880">
        <f ca="1"/>
        <v>19.128699999999998</v>
      </c>
      <c r="F224" vm="1878">
        <f ca="1"/>
        <v>44487</v>
      </c>
      <c r="G224" vm="1881">
        <f ca="1"/>
        <v>230.65</v>
      </c>
      <c r="H224" vm="1878">
        <f ca="1"/>
        <v>44487</v>
      </c>
      <c r="I224" vm="1882">
        <f ca="1"/>
        <v>154.78</v>
      </c>
      <c r="J224" vm="1878">
        <f ca="1"/>
        <v>44487</v>
      </c>
      <c r="K224" vm="1749">
        <f ca="1"/>
        <v>21.85</v>
      </c>
      <c r="L224" vm="1878">
        <f ca="1"/>
        <v>44487</v>
      </c>
      <c r="M224" vm="1883">
        <f ca="1"/>
        <v>248.82</v>
      </c>
      <c r="N224" vm="1878">
        <f ca="1"/>
        <v>44487</v>
      </c>
      <c r="O224" vm="1884">
        <f ca="1"/>
        <v>357.92</v>
      </c>
      <c r="P224" vm="1878">
        <f ca="1"/>
        <v>44487</v>
      </c>
      <c r="Q224" vm="1885">
        <f ca="1"/>
        <v>73.963999999999999</v>
      </c>
      <c r="R224" s="29">
        <f t="shared" ca="1" si="31"/>
        <v>1.0124584990631607E-2</v>
      </c>
      <c r="S224" s="30">
        <f t="shared" ca="1" si="32"/>
        <v>-1.4396051133289839E-2</v>
      </c>
      <c r="T224" s="30">
        <f t="shared" ca="1" si="33"/>
        <v>-1.4719251915667492E-3</v>
      </c>
      <c r="U224" s="30">
        <f t="shared" ca="1" si="34"/>
        <v>9.8518953480784942E-3</v>
      </c>
      <c r="V224" s="30">
        <f t="shared" ca="1" si="35"/>
        <v>-1.1759384893713162E-2</v>
      </c>
      <c r="W224" s="30">
        <f t="shared" ca="1" si="38"/>
        <v>5.7396928051737569E-3</v>
      </c>
      <c r="X224" s="30">
        <f t="shared" ca="1" si="36"/>
        <v>-1.8429135585783157E-2</v>
      </c>
      <c r="Y224" s="31">
        <f t="shared" ca="1" si="37"/>
        <v>-1.3616056544642272E-2</v>
      </c>
    </row>
    <row r="225" spans="2:25" x14ac:dyDescent="0.45">
      <c r="B225" vm="1886">
        <f ca="1"/>
        <v>44488</v>
      </c>
      <c r="C225" vm="1887">
        <f ca="1"/>
        <v>308.23</v>
      </c>
      <c r="D225" vm="1886">
        <f ca="1"/>
        <v>44488</v>
      </c>
      <c r="E225" vm="1888">
        <f ca="1"/>
        <v>19.325099999999999</v>
      </c>
      <c r="F225" vm="1886">
        <f ca="1"/>
        <v>44488</v>
      </c>
      <c r="G225" vm="1889">
        <f ca="1"/>
        <v>233.52</v>
      </c>
      <c r="H225" vm="1886">
        <f ca="1"/>
        <v>44488</v>
      </c>
      <c r="I225" vm="1890">
        <f ca="1"/>
        <v>155.62</v>
      </c>
      <c r="J225" vm="1886">
        <f ca="1"/>
        <v>44488</v>
      </c>
      <c r="K225" vm="1891">
        <f ca="1"/>
        <v>22.1</v>
      </c>
      <c r="L225" vm="1886">
        <f ca="1"/>
        <v>44488</v>
      </c>
      <c r="M225" vm="1892">
        <f ca="1"/>
        <v>255.61</v>
      </c>
      <c r="N225" vm="1886">
        <f ca="1"/>
        <v>44488</v>
      </c>
      <c r="O225" vm="1893">
        <f ca="1"/>
        <v>354.4</v>
      </c>
      <c r="P225" vm="1886">
        <f ca="1"/>
        <v>44488</v>
      </c>
      <c r="Q225" vm="1894">
        <f ca="1"/>
        <v>72.724999999999994</v>
      </c>
      <c r="R225" s="29">
        <f t="shared" ca="1" si="31"/>
        <v>3.0589996420319491E-3</v>
      </c>
      <c r="S225" s="30">
        <f t="shared" ca="1" si="32"/>
        <v>1.0267294693314265E-2</v>
      </c>
      <c r="T225" s="30">
        <f t="shared" ca="1" si="33"/>
        <v>1.244309559939304E-2</v>
      </c>
      <c r="U225" s="30">
        <f t="shared" ca="1" si="34"/>
        <v>5.4270577594004617E-3</v>
      </c>
      <c r="V225" s="30">
        <f t="shared" ca="1" si="35"/>
        <v>1.1441647597254004E-2</v>
      </c>
      <c r="W225" s="30">
        <f t="shared" ca="1" si="38"/>
        <v>2.7288803150872201E-2</v>
      </c>
      <c r="X225" s="30">
        <f t="shared" ca="1" si="36"/>
        <v>-9.8345999105946547E-3</v>
      </c>
      <c r="Y225" s="31">
        <f t="shared" ca="1" si="37"/>
        <v>-1.6751392569358124E-2</v>
      </c>
    </row>
    <row r="226" spans="2:25" x14ac:dyDescent="0.45">
      <c r="B226" vm="1895">
        <f ca="1"/>
        <v>44489</v>
      </c>
      <c r="C226" vm="1896">
        <f ca="1"/>
        <v>307.41000000000003</v>
      </c>
      <c r="D226" vm="1895">
        <f ca="1"/>
        <v>44489</v>
      </c>
      <c r="E226" vm="1897">
        <f ca="1"/>
        <v>19.566700000000001</v>
      </c>
      <c r="F226" vm="1895">
        <f ca="1"/>
        <v>44489</v>
      </c>
      <c r="G226" vm="1898">
        <f ca="1"/>
        <v>231.42</v>
      </c>
      <c r="H226" vm="1895">
        <f ca="1"/>
        <v>44489</v>
      </c>
      <c r="I226" vm="1899">
        <f ca="1"/>
        <v>157.59</v>
      </c>
      <c r="J226" vm="1895">
        <f ca="1"/>
        <v>44489</v>
      </c>
      <c r="K226" vm="1900">
        <f ca="1"/>
        <v>22.46</v>
      </c>
      <c r="L226" vm="1895">
        <f ca="1"/>
        <v>44489</v>
      </c>
      <c r="M226" vm="1901">
        <f ca="1"/>
        <v>251.18</v>
      </c>
      <c r="N226" vm="1895">
        <f ca="1"/>
        <v>44489</v>
      </c>
      <c r="O226" vm="1902">
        <f ca="1"/>
        <v>351.2</v>
      </c>
      <c r="P226" vm="1895">
        <f ca="1"/>
        <v>44489</v>
      </c>
      <c r="Q226" vm="1903">
        <f ca="1"/>
        <v>75.817999999999998</v>
      </c>
      <c r="R226" s="29">
        <f t="shared" ca="1" si="31"/>
        <v>-2.6603510365635829E-3</v>
      </c>
      <c r="S226" s="30">
        <f t="shared" ca="1" si="32"/>
        <v>1.2501875798831667E-2</v>
      </c>
      <c r="T226" s="30">
        <f t="shared" ca="1" si="33"/>
        <v>-8.9928057553957802E-3</v>
      </c>
      <c r="U226" s="30">
        <f t="shared" ca="1" si="34"/>
        <v>1.2659041254337481E-2</v>
      </c>
      <c r="V226" s="30">
        <f t="shared" ca="1" si="35"/>
        <v>1.6289592760180969E-2</v>
      </c>
      <c r="W226" s="30">
        <f t="shared" ca="1" si="38"/>
        <v>-1.7331090332929098E-2</v>
      </c>
      <c r="X226" s="30">
        <f t="shared" ca="1" si="36"/>
        <v>-9.0293453724604646E-3</v>
      </c>
      <c r="Y226" s="31">
        <f t="shared" ca="1" si="37"/>
        <v>4.2530079064970833E-2</v>
      </c>
    </row>
    <row r="227" spans="2:25" x14ac:dyDescent="0.45">
      <c r="B227" vm="1904">
        <f ca="1"/>
        <v>44490</v>
      </c>
      <c r="C227" vm="1905">
        <f ca="1"/>
        <v>310.76</v>
      </c>
      <c r="D227" vm="1904">
        <f ca="1"/>
        <v>44490</v>
      </c>
      <c r="E227" vm="1906">
        <f ca="1"/>
        <v>19.453399999999998</v>
      </c>
      <c r="F227" vm="1904">
        <f ca="1"/>
        <v>44490</v>
      </c>
      <c r="G227" vm="1907">
        <f ca="1"/>
        <v>230.24</v>
      </c>
      <c r="H227" vm="1904">
        <f ca="1"/>
        <v>44490</v>
      </c>
      <c r="I227" vm="1908">
        <f ca="1"/>
        <v>156.94</v>
      </c>
      <c r="J227" vm="1904">
        <f ca="1"/>
        <v>44490</v>
      </c>
      <c r="K227" vm="1909">
        <f ca="1"/>
        <v>22.21</v>
      </c>
      <c r="L227" vm="1904">
        <f ca="1"/>
        <v>44490</v>
      </c>
      <c r="M227" vm="1910">
        <f ca="1"/>
        <v>255</v>
      </c>
      <c r="N227" vm="1904">
        <f ca="1"/>
        <v>44490</v>
      </c>
      <c r="O227" vm="1911">
        <f ca="1"/>
        <v>339.52</v>
      </c>
      <c r="P227" vm="1904">
        <f ca="1"/>
        <v>44490</v>
      </c>
      <c r="Q227" vm="1912">
        <f ca="1"/>
        <v>73.543000000000006</v>
      </c>
      <c r="R227" s="29">
        <f t="shared" ca="1" si="31"/>
        <v>1.0897498454832196E-2</v>
      </c>
      <c r="S227" s="30">
        <f t="shared" ca="1" si="32"/>
        <v>-5.7904501014479906E-3</v>
      </c>
      <c r="T227" s="30">
        <f t="shared" ca="1" si="33"/>
        <v>-5.0989542822572741E-3</v>
      </c>
      <c r="U227" s="30">
        <f t="shared" ca="1" si="34"/>
        <v>-4.1246271971572164E-3</v>
      </c>
      <c r="V227" s="30">
        <f t="shared" ca="1" si="35"/>
        <v>-1.1130899376669634E-2</v>
      </c>
      <c r="W227" s="30">
        <f t="shared" ca="1" si="38"/>
        <v>1.520821721474637E-2</v>
      </c>
      <c r="X227" s="30">
        <f t="shared" ca="1" si="36"/>
        <v>-3.325740318906608E-2</v>
      </c>
      <c r="Y227" s="31">
        <f t="shared" ca="1" si="37"/>
        <v>-3.0006067160832407E-2</v>
      </c>
    </row>
    <row r="228" spans="2:25" x14ac:dyDescent="0.45">
      <c r="B228" vm="1913">
        <f ca="1"/>
        <v>44491</v>
      </c>
      <c r="C228" vm="1914">
        <f ca="1"/>
        <v>309.16000000000003</v>
      </c>
      <c r="D228" vm="1913">
        <f ca="1"/>
        <v>44491</v>
      </c>
      <c r="E228" vm="1915">
        <f ca="1"/>
        <v>19.249500000000001</v>
      </c>
      <c r="F228" vm="1913">
        <f ca="1"/>
        <v>44491</v>
      </c>
      <c r="G228" vm="1604">
        <f ca="1"/>
        <v>231.23</v>
      </c>
      <c r="H228" vm="1913">
        <f ca="1"/>
        <v>44491</v>
      </c>
      <c r="I228" vm="1916">
        <f ca="1"/>
        <v>157.97</v>
      </c>
      <c r="J228" vm="1913">
        <f ca="1"/>
        <v>44491</v>
      </c>
      <c r="K228" vm="1917">
        <f ca="1"/>
        <v>22.88</v>
      </c>
      <c r="L228" vm="1913">
        <f ca="1"/>
        <v>44491</v>
      </c>
      <c r="M228" vm="1918">
        <f ca="1"/>
        <v>252.96</v>
      </c>
      <c r="N228" vm="1913">
        <f ca="1"/>
        <v>44491</v>
      </c>
      <c r="O228" vm="1919">
        <f ca="1"/>
        <v>347.2</v>
      </c>
      <c r="P228" vm="1913">
        <f ca="1"/>
        <v>44491</v>
      </c>
      <c r="Q228" vm="1920">
        <f ca="1"/>
        <v>71.852000000000004</v>
      </c>
      <c r="R228" s="29">
        <f t="shared" ca="1" si="31"/>
        <v>-5.1486677822112428E-3</v>
      </c>
      <c r="S228" s="30">
        <f t="shared" ca="1" si="32"/>
        <v>-1.0481458254083982E-2</v>
      </c>
      <c r="T228" s="30">
        <f t="shared" ca="1" si="33"/>
        <v>4.2998610145933832E-3</v>
      </c>
      <c r="U228" s="30">
        <f t="shared" ca="1" si="34"/>
        <v>6.5630177137759723E-3</v>
      </c>
      <c r="V228" s="30">
        <f t="shared" ca="1" si="35"/>
        <v>3.0166591625393882E-2</v>
      </c>
      <c r="W228" s="30">
        <f t="shared" ca="1" si="38"/>
        <v>-7.9999999999999689E-3</v>
      </c>
      <c r="X228" s="30">
        <f t="shared" ca="1" si="36"/>
        <v>2.2620169651272407E-2</v>
      </c>
      <c r="Y228" s="31">
        <f t="shared" ca="1" si="37"/>
        <v>-2.2993350828766877E-2</v>
      </c>
    </row>
    <row r="229" spans="2:25" x14ac:dyDescent="0.45">
      <c r="B229" vm="1921">
        <f ca="1"/>
        <v>44494</v>
      </c>
      <c r="C229" vm="1922">
        <f ca="1"/>
        <v>308.13</v>
      </c>
      <c r="D229" vm="1921">
        <f ca="1"/>
        <v>44494</v>
      </c>
      <c r="E229" vm="1923">
        <f ca="1"/>
        <v>19.3628</v>
      </c>
      <c r="F229" vm="1921">
        <f ca="1"/>
        <v>44494</v>
      </c>
      <c r="G229" vm="1924">
        <f ca="1"/>
        <v>233.88</v>
      </c>
      <c r="H229" vm="1921">
        <f ca="1"/>
        <v>44494</v>
      </c>
      <c r="I229" vm="1925">
        <f ca="1"/>
        <v>158.34</v>
      </c>
      <c r="J229" vm="1921">
        <f ca="1"/>
        <v>44494</v>
      </c>
      <c r="K229" vm="1926">
        <f ca="1"/>
        <v>24.6</v>
      </c>
      <c r="L229" vm="1921">
        <f ca="1"/>
        <v>44494</v>
      </c>
      <c r="M229" vm="1135">
        <f ca="1"/>
        <v>257.89</v>
      </c>
      <c r="N229" vm="1921">
        <f ca="1"/>
        <v>44494</v>
      </c>
      <c r="O229" vm="1927">
        <f ca="1"/>
        <v>336.96</v>
      </c>
      <c r="P229" vm="1921">
        <f ca="1"/>
        <v>44494</v>
      </c>
      <c r="Q229" vm="1928">
        <f ca="1"/>
        <v>74.602000000000004</v>
      </c>
      <c r="R229" s="29">
        <f t="shared" ca="1" si="31"/>
        <v>-3.3316082287489631E-3</v>
      </c>
      <c r="S229" s="30">
        <f t="shared" ca="1" si="32"/>
        <v>5.8858671653808587E-3</v>
      </c>
      <c r="T229" s="30">
        <f t="shared" ca="1" si="33"/>
        <v>1.1460450633568334E-2</v>
      </c>
      <c r="U229" s="30">
        <f t="shared" ca="1" si="34"/>
        <v>2.3422168766221723E-3</v>
      </c>
      <c r="V229" s="30">
        <f t="shared" ca="1" si="35"/>
        <v>7.517482517482528E-2</v>
      </c>
      <c r="W229" s="30">
        <f t="shared" ca="1" si="38"/>
        <v>1.948924731182787E-2</v>
      </c>
      <c r="X229" s="30">
        <f t="shared" ca="1" si="36"/>
        <v>-2.9493087557603714E-2</v>
      </c>
      <c r="Y229" s="31">
        <f t="shared" ca="1" si="37"/>
        <v>3.8273116962645438E-2</v>
      </c>
    </row>
    <row r="230" spans="2:25" x14ac:dyDescent="0.45">
      <c r="B230" vm="1929">
        <f ca="1"/>
        <v>44495</v>
      </c>
      <c r="C230" vm="1930">
        <f ca="1"/>
        <v>310.11</v>
      </c>
      <c r="D230" vm="1929">
        <f ca="1"/>
        <v>44495</v>
      </c>
      <c r="E230" vm="1931">
        <f ca="1"/>
        <v>19.158899999999999</v>
      </c>
      <c r="F230" vm="1929">
        <f ca="1"/>
        <v>44495</v>
      </c>
      <c r="G230" vm="1932">
        <f ca="1"/>
        <v>231.82</v>
      </c>
      <c r="H230" vm="1929">
        <f ca="1"/>
        <v>44495</v>
      </c>
      <c r="I230" vm="1933">
        <f ca="1"/>
        <v>158.19</v>
      </c>
      <c r="J230" vm="1929">
        <f ca="1"/>
        <v>44495</v>
      </c>
      <c r="K230" vm="1934">
        <f ca="1"/>
        <v>24.34</v>
      </c>
      <c r="L230" vm="1929">
        <f ca="1"/>
        <v>44495</v>
      </c>
      <c r="M230" vm="1935">
        <f ca="1"/>
        <v>252.2</v>
      </c>
      <c r="N230" vm="1929">
        <f ca="1"/>
        <v>44495</v>
      </c>
      <c r="O230" vm="1936">
        <f ca="1"/>
        <v>343.52</v>
      </c>
      <c r="P230" vm="1929">
        <f ca="1"/>
        <v>44495</v>
      </c>
      <c r="Q230" vm="1937">
        <f ca="1"/>
        <v>73.486000000000004</v>
      </c>
      <c r="R230" s="29">
        <f t="shared" ca="1" si="31"/>
        <v>6.4258592152663429E-3</v>
      </c>
      <c r="S230" s="30">
        <f t="shared" ca="1" si="32"/>
        <v>-1.0530501786931686E-2</v>
      </c>
      <c r="T230" s="30">
        <f t="shared" ca="1" si="33"/>
        <v>-8.8079356935180531E-3</v>
      </c>
      <c r="U230" s="30">
        <f t="shared" ca="1" si="34"/>
        <v>-9.4732853353546602E-4</v>
      </c>
      <c r="V230" s="30">
        <f t="shared" ca="1" si="35"/>
        <v>-1.0569105691056974E-2</v>
      </c>
      <c r="W230" s="30">
        <f t="shared" ca="1" si="38"/>
        <v>-2.206367055721431E-2</v>
      </c>
      <c r="X230" s="30">
        <f t="shared" ca="1" si="36"/>
        <v>1.9468186134852808E-2</v>
      </c>
      <c r="Y230" s="31">
        <f t="shared" ca="1" si="37"/>
        <v>-1.4959384466904367E-2</v>
      </c>
    </row>
    <row r="231" spans="2:25" x14ac:dyDescent="0.45">
      <c r="B231" vm="1938">
        <f ca="1"/>
        <v>44496</v>
      </c>
      <c r="C231" vm="1939">
        <f ca="1"/>
        <v>323.17</v>
      </c>
      <c r="D231" vm="1938">
        <f ca="1"/>
        <v>44496</v>
      </c>
      <c r="E231" vm="1940">
        <f ca="1"/>
        <v>18.924800000000001</v>
      </c>
      <c r="F231" vm="1938">
        <f ca="1"/>
        <v>44496</v>
      </c>
      <c r="G231" vm="1941">
        <f ca="1"/>
        <v>215.78</v>
      </c>
      <c r="H231" vm="1938">
        <f ca="1"/>
        <v>44496</v>
      </c>
      <c r="I231" vm="1942">
        <f ca="1"/>
        <v>155.26</v>
      </c>
      <c r="J231" vm="1938">
        <f ca="1"/>
        <v>44496</v>
      </c>
      <c r="K231" vm="1943">
        <f ca="1"/>
        <v>23.32</v>
      </c>
      <c r="L231" vm="1938">
        <f ca="1"/>
        <v>44496</v>
      </c>
      <c r="M231" vm="1944">
        <f ca="1"/>
        <v>273.13</v>
      </c>
      <c r="N231" vm="1938">
        <f ca="1"/>
        <v>44496</v>
      </c>
      <c r="O231" vm="1902">
        <f ca="1"/>
        <v>351.2</v>
      </c>
      <c r="P231" vm="1938">
        <f ca="1"/>
        <v>44496</v>
      </c>
      <c r="Q231" vm="1945">
        <f ca="1"/>
        <v>71.501999999999995</v>
      </c>
      <c r="R231" s="29">
        <f t="shared" ca="1" si="31"/>
        <v>4.2114088549224472E-2</v>
      </c>
      <c r="S231" s="30">
        <f t="shared" ca="1" si="32"/>
        <v>-1.2218864339810636E-2</v>
      </c>
      <c r="T231" s="30">
        <f t="shared" ca="1" si="33"/>
        <v>-6.919161418341814E-2</v>
      </c>
      <c r="U231" s="30">
        <f t="shared" ca="1" si="34"/>
        <v>-1.8522030469688394E-2</v>
      </c>
      <c r="V231" s="30">
        <f t="shared" ca="1" si="35"/>
        <v>-4.1906327033689385E-2</v>
      </c>
      <c r="W231" s="30">
        <f t="shared" ca="1" si="38"/>
        <v>8.2989690721649509E-2</v>
      </c>
      <c r="X231" s="30">
        <f t="shared" ca="1" si="36"/>
        <v>2.2356776897997227E-2</v>
      </c>
      <c r="Y231" s="31">
        <f t="shared" ca="1" si="37"/>
        <v>-2.6998339819829745E-2</v>
      </c>
    </row>
    <row r="232" spans="2:25" x14ac:dyDescent="0.45">
      <c r="B232" vm="1946">
        <f ca="1"/>
        <v>44497</v>
      </c>
      <c r="C232" vm="1947">
        <f ca="1"/>
        <v>324.35000000000002</v>
      </c>
      <c r="D232" vm="1946">
        <f ca="1"/>
        <v>44497</v>
      </c>
      <c r="E232" vm="1948">
        <f ca="1"/>
        <v>19.294799999999999</v>
      </c>
      <c r="F232" vm="1946">
        <f ca="1"/>
        <v>44497</v>
      </c>
      <c r="G232" vm="1949">
        <f ca="1"/>
        <v>209.84</v>
      </c>
      <c r="H232" vm="1946">
        <f ca="1"/>
        <v>44497</v>
      </c>
      <c r="I232" vm="1950">
        <f ca="1"/>
        <v>155.76</v>
      </c>
      <c r="J232" vm="1946">
        <f ca="1"/>
        <v>44497</v>
      </c>
      <c r="K232" vm="1951">
        <f ca="1"/>
        <v>23.38</v>
      </c>
      <c r="L232" vm="1946">
        <f ca="1"/>
        <v>44497</v>
      </c>
      <c r="M232" vm="1952">
        <f ca="1"/>
        <v>288.95</v>
      </c>
      <c r="N232" vm="1946">
        <f ca="1"/>
        <v>44497</v>
      </c>
      <c r="O232" vm="1953">
        <f ca="1"/>
        <v>340.32</v>
      </c>
      <c r="P232" vm="1946">
        <f ca="1"/>
        <v>44497</v>
      </c>
      <c r="Q232" vm="1954">
        <f ca="1"/>
        <v>71.712999999999994</v>
      </c>
      <c r="R232" s="29">
        <f t="shared" ca="1" si="31"/>
        <v>3.6513290218770514E-3</v>
      </c>
      <c r="S232" s="30">
        <f t="shared" ca="1" si="32"/>
        <v>1.9551065268853432E-2</v>
      </c>
      <c r="T232" s="30">
        <f t="shared" ca="1" si="33"/>
        <v>-2.7528037816294364E-2</v>
      </c>
      <c r="U232" s="30">
        <f t="shared" ca="1" si="34"/>
        <v>3.2204044828030402E-3</v>
      </c>
      <c r="V232" s="30">
        <f t="shared" ca="1" si="35"/>
        <v>2.5728987993138388E-3</v>
      </c>
      <c r="W232" s="30">
        <f t="shared" ca="1" si="38"/>
        <v>5.7921136455167846E-2</v>
      </c>
      <c r="X232" s="30">
        <f t="shared" ca="1" si="36"/>
        <v>-3.0979498861047824E-2</v>
      </c>
      <c r="Y232" s="31">
        <f t="shared" ca="1" si="37"/>
        <v>2.9509664065340627E-3</v>
      </c>
    </row>
    <row r="233" spans="2:25" x14ac:dyDescent="0.45">
      <c r="B233" vm="1955">
        <f ca="1"/>
        <v>44498</v>
      </c>
      <c r="C233" vm="1956">
        <f ca="1"/>
        <v>331.62</v>
      </c>
      <c r="D233" vm="1955">
        <f ca="1"/>
        <v>44498</v>
      </c>
      <c r="E233" vm="1957">
        <f ca="1"/>
        <v>19.075800000000001</v>
      </c>
      <c r="F233" vm="1955">
        <f ca="1"/>
        <v>44498</v>
      </c>
      <c r="G233" vm="1958">
        <f ca="1"/>
        <v>211.77</v>
      </c>
      <c r="H233" vm="1955">
        <f ca="1"/>
        <v>44498</v>
      </c>
      <c r="I233" vm="1959">
        <f ca="1"/>
        <v>157.49</v>
      </c>
      <c r="J233" vm="1955">
        <f ca="1"/>
        <v>44498</v>
      </c>
      <c r="K233" vm="1960">
        <f ca="1"/>
        <v>26.39</v>
      </c>
      <c r="L233" vm="1955">
        <f ca="1"/>
        <v>44498</v>
      </c>
      <c r="M233" vm="1961">
        <f ca="1"/>
        <v>289.39999999999998</v>
      </c>
      <c r="N233" vm="1955">
        <f ca="1"/>
        <v>44498</v>
      </c>
      <c r="O233" vm="1962">
        <f ca="1"/>
        <v>343.04</v>
      </c>
      <c r="P233" vm="1955">
        <f ca="1"/>
        <v>44498</v>
      </c>
      <c r="Q233" vm="1963">
        <f ca="1"/>
        <v>71.506</v>
      </c>
      <c r="R233" s="29">
        <f t="shared" ca="1" si="31"/>
        <v>2.241405888700472E-2</v>
      </c>
      <c r="S233" s="30">
        <f t="shared" ca="1" si="32"/>
        <v>-1.135020834629007E-2</v>
      </c>
      <c r="T233" s="30">
        <f t="shared" ca="1" si="33"/>
        <v>9.1974837971788344E-3</v>
      </c>
      <c r="U233" s="30">
        <f t="shared" ca="1" si="34"/>
        <v>1.1106831022085376E-2</v>
      </c>
      <c r="V233" s="30">
        <f t="shared" ca="1" si="35"/>
        <v>0.12874251497005995</v>
      </c>
      <c r="W233" s="30">
        <f t="shared" ca="1" si="38"/>
        <v>1.5573628655476334E-3</v>
      </c>
      <c r="X233" s="30">
        <f t="shared" ca="1" si="36"/>
        <v>7.9924776680771834E-3</v>
      </c>
      <c r="Y233" s="31">
        <f t="shared" ca="1" si="37"/>
        <v>-2.8865059333732191E-3</v>
      </c>
    </row>
    <row r="234" spans="2:25" x14ac:dyDescent="0.45">
      <c r="B234" vm="1964">
        <f ca="1"/>
        <v>44501</v>
      </c>
      <c r="C234" vm="1965">
        <f ca="1"/>
        <v>329.37</v>
      </c>
      <c r="D234" vm="1964">
        <f ca="1"/>
        <v>44501</v>
      </c>
      <c r="E234" vm="1931">
        <f ca="1"/>
        <v>19.158899999999999</v>
      </c>
      <c r="F234" vm="1964">
        <f ca="1"/>
        <v>44501</v>
      </c>
      <c r="G234" vm="1966">
        <f ca="1"/>
        <v>212.46</v>
      </c>
      <c r="H234" vm="1964">
        <f ca="1"/>
        <v>44501</v>
      </c>
      <c r="I234" vm="1967">
        <f ca="1"/>
        <v>157.06</v>
      </c>
      <c r="J234" vm="1964">
        <f ca="1"/>
        <v>44501</v>
      </c>
      <c r="K234" vm="1695">
        <f ca="1"/>
        <v>25.67</v>
      </c>
      <c r="L234" vm="1964">
        <f ca="1"/>
        <v>44501</v>
      </c>
      <c r="M234" vm="1968">
        <f ca="1"/>
        <v>300.95</v>
      </c>
      <c r="N234" vm="1964">
        <f ca="1"/>
        <v>44501</v>
      </c>
      <c r="O234" vm="1969">
        <f ca="1"/>
        <v>337.6</v>
      </c>
      <c r="P234" vm="1964">
        <f ca="1"/>
        <v>44501</v>
      </c>
      <c r="Q234" vm="1970">
        <f ca="1"/>
        <v>73.611999999999995</v>
      </c>
      <c r="R234" s="29">
        <f t="shared" ca="1" si="31"/>
        <v>-6.7848742536638319E-3</v>
      </c>
      <c r="S234" s="30">
        <f t="shared" ca="1" si="32"/>
        <v>4.3563048469787988E-3</v>
      </c>
      <c r="T234" s="30">
        <f t="shared" ca="1" si="33"/>
        <v>3.2582518770363964E-3</v>
      </c>
      <c r="U234" s="30">
        <f t="shared" ca="1" si="34"/>
        <v>-2.7303320845768419E-3</v>
      </c>
      <c r="V234" s="30">
        <f t="shared" ca="1" si="35"/>
        <v>-2.7283061765820342E-2</v>
      </c>
      <c r="W234" s="30">
        <f t="shared" ca="1" si="38"/>
        <v>3.9910158949550835E-2</v>
      </c>
      <c r="X234" s="30">
        <f t="shared" ca="1" si="36"/>
        <v>-1.5858208955223874E-2</v>
      </c>
      <c r="Y234" s="31">
        <f t="shared" ca="1" si="37"/>
        <v>2.9452073951836133E-2</v>
      </c>
    </row>
    <row r="235" spans="2:25" x14ac:dyDescent="0.45">
      <c r="B235" vm="1971">
        <f ca="1"/>
        <v>44502</v>
      </c>
      <c r="C235" vm="1972">
        <f ca="1"/>
        <v>333.13</v>
      </c>
      <c r="D235" vm="1971">
        <f ca="1"/>
        <v>44502</v>
      </c>
      <c r="E235" vm="1973">
        <f ca="1"/>
        <v>19.0532</v>
      </c>
      <c r="F235" vm="1971">
        <f ca="1"/>
        <v>44502</v>
      </c>
      <c r="G235" vm="1974">
        <f ca="1"/>
        <v>209.14</v>
      </c>
      <c r="H235" vm="1971">
        <f ca="1"/>
        <v>44502</v>
      </c>
      <c r="I235" vm="1975">
        <f ca="1"/>
        <v>157.85</v>
      </c>
      <c r="J235" vm="1971">
        <f ca="1"/>
        <v>44502</v>
      </c>
      <c r="K235" vm="1976">
        <f ca="1"/>
        <v>25.86</v>
      </c>
      <c r="L235" vm="1971">
        <f ca="1"/>
        <v>44502</v>
      </c>
      <c r="M235" vm="1977">
        <f ca="1"/>
        <v>298.2</v>
      </c>
      <c r="N235" vm="1971">
        <f ca="1"/>
        <v>44502</v>
      </c>
      <c r="O235" vm="1978">
        <f ca="1"/>
        <v>328.48</v>
      </c>
      <c r="P235" vm="1971">
        <f ca="1"/>
        <v>44502</v>
      </c>
      <c r="Q235" vm="1979">
        <f ca="1"/>
        <v>79.414000000000001</v>
      </c>
      <c r="R235" s="29">
        <f t="shared" ca="1" si="31"/>
        <v>1.1415733066156574E-2</v>
      </c>
      <c r="S235" s="30">
        <f t="shared" ca="1" si="32"/>
        <v>-5.5170182004185414E-3</v>
      </c>
      <c r="T235" s="30">
        <f t="shared" ca="1" si="33"/>
        <v>-1.562647086510412E-2</v>
      </c>
      <c r="U235" s="30">
        <f t="shared" ca="1" si="34"/>
        <v>5.0299248694765826E-3</v>
      </c>
      <c r="V235" s="30">
        <f t="shared" ca="1" si="35"/>
        <v>7.401636151149112E-3</v>
      </c>
      <c r="W235" s="30">
        <f t="shared" ca="1" si="38"/>
        <v>-9.137730520019937E-3</v>
      </c>
      <c r="X235" s="30">
        <f t="shared" ca="1" si="36"/>
        <v>-2.7014218009478685E-2</v>
      </c>
      <c r="Y235" s="31">
        <f t="shared" ca="1" si="37"/>
        <v>7.881867086888017E-2</v>
      </c>
    </row>
    <row r="236" spans="2:25" x14ac:dyDescent="0.45">
      <c r="B236" vm="1980">
        <f ca="1"/>
        <v>44503</v>
      </c>
      <c r="C236" vm="420">
        <f ca="1"/>
        <v>334</v>
      </c>
      <c r="D236" vm="1980">
        <f ca="1"/>
        <v>44503</v>
      </c>
      <c r="E236" vm="1981">
        <f ca="1"/>
        <v>19.0154</v>
      </c>
      <c r="F236" vm="1980">
        <f ca="1"/>
        <v>44503</v>
      </c>
      <c r="G236" vm="1982">
        <f ca="1"/>
        <v>208.1</v>
      </c>
      <c r="H236" vm="1980">
        <f ca="1"/>
        <v>44503</v>
      </c>
      <c r="I236" vm="1983">
        <f ca="1"/>
        <v>158.19999999999999</v>
      </c>
      <c r="J236" vm="1980">
        <f ca="1"/>
        <v>44503</v>
      </c>
      <c r="K236" vm="1984">
        <f ca="1"/>
        <v>26.37</v>
      </c>
      <c r="L236" vm="1980">
        <f ca="1"/>
        <v>44503</v>
      </c>
      <c r="M236" vm="1985">
        <f ca="1"/>
        <v>298.08</v>
      </c>
      <c r="N236" vm="1980">
        <f ca="1"/>
        <v>44503</v>
      </c>
      <c r="O236" vm="1986">
        <f ca="1"/>
        <v>317.12</v>
      </c>
      <c r="P236" vm="1980">
        <f ca="1"/>
        <v>44503</v>
      </c>
      <c r="Q236" vm="1987">
        <f ca="1"/>
        <v>81.025000000000006</v>
      </c>
      <c r="R236" s="29">
        <f t="shared" ca="1" si="31"/>
        <v>2.6115930717737958E-3</v>
      </c>
      <c r="S236" s="30">
        <f t="shared" ca="1" si="32"/>
        <v>-1.9839187118174755E-3</v>
      </c>
      <c r="T236" s="30">
        <f t="shared" ca="1" si="33"/>
        <v>-4.972745529310472E-3</v>
      </c>
      <c r="U236" s="30">
        <f t="shared" ca="1" si="34"/>
        <v>2.2172949002216935E-3</v>
      </c>
      <c r="V236" s="30">
        <f t="shared" ca="1" si="35"/>
        <v>1.9721577726218159E-2</v>
      </c>
      <c r="W236" s="30">
        <f t="shared" ca="1" si="38"/>
        <v>-4.0241448692154445E-4</v>
      </c>
      <c r="X236" s="30">
        <f t="shared" ca="1" si="36"/>
        <v>-3.4583536288358536E-2</v>
      </c>
      <c r="Y236" s="31">
        <f t="shared" ca="1" si="37"/>
        <v>2.0286095650640996E-2</v>
      </c>
    </row>
    <row r="237" spans="2:25" x14ac:dyDescent="0.45">
      <c r="B237" vm="1988">
        <f ca="1"/>
        <v>44504</v>
      </c>
      <c r="C237" vm="1989">
        <f ca="1"/>
        <v>336.44</v>
      </c>
      <c r="D237" vm="1988">
        <f ca="1"/>
        <v>44504</v>
      </c>
      <c r="E237" vm="1990">
        <f ca="1"/>
        <v>18.7285</v>
      </c>
      <c r="F237" vm="1988">
        <f ca="1"/>
        <v>44504</v>
      </c>
      <c r="G237" vm="1991">
        <f ca="1"/>
        <v>208.78</v>
      </c>
      <c r="H237" vm="1988">
        <f ca="1"/>
        <v>44504</v>
      </c>
      <c r="I237" vm="1992">
        <f ca="1"/>
        <v>157.65</v>
      </c>
      <c r="J237" vm="1988">
        <f ca="1"/>
        <v>44504</v>
      </c>
      <c r="K237" vm="1993">
        <f ca="1"/>
        <v>26.32</v>
      </c>
      <c r="L237" vm="1988">
        <f ca="1"/>
        <v>44504</v>
      </c>
      <c r="M237" vm="1994">
        <f ca="1"/>
        <v>293.48</v>
      </c>
      <c r="N237" vm="1988">
        <f ca="1"/>
        <v>44504</v>
      </c>
      <c r="O237" vm="1995">
        <f ca="1"/>
        <v>320.8</v>
      </c>
      <c r="P237" vm="1988">
        <f ca="1"/>
        <v>44504</v>
      </c>
      <c r="Q237" vm="1996">
        <f ca="1"/>
        <v>80</v>
      </c>
      <c r="R237" s="29">
        <f t="shared" ca="1" si="31"/>
        <v>7.3053892215568794E-3</v>
      </c>
      <c r="S237" s="30">
        <f t="shared" ca="1" si="32"/>
        <v>-1.508777096458656E-2</v>
      </c>
      <c r="T237" s="30">
        <f t="shared" ca="1" si="33"/>
        <v>3.2676597789524594E-3</v>
      </c>
      <c r="U237" s="30">
        <f t="shared" ca="1" si="34"/>
        <v>-3.4766118836914222E-3</v>
      </c>
      <c r="V237" s="30">
        <f t="shared" ca="1" si="35"/>
        <v>-1.8960940462647215E-3</v>
      </c>
      <c r="W237" s="30">
        <f t="shared" ca="1" si="38"/>
        <v>-1.5432098765431985E-2</v>
      </c>
      <c r="X237" s="30">
        <f t="shared" ca="1" si="36"/>
        <v>1.1604439959636751E-2</v>
      </c>
      <c r="Y237" s="31">
        <f t="shared" ca="1" si="37"/>
        <v>-1.2650416538105592E-2</v>
      </c>
    </row>
    <row r="238" spans="2:25" x14ac:dyDescent="0.45">
      <c r="B238" vm="1997">
        <f ca="1"/>
        <v>44505</v>
      </c>
      <c r="C238" vm="1998">
        <f ca="1"/>
        <v>336.06</v>
      </c>
      <c r="D238" vm="1997">
        <f ca="1"/>
        <v>44505</v>
      </c>
      <c r="E238" vm="1999">
        <f ca="1"/>
        <v>18.954999999999998</v>
      </c>
      <c r="F238" vm="1997">
        <f ca="1"/>
        <v>44505</v>
      </c>
      <c r="G238" vm="2000">
        <f ca="1"/>
        <v>216.67</v>
      </c>
      <c r="H238" vm="1997">
        <f ca="1"/>
        <v>44505</v>
      </c>
      <c r="I238" vm="2001">
        <f ca="1"/>
        <v>156.41</v>
      </c>
      <c r="J238" vm="1997">
        <f ca="1"/>
        <v>44505</v>
      </c>
      <c r="K238" vm="711">
        <f ca="1"/>
        <v>26.17</v>
      </c>
      <c r="L238" vm="1997">
        <f ca="1"/>
        <v>44505</v>
      </c>
      <c r="M238" vm="1388">
        <f ca="1"/>
        <v>289.05</v>
      </c>
      <c r="N238" vm="1997">
        <f ca="1"/>
        <v>44505</v>
      </c>
      <c r="O238" vm="2002">
        <f ca="1"/>
        <v>333.28</v>
      </c>
      <c r="P238" vm="1997">
        <f ca="1"/>
        <v>44505</v>
      </c>
      <c r="Q238" vm="2003">
        <f ca="1"/>
        <v>79.751000000000005</v>
      </c>
      <c r="R238" s="29">
        <f t="shared" ca="1" si="31"/>
        <v>-1.1294733087623215E-3</v>
      </c>
      <c r="S238" s="30">
        <f t="shared" ca="1" si="32"/>
        <v>1.2093867634887893E-2</v>
      </c>
      <c r="T238" s="30">
        <f t="shared" ca="1" si="33"/>
        <v>3.7790976147140463E-2</v>
      </c>
      <c r="U238" s="30">
        <f t="shared" ca="1" si="34"/>
        <v>-7.8655248969236227E-3</v>
      </c>
      <c r="V238" s="30">
        <f t="shared" ca="1" si="35"/>
        <v>-5.6990881458966027E-3</v>
      </c>
      <c r="W238" s="30">
        <f t="shared" ca="1" si="38"/>
        <v>-1.5094725364590455E-2</v>
      </c>
      <c r="X238" s="30">
        <f t="shared" ca="1" si="36"/>
        <v>3.8902743142144515E-2</v>
      </c>
      <c r="Y238" s="31">
        <f t="shared" ca="1" si="37"/>
        <v>-3.1124999999999404E-3</v>
      </c>
    </row>
    <row r="239" spans="2:25" x14ac:dyDescent="0.45">
      <c r="B239" vm="2004">
        <f ca="1"/>
        <v>44508</v>
      </c>
      <c r="C239" vm="2005">
        <f ca="1"/>
        <v>336.99</v>
      </c>
      <c r="D239" vm="2004">
        <f ca="1"/>
        <v>44508</v>
      </c>
      <c r="E239" vm="2006">
        <f ca="1"/>
        <v>18.788900000000002</v>
      </c>
      <c r="F239" vm="2004">
        <f ca="1"/>
        <v>44508</v>
      </c>
      <c r="G239" vm="2007">
        <f ca="1"/>
        <v>220.49</v>
      </c>
      <c r="H239" vm="2004">
        <f ca="1"/>
        <v>44508</v>
      </c>
      <c r="I239" vm="2008">
        <f ca="1"/>
        <v>160.94</v>
      </c>
      <c r="J239" vm="2004">
        <f ca="1"/>
        <v>44508</v>
      </c>
      <c r="K239" vm="2009">
        <f ca="1"/>
        <v>26.88</v>
      </c>
      <c r="L239" vm="2004">
        <f ca="1"/>
        <v>44508</v>
      </c>
      <c r="M239" vm="2010">
        <f ca="1"/>
        <v>286.89999999999998</v>
      </c>
      <c r="N239" vm="2004">
        <f ca="1"/>
        <v>44508</v>
      </c>
      <c r="O239" vm="2011">
        <f ca="1"/>
        <v>333.76</v>
      </c>
      <c r="P239" vm="2004">
        <f ca="1"/>
        <v>44508</v>
      </c>
      <c r="Q239" vm="2012">
        <f ca="1"/>
        <v>86</v>
      </c>
      <c r="R239" s="29">
        <f t="shared" ca="1" si="31"/>
        <v>2.7673629708980744E-3</v>
      </c>
      <c r="S239" s="30">
        <f t="shared" ca="1" si="32"/>
        <v>-8.7628594038510477E-3</v>
      </c>
      <c r="T239" s="30">
        <f t="shared" ca="1" si="33"/>
        <v>1.7630497992338678E-2</v>
      </c>
      <c r="U239" s="30">
        <f t="shared" ca="1" si="34"/>
        <v>2.8962342561217321E-2</v>
      </c>
      <c r="V239" s="30">
        <f t="shared" ca="1" si="35"/>
        <v>2.713030187237284E-2</v>
      </c>
      <c r="W239" s="30">
        <f t="shared" ca="1" si="38"/>
        <v>-7.4381594879779763E-3</v>
      </c>
      <c r="X239" s="30">
        <f t="shared" ca="1" si="36"/>
        <v>1.4402304368699539E-3</v>
      </c>
      <c r="Y239" s="31">
        <f t="shared" ca="1" si="37"/>
        <v>7.8356384245965499E-2</v>
      </c>
    </row>
    <row r="240" spans="2:25" x14ac:dyDescent="0.45">
      <c r="B240" vm="2013">
        <f ca="1"/>
        <v>44509</v>
      </c>
      <c r="C240" vm="2014">
        <f ca="1"/>
        <v>335.95</v>
      </c>
      <c r="D240" vm="2013">
        <f ca="1"/>
        <v>44509</v>
      </c>
      <c r="E240" vm="2015">
        <f ca="1"/>
        <v>18.660499999999999</v>
      </c>
      <c r="F240" vm="2013">
        <f ca="1"/>
        <v>44509</v>
      </c>
      <c r="G240" vm="2016">
        <f ca="1"/>
        <v>213.39</v>
      </c>
      <c r="H240" vm="2013">
        <f ca="1"/>
        <v>44509</v>
      </c>
      <c r="I240" vm="2017">
        <f ca="1"/>
        <v>159.81</v>
      </c>
      <c r="J240" vm="2013">
        <f ca="1"/>
        <v>44509</v>
      </c>
      <c r="K240" vm="2018">
        <f ca="1"/>
        <v>26.11</v>
      </c>
      <c r="L240" vm="2013">
        <f ca="1"/>
        <v>44509</v>
      </c>
      <c r="M240" vm="2019">
        <f ca="1"/>
        <v>278.75</v>
      </c>
      <c r="N240" vm="2013">
        <f ca="1"/>
        <v>44509</v>
      </c>
      <c r="O240" vm="2020">
        <f ca="1"/>
        <v>339.36</v>
      </c>
      <c r="P240" vm="2013">
        <f ca="1"/>
        <v>44509</v>
      </c>
      <c r="Q240" vm="2021">
        <f ca="1"/>
        <v>85.900999999999996</v>
      </c>
      <c r="R240" s="29">
        <f t="shared" ca="1" si="31"/>
        <v>-3.0861449894656235E-3</v>
      </c>
      <c r="S240" s="30">
        <f t="shared" ca="1" si="32"/>
        <v>-6.8338220970893841E-3</v>
      </c>
      <c r="T240" s="30">
        <f t="shared" ca="1" si="33"/>
        <v>-3.220100684838325E-2</v>
      </c>
      <c r="U240" s="30">
        <f t="shared" ca="1" si="34"/>
        <v>-7.0212501553373651E-3</v>
      </c>
      <c r="V240" s="30">
        <f t="shared" ca="1" si="35"/>
        <v>-2.8645833333333318E-2</v>
      </c>
      <c r="W240" s="30">
        <f t="shared" ca="1" si="38"/>
        <v>-2.8407110491460361E-2</v>
      </c>
      <c r="X240" s="30">
        <f t="shared" ca="1" si="36"/>
        <v>1.6778523489932955E-2</v>
      </c>
      <c r="Y240" s="31">
        <f t="shared" ca="1" si="37"/>
        <v>-1.1511627906977181E-3</v>
      </c>
    </row>
    <row r="241" spans="2:25" x14ac:dyDescent="0.45">
      <c r="B241" vm="2022">
        <f ca="1"/>
        <v>44510</v>
      </c>
      <c r="C241" vm="2023">
        <f ca="1"/>
        <v>330.8</v>
      </c>
      <c r="D241" vm="2022">
        <f ca="1"/>
        <v>44510</v>
      </c>
      <c r="E241" vm="2024">
        <f ca="1"/>
        <v>18.841699999999999</v>
      </c>
      <c r="F241" vm="2022">
        <f ca="1"/>
        <v>44510</v>
      </c>
      <c r="G241" vm="2025">
        <f ca="1"/>
        <v>215.56</v>
      </c>
      <c r="H241" vm="2022">
        <f ca="1"/>
        <v>44510</v>
      </c>
      <c r="I241" vm="2026">
        <f ca="1"/>
        <v>159.28</v>
      </c>
      <c r="J241" vm="2022">
        <f ca="1"/>
        <v>44510</v>
      </c>
      <c r="K241" vm="2027">
        <f ca="1"/>
        <v>25.23</v>
      </c>
      <c r="L241" vm="2022">
        <f ca="1"/>
        <v>44510</v>
      </c>
      <c r="M241" vm="2028">
        <f ca="1"/>
        <v>269.72000000000003</v>
      </c>
      <c r="N241" vm="2022">
        <f ca="1"/>
        <v>44510</v>
      </c>
      <c r="O241" vm="2029">
        <f ca="1"/>
        <v>345.6</v>
      </c>
      <c r="P241" vm="2022">
        <f ca="1"/>
        <v>44510</v>
      </c>
      <c r="Q241" vm="2030">
        <f ca="1"/>
        <v>81.634</v>
      </c>
      <c r="R241" s="29">
        <f t="shared" ca="1" si="31"/>
        <v>-1.5329662152105902E-2</v>
      </c>
      <c r="S241" s="30">
        <f t="shared" ca="1" si="32"/>
        <v>9.7103507408697783E-3</v>
      </c>
      <c r="T241" s="30">
        <f t="shared" ca="1" si="33"/>
        <v>1.0169173813205942E-2</v>
      </c>
      <c r="U241" s="30">
        <f t="shared" ca="1" si="34"/>
        <v>-3.3164382704461617E-3</v>
      </c>
      <c r="V241" s="30">
        <f t="shared" ca="1" si="35"/>
        <v>-3.3703561853695864E-2</v>
      </c>
      <c r="W241" s="30">
        <f t="shared" ca="1" si="38"/>
        <v>-3.2394618834080617E-2</v>
      </c>
      <c r="X241" s="30">
        <f t="shared" ca="1" si="36"/>
        <v>1.8387553041018415E-2</v>
      </c>
      <c r="Y241" s="31">
        <f t="shared" ca="1" si="37"/>
        <v>-4.9673461310112757E-2</v>
      </c>
    </row>
    <row r="242" spans="2:25" x14ac:dyDescent="0.45">
      <c r="B242" vm="2031">
        <f ca="1"/>
        <v>44511</v>
      </c>
      <c r="C242" vm="2032">
        <f ca="1"/>
        <v>332.43</v>
      </c>
      <c r="D242" vm="2031">
        <f ca="1"/>
        <v>44511</v>
      </c>
      <c r="E242" vm="2033">
        <f ca="1"/>
        <v>18.819099999999999</v>
      </c>
      <c r="F242" vm="2031">
        <f ca="1"/>
        <v>44511</v>
      </c>
      <c r="G242" vm="2034">
        <f ca="1"/>
        <v>210.42</v>
      </c>
      <c r="H242" vm="2031">
        <f ca="1"/>
        <v>44511</v>
      </c>
      <c r="I242" vm="2035">
        <f ca="1"/>
        <v>158.79</v>
      </c>
      <c r="J242" vm="2031">
        <f ca="1"/>
        <v>44511</v>
      </c>
      <c r="K242" vm="2036">
        <f ca="1"/>
        <v>26.62</v>
      </c>
      <c r="L242" vm="2031">
        <f ca="1"/>
        <v>44511</v>
      </c>
      <c r="M242" vm="2037">
        <f ca="1"/>
        <v>276.64999999999998</v>
      </c>
      <c r="N242" vm="2031">
        <f ca="1"/>
        <v>44511</v>
      </c>
      <c r="O242" vm="2038">
        <f ca="1"/>
        <v>338.24</v>
      </c>
      <c r="P242" vm="2031">
        <f ca="1"/>
        <v>44511</v>
      </c>
      <c r="Q242" vm="2039">
        <f ca="1"/>
        <v>81.835999999999999</v>
      </c>
      <c r="R242" s="29">
        <f t="shared" ca="1" si="31"/>
        <v>4.9274486094316667E-3</v>
      </c>
      <c r="S242" s="30">
        <f t="shared" ca="1" si="32"/>
        <v>-1.1994671393770529E-3</v>
      </c>
      <c r="T242" s="30">
        <f t="shared" ca="1" si="33"/>
        <v>-2.3844869177955162E-2</v>
      </c>
      <c r="U242" s="30">
        <f t="shared" ca="1" si="34"/>
        <v>-3.0763435459568627E-3</v>
      </c>
      <c r="V242" s="30">
        <f t="shared" ca="1" si="35"/>
        <v>5.509314308363062E-2</v>
      </c>
      <c r="W242" s="30">
        <f t="shared" ca="1" si="38"/>
        <v>2.5693311582381542E-2</v>
      </c>
      <c r="X242" s="30">
        <f t="shared" ca="1" si="36"/>
        <v>-2.1296296296296334E-2</v>
      </c>
      <c r="Y242" s="31">
        <f t="shared" ca="1" si="37"/>
        <v>2.4744591714236492E-3</v>
      </c>
    </row>
    <row r="243" spans="2:25" x14ac:dyDescent="0.45">
      <c r="B243" vm="2040">
        <f ca="1"/>
        <v>44512</v>
      </c>
      <c r="C243" vm="2041">
        <f ca="1"/>
        <v>336.72</v>
      </c>
      <c r="D243" vm="2040">
        <f ca="1"/>
        <v>44512</v>
      </c>
      <c r="E243" vm="2042">
        <f ca="1"/>
        <v>18.834199999999999</v>
      </c>
      <c r="F243" vm="2040">
        <f ca="1"/>
        <v>44512</v>
      </c>
      <c r="G243" vm="2043">
        <f ca="1"/>
        <v>212.09</v>
      </c>
      <c r="H243" vm="2040">
        <f ca="1"/>
        <v>44512</v>
      </c>
      <c r="I243" vm="2044">
        <f ca="1"/>
        <v>160.88</v>
      </c>
      <c r="J243" vm="2040">
        <f ca="1"/>
        <v>44512</v>
      </c>
      <c r="K243" vm="2045">
        <f ca="1"/>
        <v>26.4</v>
      </c>
      <c r="L243" vm="2040">
        <f ca="1"/>
        <v>44512</v>
      </c>
      <c r="M243" vm="2046">
        <f ca="1"/>
        <v>280.56</v>
      </c>
      <c r="N243" vm="2040">
        <f ca="1"/>
        <v>44512</v>
      </c>
      <c r="O243" vm="2047">
        <f ca="1"/>
        <v>325.76</v>
      </c>
      <c r="P243" vm="2040">
        <f ca="1"/>
        <v>44512</v>
      </c>
      <c r="Q243" vm="2048">
        <f ca="1"/>
        <v>81.173000000000002</v>
      </c>
      <c r="R243" s="29">
        <f t="shared" ca="1" si="31"/>
        <v>1.2904972475408418E-2</v>
      </c>
      <c r="S243" s="30">
        <f t="shared" ca="1" si="32"/>
        <v>8.0237630917527072E-4</v>
      </c>
      <c r="T243" s="30">
        <f t="shared" ca="1" si="33"/>
        <v>7.9365079365080124E-3</v>
      </c>
      <c r="U243" s="30">
        <f t="shared" ca="1" si="34"/>
        <v>1.3162037911707308E-2</v>
      </c>
      <c r="V243" s="30">
        <f t="shared" ca="1" si="35"/>
        <v>-8.2644628099174458E-3</v>
      </c>
      <c r="W243" s="30">
        <f t="shared" ca="1" si="38"/>
        <v>1.4133381529007864E-2</v>
      </c>
      <c r="X243" s="30">
        <f t="shared" ca="1" si="36"/>
        <v>-3.689687795648066E-2</v>
      </c>
      <c r="Y243" s="31">
        <f t="shared" ca="1" si="37"/>
        <v>-8.1015689916417808E-3</v>
      </c>
    </row>
    <row r="244" spans="2:25" x14ac:dyDescent="0.45">
      <c r="B244" vm="2049">
        <f ca="1"/>
        <v>44515</v>
      </c>
      <c r="C244" vm="2050">
        <f ca="1"/>
        <v>336.07</v>
      </c>
      <c r="D244" vm="2049">
        <f ca="1"/>
        <v>44515</v>
      </c>
      <c r="E244" vm="1990">
        <f ca="1"/>
        <v>18.7285</v>
      </c>
      <c r="F244" vm="2049">
        <f ca="1"/>
        <v>44515</v>
      </c>
      <c r="G244" vm="2051">
        <f ca="1"/>
        <v>212.3</v>
      </c>
      <c r="H244" vm="2049">
        <f ca="1"/>
        <v>44515</v>
      </c>
      <c r="I244" vm="2052">
        <f ca="1"/>
        <v>157.78</v>
      </c>
      <c r="J244" vm="2049">
        <f ca="1"/>
        <v>44515</v>
      </c>
      <c r="K244" vm="2053">
        <f ca="1"/>
        <v>25.73</v>
      </c>
      <c r="L244" vm="2049">
        <f ca="1"/>
        <v>44515</v>
      </c>
      <c r="M244" vm="2054">
        <f ca="1"/>
        <v>278.38</v>
      </c>
      <c r="N244" vm="2049">
        <f ca="1"/>
        <v>44515</v>
      </c>
      <c r="O244" vm="2055">
        <f ca="1"/>
        <v>321.92</v>
      </c>
      <c r="P244" vm="2049">
        <f ca="1"/>
        <v>44515</v>
      </c>
      <c r="Q244" vm="2056">
        <f ca="1"/>
        <v>79.5</v>
      </c>
      <c r="R244" s="29">
        <f t="shared" ca="1" si="31"/>
        <v>-1.9303872653838028E-3</v>
      </c>
      <c r="S244" s="30">
        <f t="shared" ca="1" si="32"/>
        <v>-5.6121311231694896E-3</v>
      </c>
      <c r="T244" s="30">
        <f t="shared" ca="1" si="33"/>
        <v>9.9014569286627347E-4</v>
      </c>
      <c r="U244" s="30">
        <f t="shared" ca="1" si="34"/>
        <v>-1.9269020387866698E-2</v>
      </c>
      <c r="V244" s="30">
        <f t="shared" ca="1" si="35"/>
        <v>-2.537878787878781E-2</v>
      </c>
      <c r="W244" s="30">
        <f t="shared" ca="1" si="38"/>
        <v>-7.7701739378386332E-3</v>
      </c>
      <c r="X244" s="30">
        <f t="shared" ca="1" si="36"/>
        <v>-1.1787819253438038E-2</v>
      </c>
      <c r="Y244" s="31">
        <f t="shared" ca="1" si="37"/>
        <v>-2.0610301454917296E-2</v>
      </c>
    </row>
    <row r="245" spans="2:25" x14ac:dyDescent="0.45">
      <c r="B245" vm="2057">
        <f ca="1"/>
        <v>44516</v>
      </c>
      <c r="C245" vm="2058">
        <f ca="1"/>
        <v>339.51</v>
      </c>
      <c r="D245" vm="2057">
        <f ca="1"/>
        <v>44516</v>
      </c>
      <c r="E245" vm="2059">
        <f ca="1"/>
        <v>18.622699999999998</v>
      </c>
      <c r="F245" vm="2057">
        <f ca="1"/>
        <v>44516</v>
      </c>
      <c r="G245" vm="2060">
        <f ca="1"/>
        <v>215.18</v>
      </c>
      <c r="H245" vm="2057">
        <f ca="1"/>
        <v>44516</v>
      </c>
      <c r="I245" vm="2061">
        <f ca="1"/>
        <v>161.38999999999999</v>
      </c>
      <c r="J245" vm="2057">
        <f ca="1"/>
        <v>44516</v>
      </c>
      <c r="K245" vm="2062">
        <f ca="1"/>
        <v>25.3</v>
      </c>
      <c r="L245" vm="2057">
        <f ca="1"/>
        <v>44516</v>
      </c>
      <c r="M245" vm="2063">
        <f ca="1"/>
        <v>271.3</v>
      </c>
      <c r="N245" vm="2057">
        <f ca="1"/>
        <v>44516</v>
      </c>
      <c r="O245" vm="2064">
        <f ca="1"/>
        <v>323.04000000000002</v>
      </c>
      <c r="P245" vm="2057">
        <f ca="1"/>
        <v>44516</v>
      </c>
      <c r="Q245" vm="2065">
        <f ca="1"/>
        <v>75.201999999999998</v>
      </c>
      <c r="R245" s="29">
        <f t="shared" ca="1" si="31"/>
        <v>1.0235962745856511E-2</v>
      </c>
      <c r="S245" s="30">
        <f t="shared" ca="1" si="32"/>
        <v>-5.6491443521906248E-3</v>
      </c>
      <c r="T245" s="30">
        <f t="shared" ca="1" si="33"/>
        <v>1.3565708902496445E-2</v>
      </c>
      <c r="U245" s="30">
        <f t="shared" ca="1" si="34"/>
        <v>2.2879959437190931E-2</v>
      </c>
      <c r="V245" s="30">
        <f t="shared" ca="1" si="35"/>
        <v>-1.6712009327633101E-2</v>
      </c>
      <c r="W245" s="30">
        <f t="shared" ca="1" si="38"/>
        <v>-2.5432861556146217E-2</v>
      </c>
      <c r="X245" s="30">
        <f t="shared" ca="1" si="36"/>
        <v>3.4791252485089604E-3</v>
      </c>
      <c r="Y245" s="31">
        <f t="shared" ca="1" si="37"/>
        <v>-5.4062893081761029E-2</v>
      </c>
    </row>
    <row r="246" spans="2:25" x14ac:dyDescent="0.45">
      <c r="B246" vm="2066">
        <f ca="1"/>
        <v>44517</v>
      </c>
      <c r="C246" vm="2067">
        <f ca="1"/>
        <v>339.12</v>
      </c>
      <c r="D246" vm="2066">
        <f ca="1"/>
        <v>44517</v>
      </c>
      <c r="E246" vm="2059">
        <f ca="1"/>
        <v>18.622699999999998</v>
      </c>
      <c r="F246" vm="2066">
        <f ca="1"/>
        <v>44517</v>
      </c>
      <c r="G246" vm="2068">
        <f ca="1"/>
        <v>205.06</v>
      </c>
      <c r="H246" vm="2066">
        <f ca="1"/>
        <v>44517</v>
      </c>
      <c r="I246" vm="2069">
        <f ca="1"/>
        <v>161.54</v>
      </c>
      <c r="J246" vm="2066">
        <f ca="1"/>
        <v>44517</v>
      </c>
      <c r="K246" vm="2070">
        <f ca="1"/>
        <v>24.5</v>
      </c>
      <c r="L246" vm="2066">
        <f ca="1"/>
        <v>44517</v>
      </c>
      <c r="M246" vm="2071">
        <f ca="1"/>
        <v>271.95</v>
      </c>
      <c r="N246" vm="2066">
        <f ca="1"/>
        <v>44517</v>
      </c>
      <c r="O246" vm="2072">
        <f ca="1"/>
        <v>328.32</v>
      </c>
      <c r="P246" vm="2066">
        <f ca="1"/>
        <v>44517</v>
      </c>
      <c r="Q246" vm="2073">
        <f ca="1"/>
        <v>75.3</v>
      </c>
      <c r="R246" s="29">
        <f t="shared" ca="1" si="31"/>
        <v>-1.1487143235839486E-3</v>
      </c>
      <c r="S246" s="30">
        <f t="shared" ca="1" si="32"/>
        <v>0</v>
      </c>
      <c r="T246" s="30">
        <f t="shared" ca="1" si="33"/>
        <v>-4.7030393159215561E-2</v>
      </c>
      <c r="U246" s="30">
        <f t="shared" ca="1" si="34"/>
        <v>9.294256149699839E-4</v>
      </c>
      <c r="V246" s="30">
        <f t="shared" ca="1" si="35"/>
        <v>-3.162055335968382E-2</v>
      </c>
      <c r="W246" s="30">
        <f t="shared" ca="1" si="38"/>
        <v>2.3958717287135174E-3</v>
      </c>
      <c r="X246" s="30">
        <f t="shared" ca="1" si="36"/>
        <v>1.6344725111441222E-2</v>
      </c>
      <c r="Y246" s="31">
        <f t="shared" ca="1" si="37"/>
        <v>1.303156830935334E-3</v>
      </c>
    </row>
    <row r="247" spans="2:25" x14ac:dyDescent="0.45">
      <c r="B247" vm="2074">
        <f ca="1"/>
        <v>44518</v>
      </c>
      <c r="C247" vm="2075">
        <f ca="1"/>
        <v>341.27</v>
      </c>
      <c r="D247" vm="2074">
        <f ca="1"/>
        <v>44518</v>
      </c>
      <c r="E247" vm="2076">
        <f ca="1"/>
        <v>18.418800000000001</v>
      </c>
      <c r="F247" vm="2074">
        <f ca="1"/>
        <v>44518</v>
      </c>
      <c r="G247" vm="2077">
        <f ca="1"/>
        <v>203.33</v>
      </c>
      <c r="H247" vm="2074">
        <f ca="1"/>
        <v>44518</v>
      </c>
      <c r="I247" vm="2078">
        <f ca="1"/>
        <v>162.16</v>
      </c>
      <c r="J247" vm="2074">
        <f ca="1"/>
        <v>44518</v>
      </c>
      <c r="K247" vm="2079">
        <f ca="1"/>
        <v>24.29</v>
      </c>
      <c r="L247" vm="2074">
        <f ca="1"/>
        <v>44518</v>
      </c>
      <c r="M247" vm="2080">
        <f ca="1"/>
        <v>263.37</v>
      </c>
      <c r="N247" vm="2074">
        <f ca="1"/>
        <v>44518</v>
      </c>
      <c r="O247" vm="231">
        <f ca="1"/>
        <v>331.36</v>
      </c>
      <c r="P247" vm="2074">
        <f ca="1"/>
        <v>44518</v>
      </c>
      <c r="Q247" vm="2081">
        <f ca="1"/>
        <v>72.736000000000004</v>
      </c>
      <c r="R247" s="29">
        <f t="shared" ca="1" si="31"/>
        <v>6.3399386647793616E-3</v>
      </c>
      <c r="S247" s="30">
        <f t="shared" ca="1" si="32"/>
        <v>-1.0949003098369051E-2</v>
      </c>
      <c r="T247" s="30">
        <f t="shared" ca="1" si="33"/>
        <v>-8.4365551545888505E-3</v>
      </c>
      <c r="U247" s="30">
        <f t="shared" ca="1" si="34"/>
        <v>3.8380586851554078E-3</v>
      </c>
      <c r="V247" s="30">
        <f t="shared" ca="1" si="35"/>
        <v>-8.5714285714286065E-3</v>
      </c>
      <c r="W247" s="30">
        <f t="shared" ca="1" si="38"/>
        <v>-3.154991726420292E-2</v>
      </c>
      <c r="X247" s="30">
        <f t="shared" ca="1" si="36"/>
        <v>9.2592592592593212E-3</v>
      </c>
      <c r="Y247" s="31">
        <f t="shared" ca="1" si="37"/>
        <v>-3.4050464807436828E-2</v>
      </c>
    </row>
    <row r="248" spans="2:25" x14ac:dyDescent="0.45">
      <c r="B248" vm="2082">
        <f ca="1"/>
        <v>44519</v>
      </c>
      <c r="C248" vm="2083">
        <f ca="1"/>
        <v>343.11</v>
      </c>
      <c r="D248" vm="2082">
        <f ca="1"/>
        <v>44519</v>
      </c>
      <c r="E248" vm="2084">
        <f ca="1"/>
        <v>18.2225</v>
      </c>
      <c r="F248" vm="2082">
        <f ca="1"/>
        <v>44519</v>
      </c>
      <c r="G248" vm="2085">
        <f ca="1"/>
        <v>200.86</v>
      </c>
      <c r="H248" vm="2082">
        <f ca="1"/>
        <v>44519</v>
      </c>
      <c r="I248" vm="2086">
        <f ca="1"/>
        <v>164.3</v>
      </c>
      <c r="J248" vm="2082">
        <f ca="1"/>
        <v>44519</v>
      </c>
      <c r="K248" vm="2087">
        <f ca="1"/>
        <v>24.52</v>
      </c>
      <c r="L248" vm="2082">
        <f ca="1"/>
        <v>44519</v>
      </c>
      <c r="M248" vm="2088">
        <f ca="1"/>
        <v>259.55</v>
      </c>
      <c r="N248" vm="2082">
        <f ca="1"/>
        <v>44519</v>
      </c>
      <c r="O248" vm="2089">
        <f ca="1"/>
        <v>335.36</v>
      </c>
      <c r="P248" vm="2082">
        <f ca="1"/>
        <v>44519</v>
      </c>
      <c r="Q248" vm="2090">
        <f ca="1"/>
        <v>71.831000000000003</v>
      </c>
      <c r="R248" s="29">
        <f t="shared" ca="1" si="31"/>
        <v>5.3916253992440941E-3</v>
      </c>
      <c r="S248" s="30">
        <f t="shared" ca="1" si="32"/>
        <v>-1.0657588985167372E-2</v>
      </c>
      <c r="T248" s="30">
        <f t="shared" ca="1" si="33"/>
        <v>-1.2147740126887319E-2</v>
      </c>
      <c r="U248" s="30">
        <f t="shared" ca="1" si="34"/>
        <v>1.319684262456842E-2</v>
      </c>
      <c r="V248" s="30">
        <f t="shared" ca="1" si="35"/>
        <v>9.4689172498970946E-3</v>
      </c>
      <c r="W248" s="30">
        <f t="shared" ca="1" si="38"/>
        <v>-1.4504309526521597E-2</v>
      </c>
      <c r="X248" s="30">
        <f t="shared" ca="1" si="36"/>
        <v>1.2071463061323031E-2</v>
      </c>
      <c r="Y248" s="31">
        <f t="shared" ca="1" si="37"/>
        <v>-1.2442256929168515E-2</v>
      </c>
    </row>
    <row r="249" spans="2:25" x14ac:dyDescent="0.45">
      <c r="B249" vm="2091">
        <f ca="1"/>
        <v>44522</v>
      </c>
      <c r="C249" vm="2092">
        <f ca="1"/>
        <v>339.83</v>
      </c>
      <c r="D249" vm="2091">
        <f ca="1"/>
        <v>44522</v>
      </c>
      <c r="E249" vm="2093">
        <f ca="1"/>
        <v>18.652899999999999</v>
      </c>
      <c r="F249" vm="2091">
        <f ca="1"/>
        <v>44522</v>
      </c>
      <c r="G249" vm="2094">
        <f ca="1"/>
        <v>195.58</v>
      </c>
      <c r="H249" vm="2091">
        <f ca="1"/>
        <v>44522</v>
      </c>
      <c r="I249" vm="2095">
        <f ca="1"/>
        <v>162.78</v>
      </c>
      <c r="J249" vm="2091">
        <f ca="1"/>
        <v>44522</v>
      </c>
      <c r="K249" vm="2096">
        <f ca="1"/>
        <v>25.57</v>
      </c>
      <c r="L249" vm="2091">
        <f ca="1"/>
        <v>44522</v>
      </c>
      <c r="M249" vm="2097">
        <f ca="1"/>
        <v>250.34</v>
      </c>
      <c r="N249" vm="2091">
        <f ca="1"/>
        <v>44522</v>
      </c>
      <c r="O249" vm="2098">
        <f ca="1"/>
        <v>341.28</v>
      </c>
      <c r="P249" vm="2091">
        <f ca="1"/>
        <v>44522</v>
      </c>
      <c r="Q249" vm="2099">
        <f ca="1"/>
        <v>69.001999999999995</v>
      </c>
      <c r="R249" s="29">
        <f t="shared" ca="1" si="31"/>
        <v>-9.5596164495352198E-3</v>
      </c>
      <c r="S249" s="30">
        <f t="shared" ca="1" si="32"/>
        <v>2.3619152147070863E-2</v>
      </c>
      <c r="T249" s="30">
        <f t="shared" ca="1" si="33"/>
        <v>-2.6286966046002194E-2</v>
      </c>
      <c r="U249" s="30">
        <f t="shared" ca="1" si="34"/>
        <v>-9.2513694461351798E-3</v>
      </c>
      <c r="V249" s="30">
        <f t="shared" ca="1" si="35"/>
        <v>4.2822185970636244E-2</v>
      </c>
      <c r="W249" s="30">
        <f t="shared" ca="1" si="38"/>
        <v>-3.5484492390676199E-2</v>
      </c>
      <c r="X249" s="30">
        <f t="shared" ca="1" si="36"/>
        <v>1.7652671755725068E-2</v>
      </c>
      <c r="Y249" s="31">
        <f t="shared" ca="1" si="37"/>
        <v>-3.9384109924684434E-2</v>
      </c>
    </row>
    <row r="250" spans="2:25" x14ac:dyDescent="0.45">
      <c r="B250" vm="2100">
        <f ca="1"/>
        <v>44523</v>
      </c>
      <c r="C250" vm="2101">
        <f ca="1"/>
        <v>337.68</v>
      </c>
      <c r="D250" vm="2100">
        <f ca="1"/>
        <v>44523</v>
      </c>
      <c r="E250" vm="2102">
        <f ca="1"/>
        <v>18.6983</v>
      </c>
      <c r="F250" vm="2100">
        <f ca="1"/>
        <v>44523</v>
      </c>
      <c r="G250" vm="2103">
        <f ca="1"/>
        <v>198.49</v>
      </c>
      <c r="H250" vm="2100">
        <f ca="1"/>
        <v>44523</v>
      </c>
      <c r="I250" vm="1882">
        <f ca="1"/>
        <v>154.78</v>
      </c>
      <c r="J250" vm="2100">
        <f ca="1"/>
        <v>44523</v>
      </c>
      <c r="K250" vm="2104">
        <f ca="1"/>
        <v>25.61</v>
      </c>
      <c r="L250" vm="2100">
        <f ca="1"/>
        <v>44523</v>
      </c>
      <c r="M250" vm="968">
        <f ca="1"/>
        <v>243.03</v>
      </c>
      <c r="N250" vm="2100">
        <f ca="1"/>
        <v>44523</v>
      </c>
      <c r="O250" vm="2105">
        <f ca="1"/>
        <v>333.6</v>
      </c>
      <c r="P250" vm="2100">
        <f ca="1"/>
        <v>44523</v>
      </c>
      <c r="Q250" vm="2106">
        <f ca="1"/>
        <v>69.677000000000007</v>
      </c>
      <c r="R250" s="29">
        <f t="shared" ca="1" si="31"/>
        <v>-6.3266927581437111E-3</v>
      </c>
      <c r="S250" s="30">
        <f t="shared" ca="1" si="32"/>
        <v>2.4339378863340701E-3</v>
      </c>
      <c r="T250" s="30">
        <f t="shared" ca="1" si="33"/>
        <v>1.487882196543612E-2</v>
      </c>
      <c r="U250" s="30">
        <f t="shared" ca="1" si="34"/>
        <v>-4.9146086742843098E-2</v>
      </c>
      <c r="V250" s="30">
        <f t="shared" ca="1" si="35"/>
        <v>1.5643332029721998E-3</v>
      </c>
      <c r="W250" s="30">
        <f t="shared" ca="1" si="38"/>
        <v>-2.9200287608851971E-2</v>
      </c>
      <c r="X250" s="30">
        <f t="shared" ca="1" si="36"/>
        <v>-2.2503516174402105E-2</v>
      </c>
      <c r="Y250" s="31">
        <f t="shared" ca="1" si="37"/>
        <v>9.7823251499958176E-3</v>
      </c>
    </row>
    <row r="251" spans="2:25" x14ac:dyDescent="0.45">
      <c r="B251" vm="2107">
        <f ca="1"/>
        <v>44524</v>
      </c>
      <c r="C251" vm="2108">
        <f ca="1"/>
        <v>337.91</v>
      </c>
      <c r="D251" vm="2107">
        <f ca="1"/>
        <v>44524</v>
      </c>
      <c r="E251" vm="2109">
        <f ca="1"/>
        <v>18.479299999999999</v>
      </c>
      <c r="F251" vm="2107">
        <f ca="1"/>
        <v>44524</v>
      </c>
      <c r="G251" vm="2110">
        <f ca="1"/>
        <v>203.25</v>
      </c>
      <c r="H251" vm="2107">
        <f ca="1"/>
        <v>44524</v>
      </c>
      <c r="I251" vm="2111">
        <f ca="1"/>
        <v>152.97</v>
      </c>
      <c r="J251" vm="2107">
        <f ca="1"/>
        <v>44524</v>
      </c>
      <c r="K251" vm="2112">
        <f ca="1"/>
        <v>25.13</v>
      </c>
      <c r="L251" vm="2107">
        <f ca="1"/>
        <v>44524</v>
      </c>
      <c r="M251" vm="2113">
        <f ca="1"/>
        <v>249.49</v>
      </c>
      <c r="N251" vm="2107">
        <f ca="1"/>
        <v>44524</v>
      </c>
      <c r="O251" vm="2114">
        <f ca="1"/>
        <v>328.8</v>
      </c>
      <c r="P251" vm="2107">
        <f ca="1"/>
        <v>44524</v>
      </c>
      <c r="Q251" vm="2115">
        <f ca="1"/>
        <v>70.09</v>
      </c>
      <c r="R251" s="29">
        <f t="shared" ca="1" si="31"/>
        <v>6.811182184317051E-4</v>
      </c>
      <c r="S251" s="30">
        <f t="shared" ca="1" si="32"/>
        <v>-1.1712294700587818E-2</v>
      </c>
      <c r="T251" s="30">
        <f t="shared" ca="1" si="33"/>
        <v>2.3981056980200467E-2</v>
      </c>
      <c r="U251" s="30">
        <f t="shared" ca="1" si="34"/>
        <v>-1.169401731489858E-2</v>
      </c>
      <c r="V251" s="30">
        <f t="shared" ca="1" si="35"/>
        <v>-1.8742678641155815E-2</v>
      </c>
      <c r="W251" s="30">
        <f t="shared" ca="1" si="38"/>
        <v>2.6581080525038093E-2</v>
      </c>
      <c r="X251" s="30">
        <f t="shared" ca="1" si="36"/>
        <v>-1.4388489208633127E-2</v>
      </c>
      <c r="Y251" s="31">
        <f t="shared" ca="1" si="37"/>
        <v>5.9273504886834492E-3</v>
      </c>
    </row>
    <row r="252" spans="2:25" x14ac:dyDescent="0.45">
      <c r="B252" vm="2116">
        <f ca="1"/>
        <v>44526</v>
      </c>
      <c r="C252" vm="2117">
        <f ca="1"/>
        <v>329.68</v>
      </c>
      <c r="D252" vm="2116">
        <f ca="1"/>
        <v>44526</v>
      </c>
      <c r="E252" vm="2118">
        <f ca="1"/>
        <v>18.290500000000002</v>
      </c>
      <c r="F252" vm="2116">
        <f ca="1"/>
        <v>44526</v>
      </c>
      <c r="G252" vm="2119">
        <f ca="1"/>
        <v>197.65</v>
      </c>
      <c r="H252" vm="2116">
        <f ca="1"/>
        <v>44526</v>
      </c>
      <c r="I252" vm="2120">
        <f ca="1"/>
        <v>152.07</v>
      </c>
      <c r="J252" vm="2116">
        <f ca="1"/>
        <v>44526</v>
      </c>
      <c r="K252" vm="2121">
        <f ca="1"/>
        <v>24.27</v>
      </c>
      <c r="L252" vm="2116">
        <f ca="1"/>
        <v>44526</v>
      </c>
      <c r="M252" vm="2122">
        <f ca="1"/>
        <v>250.89</v>
      </c>
      <c r="N252" vm="2116">
        <f ca="1"/>
        <v>44526</v>
      </c>
      <c r="O252" vm="2123">
        <f ca="1"/>
        <v>418.56</v>
      </c>
      <c r="P252" vm="2116">
        <f ca="1"/>
        <v>44526</v>
      </c>
      <c r="Q252" vm="2124">
        <f ca="1"/>
        <v>66.3</v>
      </c>
      <c r="R252" s="29">
        <f t="shared" ca="1" si="31"/>
        <v>-2.4355597644343221E-2</v>
      </c>
      <c r="S252" s="30">
        <f t="shared" ca="1" si="32"/>
        <v>-1.021683721785982E-2</v>
      </c>
      <c r="T252" s="30">
        <f t="shared" ca="1" si="33"/>
        <v>-2.7552275522755201E-2</v>
      </c>
      <c r="U252" s="30">
        <f t="shared" ca="1" si="34"/>
        <v>-5.8835065699157068E-3</v>
      </c>
      <c r="V252" s="30">
        <f t="shared" ca="1" si="35"/>
        <v>-3.4222045364106626E-2</v>
      </c>
      <c r="W252" s="30">
        <f t="shared" ca="1" si="38"/>
        <v>5.6114473525992114E-3</v>
      </c>
      <c r="X252" s="30">
        <f t="shared" ca="1" si="36"/>
        <v>0.27299270072992698</v>
      </c>
      <c r="Y252" s="31">
        <f t="shared" ca="1" si="37"/>
        <v>-5.4073334284491452E-2</v>
      </c>
    </row>
    <row r="253" spans="2:25" x14ac:dyDescent="0.45">
      <c r="B253" vm="2125">
        <f ca="1"/>
        <v>44529</v>
      </c>
      <c r="C253" vm="2126">
        <f ca="1"/>
        <v>336.63</v>
      </c>
      <c r="D253" vm="2125">
        <f ca="1"/>
        <v>44529</v>
      </c>
      <c r="E253" vm="2127">
        <f ca="1"/>
        <v>18.0413</v>
      </c>
      <c r="F253" vm="2125">
        <f ca="1"/>
        <v>44529</v>
      </c>
      <c r="G253" vm="2128">
        <f ca="1"/>
        <v>196.29</v>
      </c>
      <c r="H253" vm="2125">
        <f ca="1"/>
        <v>44529</v>
      </c>
      <c r="I253" vm="2129">
        <f ca="1"/>
        <v>153.41999999999999</v>
      </c>
      <c r="J253" vm="2125">
        <f ca="1"/>
        <v>44529</v>
      </c>
      <c r="K253" vm="874">
        <f ca="1"/>
        <v>23.27</v>
      </c>
      <c r="L253" vm="2125">
        <f ca="1"/>
        <v>44529</v>
      </c>
      <c r="M253" vm="2130">
        <f ca="1"/>
        <v>246.6</v>
      </c>
      <c r="N253" vm="2125">
        <f ca="1"/>
        <v>44529</v>
      </c>
      <c r="O253" vm="2131">
        <f ca="1"/>
        <v>352.8</v>
      </c>
      <c r="P253" vm="2125">
        <f ca="1"/>
        <v>44529</v>
      </c>
      <c r="Q253" vm="2132">
        <f ca="1"/>
        <v>69.548000000000002</v>
      </c>
      <c r="R253" s="29">
        <f t="shared" ca="1" si="31"/>
        <v>2.1081048289250146E-2</v>
      </c>
      <c r="S253" s="30">
        <f t="shared" ca="1" si="32"/>
        <v>-1.3624559197397657E-2</v>
      </c>
      <c r="T253" s="30">
        <f t="shared" ca="1" si="33"/>
        <v>-6.8808499873514476E-3</v>
      </c>
      <c r="U253" s="30">
        <f t="shared" ca="1" si="34"/>
        <v>8.8774906293154106E-3</v>
      </c>
      <c r="V253" s="30">
        <f t="shared" ca="1" si="35"/>
        <v>-4.1203131437989288E-2</v>
      </c>
      <c r="W253" s="30">
        <f t="shared" ca="1" si="38"/>
        <v>-1.7099127107497277E-2</v>
      </c>
      <c r="X253" s="30">
        <f t="shared" ca="1" si="36"/>
        <v>-0.15711009174311924</v>
      </c>
      <c r="Y253" s="31">
        <f t="shared" ca="1" si="37"/>
        <v>4.8989441930618473E-2</v>
      </c>
    </row>
    <row r="254" spans="2:25" x14ac:dyDescent="0.45">
      <c r="B254" vm="2133">
        <f ca="1"/>
        <v>44530</v>
      </c>
      <c r="C254" vm="2134">
        <f ca="1"/>
        <v>330.59</v>
      </c>
      <c r="D254" vm="2133">
        <f ca="1"/>
        <v>44530</v>
      </c>
      <c r="E254" vm="2135">
        <f ca="1"/>
        <v>17.2408</v>
      </c>
      <c r="F254" vm="2133">
        <f ca="1"/>
        <v>44530</v>
      </c>
      <c r="G254" vm="2136">
        <f ca="1"/>
        <v>193.77</v>
      </c>
      <c r="H254" vm="2133">
        <f ca="1"/>
        <v>44530</v>
      </c>
      <c r="I254" vm="2137">
        <f ca="1"/>
        <v>150.9</v>
      </c>
      <c r="J254" vm="2133">
        <f ca="1"/>
        <v>44530</v>
      </c>
      <c r="K254" vm="2138">
        <f ca="1"/>
        <v>22.61</v>
      </c>
      <c r="L254" vm="2133">
        <f ca="1"/>
        <v>44530</v>
      </c>
      <c r="M254" vm="2139">
        <f ca="1"/>
        <v>238.5</v>
      </c>
      <c r="N254" vm="2133">
        <f ca="1"/>
        <v>44530</v>
      </c>
      <c r="O254" vm="2140">
        <f ca="1"/>
        <v>407.36</v>
      </c>
      <c r="P254" vm="2133">
        <f ca="1"/>
        <v>44530</v>
      </c>
      <c r="Q254" vm="2141">
        <f ca="1"/>
        <v>72.143000000000001</v>
      </c>
      <c r="R254" s="29">
        <f t="shared" ca="1" si="31"/>
        <v>-1.794254819831869E-2</v>
      </c>
      <c r="S254" s="30">
        <f t="shared" ca="1" si="32"/>
        <v>-4.437041676597582E-2</v>
      </c>
      <c r="T254" s="30">
        <f t="shared" ca="1" si="33"/>
        <v>-1.2838147638697752E-2</v>
      </c>
      <c r="U254" s="30">
        <f t="shared" ca="1" si="34"/>
        <v>-1.6425498631208329E-2</v>
      </c>
      <c r="V254" s="30">
        <f t="shared" ca="1" si="35"/>
        <v>-2.8362698753760213E-2</v>
      </c>
      <c r="W254" s="30">
        <f t="shared" ca="1" si="38"/>
        <v>-3.2846715328467134E-2</v>
      </c>
      <c r="X254" s="30">
        <f t="shared" ca="1" si="36"/>
        <v>0.1546485260770975</v>
      </c>
      <c r="Y254" s="31">
        <f t="shared" ca="1" si="37"/>
        <v>3.7312359809052724E-2</v>
      </c>
    </row>
    <row r="255" spans="2:25" x14ac:dyDescent="0.45">
      <c r="B255" vm="2142">
        <f ca="1"/>
        <v>44531</v>
      </c>
      <c r="C255" vm="2143">
        <f ca="1"/>
        <v>330.08</v>
      </c>
      <c r="D255" vm="2142">
        <f ca="1"/>
        <v>44531</v>
      </c>
      <c r="E255" vm="2144">
        <f ca="1"/>
        <v>16.787700000000001</v>
      </c>
      <c r="F255" vm="2142">
        <f ca="1"/>
        <v>44531</v>
      </c>
      <c r="G255" vm="2145">
        <f ca="1"/>
        <v>190.16</v>
      </c>
      <c r="H255" vm="2142">
        <f ca="1"/>
        <v>44531</v>
      </c>
      <c r="I255" vm="2146">
        <f ca="1"/>
        <v>148.21</v>
      </c>
      <c r="J255" vm="2142">
        <f ca="1"/>
        <v>44531</v>
      </c>
      <c r="K255" vm="2147">
        <f ca="1"/>
        <v>22.34</v>
      </c>
      <c r="L255" vm="2142">
        <f ca="1"/>
        <v>44531</v>
      </c>
      <c r="M255" vm="2148">
        <f ca="1"/>
        <v>225.09</v>
      </c>
      <c r="N255" vm="2142">
        <f ca="1"/>
        <v>44531</v>
      </c>
      <c r="O255" vm="2149">
        <f ca="1"/>
        <v>436.8</v>
      </c>
      <c r="P255" vm="2142">
        <f ca="1"/>
        <v>44531</v>
      </c>
      <c r="Q255" vm="2150">
        <f ca="1"/>
        <v>70.546999999999997</v>
      </c>
      <c r="R255" s="29">
        <f t="shared" ca="1" si="31"/>
        <v>-1.542696391300375E-3</v>
      </c>
      <c r="S255" s="30">
        <f t="shared" ca="1" si="32"/>
        <v>-2.628068303094979E-2</v>
      </c>
      <c r="T255" s="30">
        <f t="shared" ca="1" si="33"/>
        <v>-1.863033493316826E-2</v>
      </c>
      <c r="U255" s="30">
        <f t="shared" ca="1" si="34"/>
        <v>-1.7826375082836299E-2</v>
      </c>
      <c r="V255" s="30">
        <f t="shared" ca="1" si="35"/>
        <v>-1.1941618752764244E-2</v>
      </c>
      <c r="W255" s="30">
        <f t="shared" ca="1" si="38"/>
        <v>-5.6226415094339607E-2</v>
      </c>
      <c r="X255" s="30">
        <f t="shared" ca="1" si="36"/>
        <v>7.2270227808326773E-2</v>
      </c>
      <c r="Y255" s="31">
        <f t="shared" ca="1" si="37"/>
        <v>-2.2122728469844664E-2</v>
      </c>
    </row>
    <row r="256" spans="2:25" x14ac:dyDescent="0.45">
      <c r="B256" vm="2151">
        <f ca="1"/>
        <v>44532</v>
      </c>
      <c r="C256" vm="2152">
        <f ca="1"/>
        <v>329.49</v>
      </c>
      <c r="D256" vm="2151">
        <f ca="1"/>
        <v>44532</v>
      </c>
      <c r="E256" vm="2153">
        <f ca="1"/>
        <v>17.4069</v>
      </c>
      <c r="F256" vm="2151">
        <f ca="1"/>
        <v>44532</v>
      </c>
      <c r="G256" vm="2154">
        <f ca="1"/>
        <v>198.29</v>
      </c>
      <c r="H256" vm="2151">
        <f ca="1"/>
        <v>44532</v>
      </c>
      <c r="I256" vm="2155">
        <f ca="1"/>
        <v>150.99</v>
      </c>
      <c r="J256" vm="2151">
        <f ca="1"/>
        <v>44532</v>
      </c>
      <c r="K256" vm="2156">
        <f ca="1"/>
        <v>22.38</v>
      </c>
      <c r="L256" vm="2151">
        <f ca="1"/>
        <v>44532</v>
      </c>
      <c r="M256" vm="2157">
        <f ca="1"/>
        <v>228.54</v>
      </c>
      <c r="N256" vm="2151">
        <f ca="1"/>
        <v>44532</v>
      </c>
      <c r="O256" vm="2158">
        <f ca="1"/>
        <v>411.52</v>
      </c>
      <c r="P256" vm="2151">
        <f ca="1"/>
        <v>44532</v>
      </c>
      <c r="Q256" vm="2159">
        <f ca="1"/>
        <v>68.335999999999999</v>
      </c>
      <c r="R256" s="29">
        <f t="shared" ca="1" si="31"/>
        <v>-1.7874454677653145E-3</v>
      </c>
      <c r="S256" s="30">
        <f t="shared" ca="1" si="32"/>
        <v>3.6884147322146531E-2</v>
      </c>
      <c r="T256" s="30">
        <f t="shared" ca="1" si="33"/>
        <v>4.2753470761464005E-2</v>
      </c>
      <c r="U256" s="30">
        <f t="shared" ca="1" si="34"/>
        <v>1.8757168881991776E-2</v>
      </c>
      <c r="V256" s="30">
        <f t="shared" ca="1" si="35"/>
        <v>1.7905102954341606E-3</v>
      </c>
      <c r="W256" s="30">
        <f t="shared" ca="1" si="38"/>
        <v>1.5327202452352341E-2</v>
      </c>
      <c r="X256" s="30">
        <f t="shared" ca="1" si="36"/>
        <v>-5.787545787545794E-2</v>
      </c>
      <c r="Y256" s="31">
        <f t="shared" ca="1" si="37"/>
        <v>-3.1340808255489232E-2</v>
      </c>
    </row>
    <row r="257" spans="2:25" x14ac:dyDescent="0.45">
      <c r="B257" vm="2160">
        <f ca="1"/>
        <v>44533</v>
      </c>
      <c r="C257" vm="2161">
        <f ca="1"/>
        <v>323.01</v>
      </c>
      <c r="D257" vm="2160">
        <f ca="1"/>
        <v>44533</v>
      </c>
      <c r="E257" vm="2162">
        <f ca="1"/>
        <v>17.7165</v>
      </c>
      <c r="F257" vm="2160">
        <f ca="1"/>
        <v>44533</v>
      </c>
      <c r="G257" vm="2163">
        <f ca="1"/>
        <v>196.32</v>
      </c>
      <c r="H257" vm="2160">
        <f ca="1"/>
        <v>44533</v>
      </c>
      <c r="I257" vm="2164">
        <f ca="1"/>
        <v>149.33000000000001</v>
      </c>
      <c r="J257" vm="2160">
        <f ca="1"/>
        <v>44533</v>
      </c>
      <c r="K257" vm="2165">
        <f ca="1"/>
        <v>22.57</v>
      </c>
      <c r="L257" vm="2160">
        <f ca="1"/>
        <v>44533</v>
      </c>
      <c r="M257" vm="2166">
        <f ca="1"/>
        <v>228.8</v>
      </c>
      <c r="N257" vm="2160">
        <f ca="1"/>
        <v>44533</v>
      </c>
      <c r="O257" vm="2167">
        <f ca="1"/>
        <v>447.36</v>
      </c>
      <c r="P257" vm="2160">
        <f ca="1"/>
        <v>44533</v>
      </c>
      <c r="Q257" vm="2168">
        <f ca="1"/>
        <v>63.098999999999997</v>
      </c>
      <c r="R257" s="29">
        <f t="shared" ca="1" si="31"/>
        <v>-1.9666757716470966E-2</v>
      </c>
      <c r="S257" s="30">
        <f t="shared" ca="1" si="32"/>
        <v>1.7786050359340243E-2</v>
      </c>
      <c r="T257" s="30">
        <f t="shared" ca="1" si="33"/>
        <v>-9.9349437692268852E-3</v>
      </c>
      <c r="U257" s="30">
        <f t="shared" ca="1" si="34"/>
        <v>-1.0994105569905269E-2</v>
      </c>
      <c r="V257" s="30">
        <f t="shared" ca="1" si="35"/>
        <v>8.4897229669348203E-3</v>
      </c>
      <c r="W257" s="30">
        <f t="shared" ca="1" si="38"/>
        <v>1.1376564277589013E-3</v>
      </c>
      <c r="X257" s="30">
        <f t="shared" ca="1" si="36"/>
        <v>8.7091757387247365E-2</v>
      </c>
      <c r="Y257" s="31">
        <f t="shared" ca="1" si="37"/>
        <v>-7.6636033715757459E-2</v>
      </c>
    </row>
    <row r="258" spans="2:25" x14ac:dyDescent="0.45">
      <c r="B258" vm="2169">
        <f ca="1"/>
        <v>44536</v>
      </c>
      <c r="C258" vm="2170">
        <f ca="1"/>
        <v>326.19</v>
      </c>
      <c r="D258" vm="2169">
        <f ca="1"/>
        <v>44536</v>
      </c>
      <c r="E258" vm="2171">
        <f ca="1"/>
        <v>17.5806</v>
      </c>
      <c r="F258" vm="2169">
        <f ca="1"/>
        <v>44536</v>
      </c>
      <c r="G258" vm="2172">
        <f ca="1"/>
        <v>202.68</v>
      </c>
      <c r="H258" vm="2169">
        <f ca="1"/>
        <v>44536</v>
      </c>
      <c r="I258" vm="2173">
        <f ca="1"/>
        <v>151.47</v>
      </c>
      <c r="J258" vm="2169">
        <f ca="1"/>
        <v>44536</v>
      </c>
      <c r="K258" vm="633">
        <f ca="1"/>
        <v>22.65</v>
      </c>
      <c r="L258" vm="2169">
        <f ca="1"/>
        <v>44536</v>
      </c>
      <c r="M258" vm="2174">
        <f ca="1"/>
        <v>232.01</v>
      </c>
      <c r="N258" vm="2169">
        <f ca="1"/>
        <v>44536</v>
      </c>
      <c r="O258" vm="2175">
        <f ca="1"/>
        <v>412.48</v>
      </c>
      <c r="P258" vm="2169">
        <f ca="1"/>
        <v>44536</v>
      </c>
      <c r="Q258" vm="2176">
        <f ca="1"/>
        <v>59.646999999999998</v>
      </c>
      <c r="R258" s="29">
        <f t="shared" ca="1" si="31"/>
        <v>9.8448964428346081E-3</v>
      </c>
      <c r="S258" s="30">
        <f t="shared" ca="1" si="32"/>
        <v>-7.6708153416306536E-3</v>
      </c>
      <c r="T258" s="30">
        <f t="shared" ca="1" si="33"/>
        <v>3.2396088019559975E-2</v>
      </c>
      <c r="U258" s="30">
        <f t="shared" ca="1" si="34"/>
        <v>1.4330677024040622E-2</v>
      </c>
      <c r="V258" s="30">
        <f t="shared" ca="1" si="35"/>
        <v>3.5445281346919936E-3</v>
      </c>
      <c r="W258" s="30">
        <f t="shared" ca="1" si="38"/>
        <v>1.402972027972019E-2</v>
      </c>
      <c r="X258" s="30">
        <f t="shared" ca="1" si="36"/>
        <v>-7.7968526466380528E-2</v>
      </c>
      <c r="Y258" s="31">
        <f t="shared" ca="1" si="37"/>
        <v>-5.470768157973975E-2</v>
      </c>
    </row>
    <row r="259" spans="2:25" x14ac:dyDescent="0.45">
      <c r="B259" vm="2177">
        <f ca="1"/>
        <v>44537</v>
      </c>
      <c r="C259" vm="2178">
        <f ca="1"/>
        <v>334.92</v>
      </c>
      <c r="D259" vm="2177">
        <f ca="1"/>
        <v>44537</v>
      </c>
      <c r="E259" vm="2179">
        <f ca="1"/>
        <v>17.429600000000001</v>
      </c>
      <c r="F259" vm="2177">
        <f ca="1"/>
        <v>44537</v>
      </c>
      <c r="G259" vm="2180">
        <f ca="1"/>
        <v>207.37</v>
      </c>
      <c r="H259" vm="2177">
        <f ca="1"/>
        <v>44537</v>
      </c>
      <c r="I259" vm="2181">
        <f ca="1"/>
        <v>153.80000000000001</v>
      </c>
      <c r="J259" vm="2177">
        <f ca="1"/>
        <v>44537</v>
      </c>
      <c r="K259" vm="2182">
        <f ca="1"/>
        <v>23.52</v>
      </c>
      <c r="L259" vm="2177">
        <f ca="1"/>
        <v>44537</v>
      </c>
      <c r="M259" vm="2183">
        <f ca="1"/>
        <v>238.51</v>
      </c>
      <c r="N259" vm="2177">
        <f ca="1"/>
        <v>44537</v>
      </c>
      <c r="O259" vm="2184">
        <f ca="1"/>
        <v>366.4</v>
      </c>
      <c r="P259" vm="2177">
        <f ca="1"/>
        <v>44537</v>
      </c>
      <c r="Q259" vm="2185">
        <f ca="1"/>
        <v>62.817</v>
      </c>
      <c r="R259" s="29">
        <f t="shared" ca="1" si="31"/>
        <v>2.6763542720500379E-2</v>
      </c>
      <c r="S259" s="30">
        <f t="shared" ca="1" si="32"/>
        <v>-8.5890128892074109E-3</v>
      </c>
      <c r="T259" s="30">
        <f t="shared" ca="1" si="33"/>
        <v>2.3139925004933875E-2</v>
      </c>
      <c r="U259" s="30">
        <f t="shared" ca="1" si="34"/>
        <v>1.5382584010035073E-2</v>
      </c>
      <c r="V259" s="30">
        <f t="shared" ca="1" si="35"/>
        <v>3.8410596026490114E-2</v>
      </c>
      <c r="W259" s="30">
        <f t="shared" ca="1" si="38"/>
        <v>2.8016033791646914E-2</v>
      </c>
      <c r="X259" s="30">
        <f t="shared" ca="1" si="36"/>
        <v>-0.11171450737005439</v>
      </c>
      <c r="Y259" s="31">
        <f t="shared" ca="1" si="37"/>
        <v>5.3146009019732793E-2</v>
      </c>
    </row>
    <row r="260" spans="2:25" x14ac:dyDescent="0.45">
      <c r="B260" vm="2186">
        <f ca="1"/>
        <v>44538</v>
      </c>
      <c r="C260" vm="2187">
        <f ca="1"/>
        <v>334.97</v>
      </c>
      <c r="D260" vm="2186">
        <f ca="1"/>
        <v>44538</v>
      </c>
      <c r="E260" vm="2188">
        <f ca="1"/>
        <v>17.497499999999999</v>
      </c>
      <c r="F260" vm="2186">
        <f ca="1"/>
        <v>44538</v>
      </c>
      <c r="G260" vm="2189">
        <f ca="1"/>
        <v>208.99</v>
      </c>
      <c r="H260" vm="2186">
        <f ca="1"/>
        <v>44538</v>
      </c>
      <c r="I260" vm="2190">
        <f ca="1"/>
        <v>156.31</v>
      </c>
      <c r="J260" vm="2186">
        <f ca="1"/>
        <v>44538</v>
      </c>
      <c r="K260" vm="2191">
        <f ca="1"/>
        <v>23.59</v>
      </c>
      <c r="L260" vm="2186">
        <f ca="1"/>
        <v>44538</v>
      </c>
      <c r="M260" vm="2192">
        <f ca="1"/>
        <v>243.17</v>
      </c>
      <c r="N260" vm="2186">
        <f ca="1"/>
        <v>44538</v>
      </c>
      <c r="O260" vm="2193">
        <f ca="1"/>
        <v>344.32</v>
      </c>
      <c r="P260" vm="2186">
        <f ca="1"/>
        <v>44538</v>
      </c>
      <c r="Q260" vm="2194">
        <f ca="1"/>
        <v>63.654000000000003</v>
      </c>
      <c r="R260" s="29">
        <f t="shared" ca="1" si="31"/>
        <v>1.4928938253914775E-4</v>
      </c>
      <c r="S260" s="30">
        <f t="shared" ca="1" si="32"/>
        <v>3.8956717308485603E-3</v>
      </c>
      <c r="T260" s="30">
        <f t="shared" ca="1" si="33"/>
        <v>7.8121232579447582E-3</v>
      </c>
      <c r="U260" s="30">
        <f t="shared" ca="1" si="34"/>
        <v>1.6319895968790576E-2</v>
      </c>
      <c r="V260" s="30">
        <f t="shared" ca="1" si="35"/>
        <v>2.9761904761904882E-3</v>
      </c>
      <c r="W260" s="30">
        <f t="shared" ca="1" si="38"/>
        <v>1.9537964865204798E-2</v>
      </c>
      <c r="X260" s="30">
        <f t="shared" ca="1" si="36"/>
        <v>-6.0262008733624417E-2</v>
      </c>
      <c r="Y260" s="31">
        <f t="shared" ca="1" si="37"/>
        <v>1.3324418549118922E-2</v>
      </c>
    </row>
    <row r="261" spans="2:25" x14ac:dyDescent="0.45">
      <c r="B261" vm="2195">
        <f ca="1"/>
        <v>44539</v>
      </c>
      <c r="C261" vm="2196">
        <f ca="1"/>
        <v>333.1</v>
      </c>
      <c r="D261" vm="2195">
        <f ca="1"/>
        <v>44539</v>
      </c>
      <c r="E261" vm="2197">
        <f ca="1"/>
        <v>17.323799999999999</v>
      </c>
      <c r="F261" vm="2195">
        <f ca="1"/>
        <v>44539</v>
      </c>
      <c r="G261" vm="2198">
        <f ca="1"/>
        <v>211.39</v>
      </c>
      <c r="H261" vm="2195">
        <f ca="1"/>
        <v>44539</v>
      </c>
      <c r="I261" vm="2199">
        <f ca="1"/>
        <v>154.61000000000001</v>
      </c>
      <c r="J261" vm="2195">
        <f ca="1"/>
        <v>44539</v>
      </c>
      <c r="K261" vm="1374">
        <f ca="1"/>
        <v>23.04</v>
      </c>
      <c r="L261" vm="2195">
        <f ca="1"/>
        <v>44539</v>
      </c>
      <c r="M261" vm="2200">
        <f ca="1"/>
        <v>233.42</v>
      </c>
      <c r="N261" vm="2195">
        <f ca="1"/>
        <v>44539</v>
      </c>
      <c r="O261" vm="2201">
        <f ca="1"/>
        <v>355.2</v>
      </c>
      <c r="P261" vm="2195">
        <f ca="1"/>
        <v>44539</v>
      </c>
      <c r="Q261" vm="2202">
        <f ca="1"/>
        <v>59.188000000000002</v>
      </c>
      <c r="R261" s="29">
        <f t="shared" ref="R261:R324" ca="1" si="39">(C261-C260)/C260</f>
        <v>-5.5825894856255916E-3</v>
      </c>
      <c r="S261" s="30">
        <f t="shared" ref="S261:S324" ca="1" si="40">(E261-E260)/E260</f>
        <v>-9.92713244749251E-3</v>
      </c>
      <c r="T261" s="30">
        <f t="shared" ref="T261:T324" ca="1" si="41">(G261-G260)/G260</f>
        <v>1.1483803052777535E-2</v>
      </c>
      <c r="U261" s="30">
        <f t="shared" ref="U261:U324" ca="1" si="42">(I261-I260)/I260</f>
        <v>-1.0875823683705384E-2</v>
      </c>
      <c r="V261" s="30">
        <f t="shared" ref="V261:V324" ca="1" si="43">(K261-K260)/K260</f>
        <v>-2.331496396778299E-2</v>
      </c>
      <c r="W261" s="30">
        <f t="shared" ca="1" si="38"/>
        <v>-4.009540650573673E-2</v>
      </c>
      <c r="X261" s="30">
        <f t="shared" ref="X261:X324" ca="1" si="44">(O261-O260)/O260</f>
        <v>3.1598513011152407E-2</v>
      </c>
      <c r="Y261" s="31">
        <f t="shared" ref="Y261:Y324" ca="1" si="45">(Q261-Q260)/Q260</f>
        <v>-7.0160555503189129E-2</v>
      </c>
    </row>
    <row r="262" spans="2:25" x14ac:dyDescent="0.45">
      <c r="B262" vm="2203">
        <f ca="1"/>
        <v>44540</v>
      </c>
      <c r="C262" vm="2204">
        <f ca="1"/>
        <v>342.54</v>
      </c>
      <c r="D262" vm="2203">
        <f ca="1"/>
        <v>44540</v>
      </c>
      <c r="E262" vm="2205">
        <f ca="1"/>
        <v>17.2483</v>
      </c>
      <c r="F262" vm="2203">
        <f ca="1"/>
        <v>44540</v>
      </c>
      <c r="G262" vm="2206">
        <f ca="1"/>
        <v>213.4</v>
      </c>
      <c r="H262" vm="2203">
        <f ca="1"/>
        <v>44540</v>
      </c>
      <c r="I262" vm="2207">
        <f ca="1"/>
        <v>156.26</v>
      </c>
      <c r="J262" vm="2203">
        <f ca="1"/>
        <v>44540</v>
      </c>
      <c r="K262" vm="2208">
        <f ca="1"/>
        <v>22.73</v>
      </c>
      <c r="L262" vm="2203">
        <f ca="1"/>
        <v>44540</v>
      </c>
      <c r="M262" vm="2209">
        <f ca="1"/>
        <v>233.26</v>
      </c>
      <c r="N262" vm="2203">
        <f ca="1"/>
        <v>44540</v>
      </c>
      <c r="O262" vm="2210">
        <f ca="1"/>
        <v>332.48</v>
      </c>
      <c r="P262" vm="2203">
        <f ca="1"/>
        <v>44540</v>
      </c>
      <c r="Q262" vm="2211">
        <f ca="1"/>
        <v>60.084000000000003</v>
      </c>
      <c r="R262" s="29">
        <f t="shared" ca="1" si="39"/>
        <v>2.8339837886520555E-2</v>
      </c>
      <c r="S262" s="30">
        <f t="shared" ca="1" si="40"/>
        <v>-4.358166222191328E-3</v>
      </c>
      <c r="T262" s="30">
        <f t="shared" ca="1" si="41"/>
        <v>9.5084914139742637E-3</v>
      </c>
      <c r="U262" s="30">
        <f t="shared" ca="1" si="42"/>
        <v>1.067201345320469E-2</v>
      </c>
      <c r="V262" s="30">
        <f t="shared" ca="1" si="43"/>
        <v>-1.3454861111111056E-2</v>
      </c>
      <c r="W262" s="30">
        <f t="shared" ref="W262:W325" ca="1" si="46">(M262-M261)/M261</f>
        <v>-6.8545968640217894E-4</v>
      </c>
      <c r="X262" s="30">
        <f t="shared" ca="1" si="44"/>
        <v>-6.396396396396388E-2</v>
      </c>
      <c r="Y262" s="31">
        <f t="shared" ca="1" si="45"/>
        <v>1.5138203689937162E-2</v>
      </c>
    </row>
    <row r="263" spans="2:25" x14ac:dyDescent="0.45">
      <c r="B263" vm="2212">
        <f ca="1"/>
        <v>44543</v>
      </c>
      <c r="C263" vm="2213">
        <f ca="1"/>
        <v>339.4</v>
      </c>
      <c r="D263" vm="2212">
        <f ca="1"/>
        <v>44543</v>
      </c>
      <c r="E263" vm="2214">
        <f ca="1"/>
        <v>16.946200000000001</v>
      </c>
      <c r="F263" vm="2212">
        <f ca="1"/>
        <v>44543</v>
      </c>
      <c r="G263" vm="2215">
        <f ca="1"/>
        <v>211.02</v>
      </c>
      <c r="H263" vm="2212">
        <f ca="1"/>
        <v>44543</v>
      </c>
      <c r="I263" vm="2216">
        <f ca="1"/>
        <v>156.29</v>
      </c>
      <c r="J263" vm="2212">
        <f ca="1"/>
        <v>44543</v>
      </c>
      <c r="K263" vm="1909">
        <f ca="1"/>
        <v>22.21</v>
      </c>
      <c r="L263" vm="2212">
        <f ca="1"/>
        <v>44543</v>
      </c>
      <c r="M263" vm="2217">
        <f ca="1"/>
        <v>225.62</v>
      </c>
      <c r="N263" vm="2212">
        <f ca="1"/>
        <v>44543</v>
      </c>
      <c r="O263" vm="2218">
        <f ca="1"/>
        <v>346.24</v>
      </c>
      <c r="P263" vm="2212">
        <f ca="1"/>
        <v>44543</v>
      </c>
      <c r="Q263" vm="2219">
        <f ca="1"/>
        <v>57.164000000000001</v>
      </c>
      <c r="R263" s="29">
        <f t="shared" ca="1" si="39"/>
        <v>-9.1668126350208535E-3</v>
      </c>
      <c r="S263" s="30">
        <f t="shared" ca="1" si="40"/>
        <v>-1.7514769571493966E-2</v>
      </c>
      <c r="T263" s="30">
        <f t="shared" ca="1" si="41"/>
        <v>-1.1152764761012162E-2</v>
      </c>
      <c r="U263" s="30">
        <f t="shared" ca="1" si="42"/>
        <v>1.9198771278638896E-4</v>
      </c>
      <c r="V263" s="30">
        <f t="shared" ca="1" si="43"/>
        <v>-2.2877254729432448E-2</v>
      </c>
      <c r="W263" s="30">
        <f t="shared" ca="1" si="46"/>
        <v>-3.2753150990311182E-2</v>
      </c>
      <c r="X263" s="30">
        <f t="shared" ca="1" si="44"/>
        <v>4.1385948026948963E-2</v>
      </c>
      <c r="Y263" s="31">
        <f t="shared" ca="1" si="45"/>
        <v>-4.859862858664539E-2</v>
      </c>
    </row>
    <row r="264" spans="2:25" x14ac:dyDescent="0.45">
      <c r="B264" vm="2220">
        <f ca="1"/>
        <v>44544</v>
      </c>
      <c r="C264" vm="2221">
        <f ca="1"/>
        <v>328.34</v>
      </c>
      <c r="D264" vm="2220">
        <f ca="1"/>
        <v>44544</v>
      </c>
      <c r="E264" vm="2222">
        <f ca="1"/>
        <v>16.832999999999998</v>
      </c>
      <c r="F264" vm="2220">
        <f ca="1"/>
        <v>44544</v>
      </c>
      <c r="G264" vm="2223">
        <f ca="1"/>
        <v>209.98</v>
      </c>
      <c r="H264" vm="2220">
        <f ca="1"/>
        <v>44544</v>
      </c>
      <c r="I264" vm="2224">
        <f ca="1"/>
        <v>151.88</v>
      </c>
      <c r="J264" vm="2220">
        <f ca="1"/>
        <v>44544</v>
      </c>
      <c r="K264" vm="2225">
        <f ca="1"/>
        <v>22.98</v>
      </c>
      <c r="L264" vm="2220">
        <f ca="1"/>
        <v>44544</v>
      </c>
      <c r="M264" vm="2226">
        <f ca="1"/>
        <v>222.68</v>
      </c>
      <c r="N264" vm="2220">
        <f ca="1"/>
        <v>44544</v>
      </c>
      <c r="O264" vm="2227">
        <f ca="1"/>
        <v>350.88</v>
      </c>
      <c r="P264" vm="2220">
        <f ca="1"/>
        <v>44544</v>
      </c>
      <c r="Q264" vm="2228">
        <f ca="1"/>
        <v>58.037999999999997</v>
      </c>
      <c r="R264" s="29">
        <f t="shared" ca="1" si="39"/>
        <v>-3.2586918090748387E-2</v>
      </c>
      <c r="S264" s="30">
        <f t="shared" ca="1" si="40"/>
        <v>-6.6799636496679268E-3</v>
      </c>
      <c r="T264" s="30">
        <f t="shared" ca="1" si="41"/>
        <v>-4.9284428016302742E-3</v>
      </c>
      <c r="U264" s="30">
        <f t="shared" ca="1" si="42"/>
        <v>-2.8216776505214643E-2</v>
      </c>
      <c r="V264" s="30">
        <f t="shared" ca="1" si="43"/>
        <v>3.4669067987393047E-2</v>
      </c>
      <c r="W264" s="30">
        <f t="shared" ca="1" si="46"/>
        <v>-1.3030759684425129E-2</v>
      </c>
      <c r="X264" s="30">
        <f t="shared" ca="1" si="44"/>
        <v>1.3401109057301254E-2</v>
      </c>
      <c r="Y264" s="31">
        <f t="shared" ca="1" si="45"/>
        <v>1.5289342943110965E-2</v>
      </c>
    </row>
    <row r="265" spans="2:25" x14ac:dyDescent="0.45">
      <c r="B265" vm="2229">
        <f ca="1"/>
        <v>44545</v>
      </c>
      <c r="C265" vm="2230">
        <f ca="1"/>
        <v>334.65</v>
      </c>
      <c r="D265" vm="2229">
        <f ca="1"/>
        <v>44545</v>
      </c>
      <c r="E265" vm="2231">
        <f ca="1"/>
        <v>16.7423</v>
      </c>
      <c r="F265" vm="2229">
        <f ca="1"/>
        <v>44545</v>
      </c>
      <c r="G265" vm="2232">
        <f ca="1"/>
        <v>212.31</v>
      </c>
      <c r="H265" vm="2229">
        <f ca="1"/>
        <v>44545</v>
      </c>
      <c r="I265" vm="2233">
        <f ca="1"/>
        <v>154.31</v>
      </c>
      <c r="J265" vm="2229">
        <f ca="1"/>
        <v>44545</v>
      </c>
      <c r="K265" vm="265">
        <f ca="1"/>
        <v>22.6</v>
      </c>
      <c r="L265" vm="2229">
        <f ca="1"/>
        <v>44545</v>
      </c>
      <c r="M265" vm="2234">
        <f ca="1"/>
        <v>225.4</v>
      </c>
      <c r="N265" vm="2229">
        <f ca="1"/>
        <v>44545</v>
      </c>
      <c r="O265" vm="2235">
        <f ca="1"/>
        <v>326.88</v>
      </c>
      <c r="P265" vm="2229">
        <f ca="1"/>
        <v>44545</v>
      </c>
      <c r="Q265" vm="2236">
        <f ca="1"/>
        <v>59.859000000000002</v>
      </c>
      <c r="R265" s="29">
        <f t="shared" ca="1" si="39"/>
        <v>1.9217883900834509E-2</v>
      </c>
      <c r="S265" s="30">
        <f t="shared" ca="1" si="40"/>
        <v>-5.3882255094159235E-3</v>
      </c>
      <c r="T265" s="30">
        <f t="shared" ca="1" si="41"/>
        <v>1.1096294885227224E-2</v>
      </c>
      <c r="U265" s="30">
        <f t="shared" ca="1" si="42"/>
        <v>1.5999473268369813E-2</v>
      </c>
      <c r="V265" s="30">
        <f t="shared" ca="1" si="43"/>
        <v>-1.6536118363794559E-2</v>
      </c>
      <c r="W265" s="30">
        <f t="shared" ca="1" si="46"/>
        <v>1.2214837434884133E-2</v>
      </c>
      <c r="X265" s="30">
        <f t="shared" ca="1" si="44"/>
        <v>-6.8399452804377564E-2</v>
      </c>
      <c r="Y265" s="31">
        <f t="shared" ca="1" si="45"/>
        <v>3.1375995037733986E-2</v>
      </c>
    </row>
    <row r="266" spans="2:25" x14ac:dyDescent="0.45">
      <c r="B266" vm="2237">
        <f ca="1"/>
        <v>44546</v>
      </c>
      <c r="C266" vm="2238">
        <f ca="1"/>
        <v>324.89999999999998</v>
      </c>
      <c r="D266" vm="2237">
        <f ca="1"/>
        <v>44546</v>
      </c>
      <c r="E266" vm="2239">
        <f ca="1"/>
        <v>17.9053</v>
      </c>
      <c r="F266" vm="2237">
        <f ca="1"/>
        <v>44546</v>
      </c>
      <c r="G266" vm="175">
        <f ca="1"/>
        <v>214.37</v>
      </c>
      <c r="H266" vm="2237">
        <f ca="1"/>
        <v>44546</v>
      </c>
      <c r="I266" vm="2240">
        <f ca="1"/>
        <v>150.80000000000001</v>
      </c>
      <c r="J266" vm="2237">
        <f ca="1"/>
        <v>44546</v>
      </c>
      <c r="K266" vm="2241">
        <f ca="1"/>
        <v>23.45</v>
      </c>
      <c r="L266" vm="2237">
        <f ca="1"/>
        <v>44546</v>
      </c>
      <c r="M266" vm="2242">
        <f ca="1"/>
        <v>226.55</v>
      </c>
      <c r="N266" vm="2237">
        <f ca="1"/>
        <v>44546</v>
      </c>
      <c r="O266" vm="2243">
        <f ca="1"/>
        <v>340.64</v>
      </c>
      <c r="P266" vm="2237">
        <f ca="1"/>
        <v>44546</v>
      </c>
      <c r="Q266" vm="2244">
        <f ca="1"/>
        <v>56.694000000000003</v>
      </c>
      <c r="R266" s="29">
        <f t="shared" ca="1" si="39"/>
        <v>-2.9134917077543704E-2</v>
      </c>
      <c r="S266" s="30">
        <f t="shared" ca="1" si="40"/>
        <v>6.9464768878827896E-2</v>
      </c>
      <c r="T266" s="30">
        <f t="shared" ca="1" si="41"/>
        <v>9.7027930855824139E-3</v>
      </c>
      <c r="U266" s="30">
        <f t="shared" ca="1" si="42"/>
        <v>-2.2746419545071551E-2</v>
      </c>
      <c r="V266" s="30">
        <f t="shared" ca="1" si="43"/>
        <v>3.7610619469026454E-2</v>
      </c>
      <c r="W266" s="30">
        <f t="shared" ca="1" si="46"/>
        <v>5.1020408163265554E-3</v>
      </c>
      <c r="X266" s="30">
        <f t="shared" ca="1" si="44"/>
        <v>4.2094958394517837E-2</v>
      </c>
      <c r="Y266" s="31">
        <f t="shared" ca="1" si="45"/>
        <v>-5.2874254498070448E-2</v>
      </c>
    </row>
    <row r="267" spans="2:25" x14ac:dyDescent="0.45">
      <c r="B267" vm="2245">
        <f ca="1"/>
        <v>44547</v>
      </c>
      <c r="C267" vm="2246">
        <f ca="1"/>
        <v>323.8</v>
      </c>
      <c r="D267" vm="2245">
        <f ca="1"/>
        <v>44547</v>
      </c>
      <c r="E267" vm="2247">
        <f ca="1"/>
        <v>17.958200000000001</v>
      </c>
      <c r="F267" vm="2245">
        <f ca="1"/>
        <v>44547</v>
      </c>
      <c r="G267" vm="2248">
        <f ca="1"/>
        <v>211.88</v>
      </c>
      <c r="H267" vm="2245">
        <f ca="1"/>
        <v>44547</v>
      </c>
      <c r="I267" vm="2249">
        <f ca="1"/>
        <v>151.41999999999999</v>
      </c>
      <c r="J267" vm="2245">
        <f ca="1"/>
        <v>44547</v>
      </c>
      <c r="K267" vm="2250">
        <f ca="1"/>
        <v>23.08</v>
      </c>
      <c r="L267" vm="2245">
        <f ca="1"/>
        <v>44547</v>
      </c>
      <c r="M267" vm="2251">
        <f ca="1"/>
        <v>235.28</v>
      </c>
      <c r="N267" vm="2245">
        <f ca="1"/>
        <v>44547</v>
      </c>
      <c r="O267" vm="2252">
        <f ca="1"/>
        <v>351.52</v>
      </c>
      <c r="P267" vm="2245">
        <f ca="1"/>
        <v>44547</v>
      </c>
      <c r="Q267" vm="2253">
        <f ca="1"/>
        <v>57.158000000000001</v>
      </c>
      <c r="R267" s="29">
        <f t="shared" ca="1" si="39"/>
        <v>-3.3856571252692089E-3</v>
      </c>
      <c r="S267" s="30">
        <f t="shared" ca="1" si="40"/>
        <v>2.9544324864705452E-3</v>
      </c>
      <c r="T267" s="30">
        <f t="shared" ca="1" si="41"/>
        <v>-1.1615431263702986E-2</v>
      </c>
      <c r="U267" s="30">
        <f t="shared" ca="1" si="42"/>
        <v>4.1114058355436077E-3</v>
      </c>
      <c r="V267" s="30">
        <f t="shared" ca="1" si="43"/>
        <v>-1.5778251599147166E-2</v>
      </c>
      <c r="W267" s="30">
        <f t="shared" ca="1" si="46"/>
        <v>3.8534539836680599E-2</v>
      </c>
      <c r="X267" s="30">
        <f t="shared" ca="1" si="44"/>
        <v>3.1939877876937514E-2</v>
      </c>
      <c r="Y267" s="31">
        <f t="shared" ca="1" si="45"/>
        <v>8.1842875789324906E-3</v>
      </c>
    </row>
    <row r="268" spans="2:25" x14ac:dyDescent="0.45">
      <c r="B268" vm="2254">
        <f ca="1"/>
        <v>44550</v>
      </c>
      <c r="C268" vm="2255">
        <f ca="1"/>
        <v>319.91000000000003</v>
      </c>
      <c r="D268" vm="2254">
        <f ca="1"/>
        <v>44550</v>
      </c>
      <c r="E268" vm="2256">
        <f ca="1"/>
        <v>18.267800000000001</v>
      </c>
      <c r="F268" vm="2254">
        <f ca="1"/>
        <v>44550</v>
      </c>
      <c r="G268" vm="2257">
        <f ca="1"/>
        <v>208.74</v>
      </c>
      <c r="H268" vm="2254">
        <f ca="1"/>
        <v>44550</v>
      </c>
      <c r="I268" vm="2258">
        <f ca="1"/>
        <v>150.41999999999999</v>
      </c>
      <c r="J268" vm="2254">
        <f ca="1"/>
        <v>44550</v>
      </c>
      <c r="K268" vm="795">
        <f ca="1"/>
        <v>22.15</v>
      </c>
      <c r="L268" vm="2254">
        <f ca="1"/>
        <v>44550</v>
      </c>
      <c r="M268" vm="2259">
        <f ca="1"/>
        <v>228.16</v>
      </c>
      <c r="N268" vm="2254">
        <f ca="1"/>
        <v>44550</v>
      </c>
      <c r="O268" vm="2260">
        <f ca="1"/>
        <v>364.48</v>
      </c>
      <c r="P268" vm="2254">
        <f ca="1"/>
        <v>44550</v>
      </c>
      <c r="Q268" vm="2261">
        <f ca="1"/>
        <v>54.639000000000003</v>
      </c>
      <c r="R268" s="29">
        <f t="shared" ca="1" si="39"/>
        <v>-1.2013588634959809E-2</v>
      </c>
      <c r="S268" s="30">
        <f t="shared" ca="1" si="40"/>
        <v>1.7240035192836678E-2</v>
      </c>
      <c r="T268" s="30">
        <f t="shared" ca="1" si="41"/>
        <v>-1.4819709269397708E-2</v>
      </c>
      <c r="U268" s="30">
        <f t="shared" ca="1" si="42"/>
        <v>-6.6041474045700705E-3</v>
      </c>
      <c r="V268" s="30">
        <f t="shared" ca="1" si="43"/>
        <v>-4.0294627383015591E-2</v>
      </c>
      <c r="W268" s="30">
        <f t="shared" ca="1" si="46"/>
        <v>-3.0261815708942555E-2</v>
      </c>
      <c r="X268" s="30">
        <f t="shared" ca="1" si="44"/>
        <v>3.6868456986800288E-2</v>
      </c>
      <c r="Y268" s="31">
        <f t="shared" ca="1" si="45"/>
        <v>-4.4070821232373394E-2</v>
      </c>
    </row>
    <row r="269" spans="2:25" x14ac:dyDescent="0.45">
      <c r="B269" vm="2262">
        <f ca="1"/>
        <v>44551</v>
      </c>
      <c r="C269" vm="2263">
        <f ca="1"/>
        <v>327.29000000000002</v>
      </c>
      <c r="D269" vm="2262">
        <f ca="1"/>
        <v>44551</v>
      </c>
      <c r="E269" vm="2109">
        <f ca="1"/>
        <v>18.479299999999999</v>
      </c>
      <c r="F269" vm="2262">
        <f ca="1"/>
        <v>44551</v>
      </c>
      <c r="G269" vm="2264">
        <f ca="1"/>
        <v>215.38</v>
      </c>
      <c r="H269" vm="2262">
        <f ca="1"/>
        <v>44551</v>
      </c>
      <c r="I269" vm="2265">
        <f ca="1"/>
        <v>153.96</v>
      </c>
      <c r="J269" vm="2262">
        <f ca="1"/>
        <v>44551</v>
      </c>
      <c r="K269" vm="1288">
        <f ca="1"/>
        <v>22.63</v>
      </c>
      <c r="L269" vm="2262">
        <f ca="1"/>
        <v>44551</v>
      </c>
      <c r="M269" vm="2266">
        <f ca="1"/>
        <v>238.11</v>
      </c>
      <c r="N269" vm="2262">
        <f ca="1"/>
        <v>44551</v>
      </c>
      <c r="O269" vm="2267">
        <f ca="1"/>
        <v>346.56</v>
      </c>
      <c r="P269" vm="2262">
        <f ca="1"/>
        <v>44551</v>
      </c>
      <c r="Q269" vm="2268">
        <f ca="1"/>
        <v>56.75</v>
      </c>
      <c r="R269" s="29">
        <f t="shared" ca="1" si="39"/>
        <v>2.3068988152917993E-2</v>
      </c>
      <c r="S269" s="30">
        <f t="shared" ca="1" si="40"/>
        <v>1.1577748825802633E-2</v>
      </c>
      <c r="T269" s="30">
        <f t="shared" ca="1" si="41"/>
        <v>3.1809907061416051E-2</v>
      </c>
      <c r="U269" s="30">
        <f t="shared" ca="1" si="42"/>
        <v>2.3534104507379475E-2</v>
      </c>
      <c r="V269" s="30">
        <f t="shared" ca="1" si="43"/>
        <v>2.1670428893905212E-2</v>
      </c>
      <c r="W269" s="30">
        <f t="shared" ca="1" si="46"/>
        <v>4.3609747545582125E-2</v>
      </c>
      <c r="X269" s="30">
        <f t="shared" ca="1" si="44"/>
        <v>-4.9165935030728754E-2</v>
      </c>
      <c r="Y269" s="31">
        <f t="shared" ca="1" si="45"/>
        <v>3.8635406943758069E-2</v>
      </c>
    </row>
    <row r="270" spans="2:25" x14ac:dyDescent="0.45">
      <c r="B270" vm="2269">
        <f ca="1"/>
        <v>44552</v>
      </c>
      <c r="C270" vm="2270">
        <f ca="1"/>
        <v>333.2</v>
      </c>
      <c r="D270" vm="2269">
        <f ca="1"/>
        <v>44552</v>
      </c>
      <c r="E270" vm="2271">
        <f ca="1"/>
        <v>18.7134</v>
      </c>
      <c r="F270" vm="2269">
        <f ca="1"/>
        <v>44552</v>
      </c>
      <c r="G270" vm="2272">
        <f ca="1"/>
        <v>217.96</v>
      </c>
      <c r="H270" vm="2269">
        <f ca="1"/>
        <v>44552</v>
      </c>
      <c r="I270" vm="2273">
        <f ca="1"/>
        <v>156.78</v>
      </c>
      <c r="J270" vm="2269">
        <f ca="1"/>
        <v>44552</v>
      </c>
      <c r="K270" vm="2274">
        <f ca="1"/>
        <v>22.92</v>
      </c>
      <c r="L270" vm="2269">
        <f ca="1"/>
        <v>44552</v>
      </c>
      <c r="M270" vm="2275">
        <f ca="1"/>
        <v>235.16</v>
      </c>
      <c r="N270" vm="2269">
        <f ca="1"/>
        <v>44552</v>
      </c>
      <c r="O270" vm="2276">
        <f ca="1"/>
        <v>326.56</v>
      </c>
      <c r="P270" vm="2269">
        <f ca="1"/>
        <v>44552</v>
      </c>
      <c r="Q270" vm="2277">
        <f ca="1"/>
        <v>56.999000000000002</v>
      </c>
      <c r="R270" s="29">
        <f t="shared" ca="1" si="39"/>
        <v>1.8057380304928254E-2</v>
      </c>
      <c r="S270" s="30">
        <f t="shared" ca="1" si="40"/>
        <v>1.2668228774899567E-2</v>
      </c>
      <c r="T270" s="30">
        <f t="shared" ca="1" si="41"/>
        <v>1.1978828117745439E-2</v>
      </c>
      <c r="U270" s="30">
        <f t="shared" ca="1" si="42"/>
        <v>1.8316445830085692E-2</v>
      </c>
      <c r="V270" s="30">
        <f t="shared" ca="1" si="43"/>
        <v>1.2814847547503434E-2</v>
      </c>
      <c r="W270" s="30">
        <f t="shared" ca="1" si="46"/>
        <v>-1.2389231867624279E-2</v>
      </c>
      <c r="X270" s="30">
        <f t="shared" ca="1" si="44"/>
        <v>-5.7710064635272389E-2</v>
      </c>
      <c r="Y270" s="31">
        <f t="shared" ca="1" si="45"/>
        <v>4.3876651982379267E-3</v>
      </c>
    </row>
    <row r="271" spans="2:25" x14ac:dyDescent="0.45">
      <c r="B271" vm="2278">
        <f ca="1"/>
        <v>44553</v>
      </c>
      <c r="C271" vm="502">
        <f ca="1"/>
        <v>334.69</v>
      </c>
      <c r="D271" vm="2278">
        <f ca="1"/>
        <v>44553</v>
      </c>
      <c r="E271" vm="2279">
        <f ca="1"/>
        <v>18.781300000000002</v>
      </c>
      <c r="F271" vm="2278">
        <f ca="1"/>
        <v>44553</v>
      </c>
      <c r="G271" vm="2280">
        <f ca="1"/>
        <v>216.62</v>
      </c>
      <c r="H271" vm="2278">
        <f ca="1"/>
        <v>44553</v>
      </c>
      <c r="I271" vm="2281">
        <f ca="1"/>
        <v>157.80000000000001</v>
      </c>
      <c r="J271" vm="2278">
        <f ca="1"/>
        <v>44553</v>
      </c>
      <c r="K271" vm="2282">
        <f ca="1"/>
        <v>23.15</v>
      </c>
      <c r="L271" vm="2278">
        <f ca="1"/>
        <v>44553</v>
      </c>
      <c r="M271" vm="2283">
        <f ca="1"/>
        <v>236.63</v>
      </c>
      <c r="N271" vm="2278">
        <f ca="1"/>
        <v>44553</v>
      </c>
      <c r="O271" vm="2284">
        <f ca="1"/>
        <v>322.88</v>
      </c>
      <c r="P271" vm="2278">
        <f ca="1"/>
        <v>44553</v>
      </c>
      <c r="Q271" vm="2285">
        <f ca="1"/>
        <v>59.720999999999997</v>
      </c>
      <c r="R271" s="29">
        <f t="shared" ca="1" si="39"/>
        <v>4.4717887154862223E-3</v>
      </c>
      <c r="S271" s="30">
        <f t="shared" ca="1" si="40"/>
        <v>3.6284160013680907E-3</v>
      </c>
      <c r="T271" s="30">
        <f t="shared" ca="1" si="41"/>
        <v>-6.1479170489998321E-3</v>
      </c>
      <c r="U271" s="30">
        <f t="shared" ca="1" si="42"/>
        <v>6.5059318790662724E-3</v>
      </c>
      <c r="V271" s="30">
        <f t="shared" ca="1" si="43"/>
        <v>1.0034904013961468E-2</v>
      </c>
      <c r="W271" s="30">
        <f t="shared" ca="1" si="46"/>
        <v>6.2510631059703985E-3</v>
      </c>
      <c r="X271" s="30">
        <f t="shared" ca="1" si="44"/>
        <v>-1.1268985791278805E-2</v>
      </c>
      <c r="Y271" s="31">
        <f t="shared" ca="1" si="45"/>
        <v>4.7755223775855615E-2</v>
      </c>
    </row>
    <row r="272" spans="2:25" x14ac:dyDescent="0.45">
      <c r="B272" vm="2286">
        <f ca="1"/>
        <v>44557</v>
      </c>
      <c r="C272" vm="2287">
        <f ca="1"/>
        <v>342.45</v>
      </c>
      <c r="D272" vm="2286">
        <f ca="1"/>
        <v>44557</v>
      </c>
      <c r="E272" vm="2271">
        <f ca="1"/>
        <v>18.7134</v>
      </c>
      <c r="F272" vm="2286">
        <f ca="1"/>
        <v>44557</v>
      </c>
      <c r="G272" vm="2288">
        <f ca="1"/>
        <v>217.63</v>
      </c>
      <c r="H272" vm="2286">
        <f ca="1"/>
        <v>44557</v>
      </c>
      <c r="I272" vm="2289">
        <f ca="1"/>
        <v>158.74</v>
      </c>
      <c r="J272" vm="2286">
        <f ca="1"/>
        <v>44557</v>
      </c>
      <c r="K272" vm="847">
        <f ca="1"/>
        <v>23.71</v>
      </c>
      <c r="L272" vm="2286">
        <f ca="1"/>
        <v>44557</v>
      </c>
      <c r="M272" vm="573">
        <f ca="1"/>
        <v>233.78</v>
      </c>
      <c r="N272" vm="2286">
        <f ca="1"/>
        <v>44557</v>
      </c>
      <c r="O272" vm="2290">
        <f ca="1"/>
        <v>315.2</v>
      </c>
      <c r="P272" vm="2286">
        <f ca="1"/>
        <v>44557</v>
      </c>
      <c r="Q272" vm="2291">
        <f ca="1"/>
        <v>60.828000000000003</v>
      </c>
      <c r="R272" s="29">
        <f t="shared" ca="1" si="39"/>
        <v>2.3185634467716366E-2</v>
      </c>
      <c r="S272" s="30">
        <f t="shared" ca="1" si="40"/>
        <v>-3.6152981955456555E-3</v>
      </c>
      <c r="T272" s="30">
        <f t="shared" ca="1" si="41"/>
        <v>4.6625427015048971E-3</v>
      </c>
      <c r="U272" s="30">
        <f t="shared" ca="1" si="42"/>
        <v>5.9569074778200101E-3</v>
      </c>
      <c r="V272" s="30">
        <f t="shared" ca="1" si="43"/>
        <v>2.4190064794816515E-2</v>
      </c>
      <c r="W272" s="30">
        <f t="shared" ca="1" si="46"/>
        <v>-1.2044119511473585E-2</v>
      </c>
      <c r="X272" s="30">
        <f t="shared" ca="1" si="44"/>
        <v>-2.3785926660059485E-2</v>
      </c>
      <c r="Y272" s="31">
        <f t="shared" ca="1" si="45"/>
        <v>1.8536193298839713E-2</v>
      </c>
    </row>
    <row r="273" spans="2:25" x14ac:dyDescent="0.45">
      <c r="B273" vm="2292">
        <f ca="1"/>
        <v>44558</v>
      </c>
      <c r="C273" vm="2293">
        <f ca="1"/>
        <v>341.25</v>
      </c>
      <c r="D273" vm="2292">
        <f ca="1"/>
        <v>44558</v>
      </c>
      <c r="E273" vm="2294">
        <f ca="1"/>
        <v>18.743600000000001</v>
      </c>
      <c r="F273" vm="2292">
        <f ca="1"/>
        <v>44558</v>
      </c>
      <c r="G273" vm="2295">
        <f ca="1"/>
        <v>218.05</v>
      </c>
      <c r="H273" vm="2292">
        <f ca="1"/>
        <v>44558</v>
      </c>
      <c r="I273" vm="2296">
        <f ca="1"/>
        <v>159.18</v>
      </c>
      <c r="J273" vm="2292">
        <f ca="1"/>
        <v>44558</v>
      </c>
      <c r="K273" vm="2297">
        <f ca="1"/>
        <v>23.41</v>
      </c>
      <c r="L273" vm="2292">
        <f ca="1"/>
        <v>44558</v>
      </c>
      <c r="M273" vm="573">
        <f ca="1"/>
        <v>233.78</v>
      </c>
      <c r="N273" vm="2292">
        <f ca="1"/>
        <v>44558</v>
      </c>
      <c r="O273" vm="2298">
        <f ca="1"/>
        <v>307.36</v>
      </c>
      <c r="P273" vm="2292">
        <f ca="1"/>
        <v>44558</v>
      </c>
      <c r="Q273" vm="2299">
        <f ca="1"/>
        <v>56.796999999999997</v>
      </c>
      <c r="R273" s="29">
        <f t="shared" ca="1" si="39"/>
        <v>-3.504161191414772E-3</v>
      </c>
      <c r="S273" s="30">
        <f t="shared" ca="1" si="40"/>
        <v>1.6138168371327857E-3</v>
      </c>
      <c r="T273" s="30">
        <f t="shared" ca="1" si="41"/>
        <v>1.9298809906723152E-3</v>
      </c>
      <c r="U273" s="30">
        <f t="shared" ca="1" si="42"/>
        <v>2.7718281466548927E-3</v>
      </c>
      <c r="V273" s="30">
        <f t="shared" ca="1" si="43"/>
        <v>-1.2652889076339126E-2</v>
      </c>
      <c r="W273" s="30">
        <f t="shared" ca="1" si="46"/>
        <v>0</v>
      </c>
      <c r="X273" s="30">
        <f t="shared" ca="1" si="44"/>
        <v>-2.4873096446700427E-2</v>
      </c>
      <c r="Y273" s="31">
        <f t="shared" ca="1" si="45"/>
        <v>-6.6268823568093729E-2</v>
      </c>
    </row>
    <row r="274" spans="2:25" x14ac:dyDescent="0.45">
      <c r="B274" vm="2300">
        <f ca="1"/>
        <v>44559</v>
      </c>
      <c r="C274" vm="2301">
        <f ca="1"/>
        <v>341.95</v>
      </c>
      <c r="D274" vm="2300">
        <f ca="1"/>
        <v>44559</v>
      </c>
      <c r="E274" vm="2302">
        <f ca="1"/>
        <v>18.607600000000001</v>
      </c>
      <c r="F274" vm="2300">
        <f ca="1"/>
        <v>44559</v>
      </c>
      <c r="G274" vm="2303">
        <f ca="1"/>
        <v>218.17</v>
      </c>
      <c r="H274" vm="2300">
        <f ca="1"/>
        <v>44559</v>
      </c>
      <c r="I274" vm="2304">
        <f ca="1"/>
        <v>160.65</v>
      </c>
      <c r="J274" vm="2300">
        <f ca="1"/>
        <v>44559</v>
      </c>
      <c r="K274" vm="2305">
        <f ca="1"/>
        <v>23.29</v>
      </c>
      <c r="L274" vm="2300">
        <f ca="1"/>
        <v>44559</v>
      </c>
      <c r="M274" vm="2306">
        <f ca="1"/>
        <v>232.92</v>
      </c>
      <c r="N274" vm="2300">
        <f ca="1"/>
        <v>44559</v>
      </c>
      <c r="O274" vm="2307">
        <f ca="1"/>
        <v>299.36</v>
      </c>
      <c r="P274" vm="2300">
        <f ca="1"/>
        <v>44559</v>
      </c>
      <c r="Q274" vm="2308">
        <f ca="1"/>
        <v>55.609000000000002</v>
      </c>
      <c r="R274" s="29">
        <f t="shared" ca="1" si="39"/>
        <v>2.0512820512820179E-3</v>
      </c>
      <c r="S274" s="30">
        <f t="shared" ca="1" si="40"/>
        <v>-7.255809983140871E-3</v>
      </c>
      <c r="T274" s="30">
        <f t="shared" ca="1" si="41"/>
        <v>5.5033249254747129E-4</v>
      </c>
      <c r="U274" s="30">
        <f t="shared" ca="1" si="42"/>
        <v>9.2348284960422095E-3</v>
      </c>
      <c r="V274" s="30">
        <f t="shared" ca="1" si="43"/>
        <v>-5.12601452370786E-3</v>
      </c>
      <c r="W274" s="30">
        <f t="shared" ca="1" si="46"/>
        <v>-3.6786722559672071E-3</v>
      </c>
      <c r="X274" s="30">
        <f t="shared" ca="1" si="44"/>
        <v>-2.6028110359187923E-2</v>
      </c>
      <c r="Y274" s="31">
        <f t="shared" ca="1" si="45"/>
        <v>-2.0916597707625322E-2</v>
      </c>
    </row>
    <row r="275" spans="2:25" x14ac:dyDescent="0.45">
      <c r="B275" vm="2309">
        <f ca="1"/>
        <v>44560</v>
      </c>
      <c r="C275" vm="2310">
        <f ca="1"/>
        <v>339.32</v>
      </c>
      <c r="D275" vm="2309">
        <f ca="1"/>
        <v>44560</v>
      </c>
      <c r="E275" vm="2271">
        <f ca="1"/>
        <v>18.7134</v>
      </c>
      <c r="F275" vm="2309">
        <f ca="1"/>
        <v>44560</v>
      </c>
      <c r="G275" vm="2311">
        <f ca="1"/>
        <v>217.87</v>
      </c>
      <c r="H275" vm="2309">
        <f ca="1"/>
        <v>44560</v>
      </c>
      <c r="I275" vm="2044">
        <f ca="1"/>
        <v>160.88</v>
      </c>
      <c r="J275" vm="2309">
        <f ca="1"/>
        <v>44560</v>
      </c>
      <c r="K275" vm="2312">
        <f ca="1"/>
        <v>23.23</v>
      </c>
      <c r="L275" vm="2309">
        <f ca="1"/>
        <v>44560</v>
      </c>
      <c r="M275" vm="2313">
        <f ca="1"/>
        <v>237.92</v>
      </c>
      <c r="N275" vm="2309">
        <f ca="1"/>
        <v>44560</v>
      </c>
      <c r="O275" vm="2307">
        <f ca="1"/>
        <v>299.36</v>
      </c>
      <c r="P275" vm="2309">
        <f ca="1"/>
        <v>44560</v>
      </c>
      <c r="Q275" vm="2314">
        <f ca="1"/>
        <v>56.234000000000002</v>
      </c>
      <c r="R275" s="29">
        <f t="shared" ca="1" si="39"/>
        <v>-7.6911829214797358E-3</v>
      </c>
      <c r="S275" s="30">
        <f t="shared" ca="1" si="40"/>
        <v>5.6858487929662372E-3</v>
      </c>
      <c r="T275" s="30">
        <f t="shared" ca="1" si="41"/>
        <v>-1.3750744832010952E-3</v>
      </c>
      <c r="U275" s="30">
        <f t="shared" ca="1" si="42"/>
        <v>1.4316837846248974E-3</v>
      </c>
      <c r="V275" s="30">
        <f t="shared" ca="1" si="43"/>
        <v>-2.5762129669385453E-3</v>
      </c>
      <c r="W275" s="30">
        <f t="shared" ca="1" si="46"/>
        <v>2.1466597973553152E-2</v>
      </c>
      <c r="X275" s="30">
        <f t="shared" ca="1" si="44"/>
        <v>0</v>
      </c>
      <c r="Y275" s="31">
        <f t="shared" ca="1" si="45"/>
        <v>1.1239187901239008E-2</v>
      </c>
    </row>
    <row r="276" spans="2:25" x14ac:dyDescent="0.45">
      <c r="B276" vm="2315">
        <f ca="1"/>
        <v>44561</v>
      </c>
      <c r="C276" vm="2316">
        <f ca="1"/>
        <v>336.32</v>
      </c>
      <c r="D276" vm="2315">
        <f ca="1"/>
        <v>44561</v>
      </c>
      <c r="E276" vm="2317">
        <f ca="1"/>
        <v>18.577400000000001</v>
      </c>
      <c r="F276" vm="2315">
        <f ca="1"/>
        <v>44561</v>
      </c>
      <c r="G276" vm="2318">
        <f ca="1"/>
        <v>216.71</v>
      </c>
      <c r="H276" vm="2315">
        <f ca="1"/>
        <v>44561</v>
      </c>
      <c r="I276" vm="2319">
        <f ca="1"/>
        <v>159.65</v>
      </c>
      <c r="J276" vm="2315">
        <f ca="1"/>
        <v>44561</v>
      </c>
      <c r="K276" vm="2320">
        <f ca="1"/>
        <v>23.81</v>
      </c>
      <c r="L276" vm="2315">
        <f ca="1"/>
        <v>44561</v>
      </c>
      <c r="M276" vm="2321">
        <f ca="1"/>
        <v>234.03</v>
      </c>
      <c r="N276" vm="2315">
        <f ca="1"/>
        <v>44561</v>
      </c>
      <c r="O276" vm="2322">
        <f ca="1"/>
        <v>296.48</v>
      </c>
      <c r="P276" vm="2315">
        <f ca="1"/>
        <v>44561</v>
      </c>
      <c r="Q276" vm="2323">
        <f ca="1"/>
        <v>54.448999999999998</v>
      </c>
      <c r="R276" s="29">
        <f t="shared" ca="1" si="39"/>
        <v>-8.8412118354355765E-3</v>
      </c>
      <c r="S276" s="30">
        <f t="shared" ca="1" si="40"/>
        <v>-7.2675195314587E-3</v>
      </c>
      <c r="T276" s="30">
        <f t="shared" ca="1" si="41"/>
        <v>-5.3242759443704801E-3</v>
      </c>
      <c r="U276" s="30">
        <f t="shared" ca="1" si="42"/>
        <v>-7.6454500248631886E-3</v>
      </c>
      <c r="V276" s="30">
        <f t="shared" ca="1" si="43"/>
        <v>2.4967714162720547E-2</v>
      </c>
      <c r="W276" s="30">
        <f t="shared" ca="1" si="46"/>
        <v>-1.6350033624747757E-2</v>
      </c>
      <c r="X276" s="30">
        <f t="shared" ca="1" si="44"/>
        <v>-9.620523784072672E-3</v>
      </c>
      <c r="Y276" s="31">
        <f t="shared" ca="1" si="45"/>
        <v>-3.1742362271935193E-2</v>
      </c>
    </row>
    <row r="277" spans="2:25" x14ac:dyDescent="0.45">
      <c r="B277" vm="2324">
        <f ca="1"/>
        <v>44564</v>
      </c>
      <c r="C277" vm="2325">
        <f ca="1"/>
        <v>334.75</v>
      </c>
      <c r="D277" vm="2324">
        <f ca="1"/>
        <v>44564</v>
      </c>
      <c r="E277" vm="1846">
        <f ca="1"/>
        <v>19.2042</v>
      </c>
      <c r="F277" vm="2324">
        <f ca="1"/>
        <v>44564</v>
      </c>
      <c r="G277" vm="2326">
        <f ca="1"/>
        <v>221.43</v>
      </c>
      <c r="H277" vm="2324">
        <f ca="1"/>
        <v>44564</v>
      </c>
      <c r="I277" vm="2327">
        <f ca="1"/>
        <v>156.47999999999999</v>
      </c>
      <c r="J277" vm="2324">
        <f ca="1"/>
        <v>44564</v>
      </c>
      <c r="K277" vm="2328">
        <f ca="1"/>
        <v>23.93</v>
      </c>
      <c r="L277" vm="2324">
        <f ca="1"/>
        <v>44564</v>
      </c>
      <c r="M277" vm="2329">
        <f ca="1"/>
        <v>244.16</v>
      </c>
      <c r="N277" vm="2324">
        <f ca="1"/>
        <v>44564</v>
      </c>
      <c r="O277" vm="2330">
        <f ca="1"/>
        <v>286.39999999999998</v>
      </c>
      <c r="P277" vm="2324">
        <f ca="1"/>
        <v>44564</v>
      </c>
      <c r="Q277" vm="2331">
        <f ca="1"/>
        <v>55.826000000000001</v>
      </c>
      <c r="R277" s="29">
        <f t="shared" ca="1" si="39"/>
        <v>-4.6681731684110172E-3</v>
      </c>
      <c r="S277" s="30">
        <f t="shared" ca="1" si="40"/>
        <v>3.3739920548623563E-2</v>
      </c>
      <c r="T277" s="30">
        <f t="shared" ca="1" si="41"/>
        <v>2.1780259332748828E-2</v>
      </c>
      <c r="U277" s="30">
        <f t="shared" ca="1" si="42"/>
        <v>-1.9855934857500881E-2</v>
      </c>
      <c r="V277" s="30">
        <f t="shared" ca="1" si="43"/>
        <v>5.0398992020160016E-3</v>
      </c>
      <c r="W277" s="30">
        <f t="shared" ca="1" si="46"/>
        <v>4.3285048925351434E-2</v>
      </c>
      <c r="X277" s="30">
        <f t="shared" ca="1" si="44"/>
        <v>-3.3998920669185244E-2</v>
      </c>
      <c r="Y277" s="31">
        <f t="shared" ca="1" si="45"/>
        <v>2.5289720656026787E-2</v>
      </c>
    </row>
    <row r="278" spans="2:25" x14ac:dyDescent="0.45">
      <c r="B278" vm="2332">
        <f ca="1"/>
        <v>44565</v>
      </c>
      <c r="C278" vm="2333">
        <f ca="1"/>
        <v>329.01</v>
      </c>
      <c r="D278" vm="2332">
        <f ca="1"/>
        <v>44565</v>
      </c>
      <c r="E278" vm="1923">
        <f ca="1"/>
        <v>19.3628</v>
      </c>
      <c r="F278" vm="2332">
        <f ca="1"/>
        <v>44565</v>
      </c>
      <c r="G278" vm="1856">
        <f ca="1"/>
        <v>222.46</v>
      </c>
      <c r="H278" vm="2332">
        <f ca="1"/>
        <v>44565</v>
      </c>
      <c r="I278" vm="2334">
        <f ca="1"/>
        <v>151.19</v>
      </c>
      <c r="J278" vm="2332">
        <f ca="1"/>
        <v>44565</v>
      </c>
      <c r="K278" vm="901">
        <f ca="1"/>
        <v>24.68</v>
      </c>
      <c r="L278" vm="2332">
        <f ca="1"/>
        <v>44565</v>
      </c>
      <c r="M278" vm="2335">
        <f ca="1"/>
        <v>239.26</v>
      </c>
      <c r="N278" vm="2332">
        <f ca="1"/>
        <v>44565</v>
      </c>
      <c r="O278" vm="2336">
        <f ca="1"/>
        <v>286.08</v>
      </c>
      <c r="P278" vm="2332">
        <f ca="1"/>
        <v>44565</v>
      </c>
      <c r="Q278" vm="2337">
        <f ca="1"/>
        <v>55.106999999999999</v>
      </c>
      <c r="R278" s="29">
        <f t="shared" ca="1" si="39"/>
        <v>-1.7147124719940281E-2</v>
      </c>
      <c r="S278" s="30">
        <f t="shared" ca="1" si="40"/>
        <v>8.2586100957082222E-3</v>
      </c>
      <c r="T278" s="30">
        <f t="shared" ca="1" si="41"/>
        <v>4.6515828930135984E-3</v>
      </c>
      <c r="U278" s="30">
        <f t="shared" ca="1" si="42"/>
        <v>-3.3806237218813859E-2</v>
      </c>
      <c r="V278" s="30">
        <f t="shared" ca="1" si="43"/>
        <v>3.1341412452987882E-2</v>
      </c>
      <c r="W278" s="30">
        <f t="shared" ca="1" si="46"/>
        <v>-2.0068807339449563E-2</v>
      </c>
      <c r="X278" s="30">
        <f t="shared" ca="1" si="44"/>
        <v>-1.1173184357541662E-3</v>
      </c>
      <c r="Y278" s="31">
        <f t="shared" ca="1" si="45"/>
        <v>-1.2879303550317078E-2</v>
      </c>
    </row>
    <row r="279" spans="2:25" x14ac:dyDescent="0.45">
      <c r="B279" vm="2338">
        <f ca="1"/>
        <v>44566</v>
      </c>
      <c r="C279" vm="2339">
        <f ca="1"/>
        <v>316.38</v>
      </c>
      <c r="D279" vm="2338">
        <f ca="1"/>
        <v>44566</v>
      </c>
      <c r="E279" vm="2340">
        <f ca="1"/>
        <v>19.793299999999999</v>
      </c>
      <c r="F279" vm="2338">
        <f ca="1"/>
        <v>44566</v>
      </c>
      <c r="G279" vm="2341">
        <f ca="1"/>
        <v>220</v>
      </c>
      <c r="H279" vm="2338">
        <f ca="1"/>
        <v>44566</v>
      </c>
      <c r="I279" vm="2342">
        <f ca="1"/>
        <v>148.6</v>
      </c>
      <c r="J279" vm="2338">
        <f ca="1"/>
        <v>44566</v>
      </c>
      <c r="K279" vm="2343">
        <f ca="1"/>
        <v>25.26</v>
      </c>
      <c r="L279" vm="2338">
        <f ca="1"/>
        <v>44566</v>
      </c>
      <c r="M279" vm="2344">
        <f ca="1"/>
        <v>227.7</v>
      </c>
      <c r="N279" vm="2338">
        <f ca="1"/>
        <v>44566</v>
      </c>
      <c r="O279" vm="2345">
        <f ca="1"/>
        <v>308.64</v>
      </c>
      <c r="P279" vm="2338">
        <f ca="1"/>
        <v>44566</v>
      </c>
      <c r="Q279" vm="2346">
        <f ca="1"/>
        <v>50.91</v>
      </c>
      <c r="R279" s="29">
        <f t="shared" ca="1" si="39"/>
        <v>-3.8387890945563954E-2</v>
      </c>
      <c r="S279" s="30">
        <f t="shared" ca="1" si="40"/>
        <v>2.2233354680108175E-2</v>
      </c>
      <c r="T279" s="30">
        <f t="shared" ca="1" si="41"/>
        <v>-1.1058167760496304E-2</v>
      </c>
      <c r="U279" s="30">
        <f t="shared" ca="1" si="42"/>
        <v>-1.7130762616575194E-2</v>
      </c>
      <c r="V279" s="30">
        <f t="shared" ca="1" si="43"/>
        <v>2.350081037277155E-2</v>
      </c>
      <c r="W279" s="30">
        <f t="shared" ca="1" si="46"/>
        <v>-4.8315639889659798E-2</v>
      </c>
      <c r="X279" s="30">
        <f t="shared" ca="1" si="44"/>
        <v>7.8859060402684575E-2</v>
      </c>
      <c r="Y279" s="31">
        <f t="shared" ca="1" si="45"/>
        <v>-7.6160923294681313E-2</v>
      </c>
    </row>
    <row r="280" spans="2:25" x14ac:dyDescent="0.45">
      <c r="B280" vm="2347">
        <f ca="1"/>
        <v>44567</v>
      </c>
      <c r="C280" vm="2348">
        <f ca="1"/>
        <v>313.88</v>
      </c>
      <c r="D280" vm="2347">
        <f ca="1"/>
        <v>44567</v>
      </c>
      <c r="E280" vm="2349">
        <f ca="1"/>
        <v>19.717700000000001</v>
      </c>
      <c r="F280" vm="2347">
        <f ca="1"/>
        <v>44567</v>
      </c>
      <c r="G280" vm="2350">
        <f ca="1"/>
        <v>219.75</v>
      </c>
      <c r="H280" vm="2347">
        <f ca="1"/>
        <v>44567</v>
      </c>
      <c r="I280" vm="2351">
        <f ca="1"/>
        <v>149.12</v>
      </c>
      <c r="J280" vm="2347">
        <f ca="1"/>
        <v>44567</v>
      </c>
      <c r="K280" vm="2352">
        <f ca="1"/>
        <v>24.77</v>
      </c>
      <c r="L280" vm="2347">
        <f ca="1"/>
        <v>44567</v>
      </c>
      <c r="M280" vm="2353">
        <f ca="1"/>
        <v>228.27</v>
      </c>
      <c r="N280" vm="2347">
        <f ca="1"/>
        <v>44567</v>
      </c>
      <c r="O280" vm="2354">
        <f ca="1"/>
        <v>310.08</v>
      </c>
      <c r="P280" vm="2347">
        <f ca="1"/>
        <v>44567</v>
      </c>
      <c r="Q280" vm="2355">
        <f ca="1"/>
        <v>49.862000000000002</v>
      </c>
      <c r="R280" s="29">
        <f t="shared" ca="1" si="39"/>
        <v>-7.9018901321196034E-3</v>
      </c>
      <c r="S280" s="30">
        <f t="shared" ca="1" si="40"/>
        <v>-3.8194742665446338E-3</v>
      </c>
      <c r="T280" s="30">
        <f t="shared" ca="1" si="41"/>
        <v>-1.1363636363636363E-3</v>
      </c>
      <c r="U280" s="30">
        <f t="shared" ca="1" si="42"/>
        <v>3.4993270524899746E-3</v>
      </c>
      <c r="V280" s="30">
        <f t="shared" ca="1" si="43"/>
        <v>-1.9398258115597859E-2</v>
      </c>
      <c r="W280" s="30">
        <f t="shared" ca="1" si="46"/>
        <v>2.5032938076417289E-3</v>
      </c>
      <c r="X280" s="30">
        <f t="shared" ca="1" si="44"/>
        <v>4.6656298600310968E-3</v>
      </c>
      <c r="Y280" s="31">
        <f t="shared" ca="1" si="45"/>
        <v>-2.0585346690237573E-2</v>
      </c>
    </row>
    <row r="281" spans="2:25" x14ac:dyDescent="0.45">
      <c r="B281" vm="2356">
        <f ca="1"/>
        <v>44568</v>
      </c>
      <c r="C281" vm="2357">
        <f ca="1"/>
        <v>314.04000000000002</v>
      </c>
      <c r="D281" vm="2356">
        <f ca="1"/>
        <v>44568</v>
      </c>
      <c r="E281" vm="2358">
        <f ca="1"/>
        <v>19.8537</v>
      </c>
      <c r="F281" vm="2356">
        <f ca="1"/>
        <v>44568</v>
      </c>
      <c r="G281" vm="2359">
        <f ca="1"/>
        <v>216.96</v>
      </c>
      <c r="H281" vm="2356">
        <f ca="1"/>
        <v>44568</v>
      </c>
      <c r="I281" vm="2360">
        <f ca="1"/>
        <v>145.15</v>
      </c>
      <c r="J281" vm="2356">
        <f ca="1"/>
        <v>44568</v>
      </c>
      <c r="K281" vm="2361">
        <f ca="1"/>
        <v>25.4</v>
      </c>
      <c r="L281" vm="2356">
        <f ca="1"/>
        <v>44568</v>
      </c>
      <c r="M281" vm="2362">
        <f ca="1"/>
        <v>223.58</v>
      </c>
      <c r="N281" vm="2356">
        <f ca="1"/>
        <v>44568</v>
      </c>
      <c r="O281" vm="2363">
        <f ca="1"/>
        <v>301.12</v>
      </c>
      <c r="P281" vm="2356">
        <f ca="1"/>
        <v>44568</v>
      </c>
      <c r="Q281" vm="2364">
        <f ca="1"/>
        <v>48.295000000000002</v>
      </c>
      <c r="R281" s="29">
        <f t="shared" ca="1" si="39"/>
        <v>5.097489486428731E-4</v>
      </c>
      <c r="S281" s="30">
        <f t="shared" ca="1" si="40"/>
        <v>6.897356182516177E-3</v>
      </c>
      <c r="T281" s="30">
        <f t="shared" ca="1" si="41"/>
        <v>-1.269624573378836E-2</v>
      </c>
      <c r="U281" s="30">
        <f t="shared" ca="1" si="42"/>
        <v>-2.6622854077253212E-2</v>
      </c>
      <c r="V281" s="30">
        <f t="shared" ca="1" si="43"/>
        <v>2.5433992733144895E-2</v>
      </c>
      <c r="W281" s="30">
        <f t="shared" ca="1" si="46"/>
        <v>-2.054584483287334E-2</v>
      </c>
      <c r="X281" s="30">
        <f t="shared" ca="1" si="44"/>
        <v>-2.8895768833849266E-2</v>
      </c>
      <c r="Y281" s="31">
        <f t="shared" ca="1" si="45"/>
        <v>-3.1426737796317841E-2</v>
      </c>
    </row>
    <row r="282" spans="2:25" x14ac:dyDescent="0.45">
      <c r="B282" vm="2365">
        <f ca="1"/>
        <v>44571</v>
      </c>
      <c r="C282" vm="2366">
        <f ca="1"/>
        <v>314.27</v>
      </c>
      <c r="D282" vm="2365">
        <f ca="1"/>
        <v>44571</v>
      </c>
      <c r="E282" vm="2367">
        <f ca="1"/>
        <v>19.982099999999999</v>
      </c>
      <c r="F282" vm="2365">
        <f ca="1"/>
        <v>44571</v>
      </c>
      <c r="G282" vm="2368">
        <f ca="1"/>
        <v>211.97</v>
      </c>
      <c r="H282" vm="2365">
        <f ca="1"/>
        <v>44571</v>
      </c>
      <c r="I282" vm="2369">
        <f ca="1"/>
        <v>145.16</v>
      </c>
      <c r="J282" vm="2365">
        <f ca="1"/>
        <v>44571</v>
      </c>
      <c r="K282" vm="2370">
        <f ca="1"/>
        <v>24.69</v>
      </c>
      <c r="L282" vm="2365">
        <f ca="1"/>
        <v>44571</v>
      </c>
      <c r="M282" vm="2371">
        <f ca="1"/>
        <v>224.41</v>
      </c>
      <c r="N282" vm="2365">
        <f ca="1"/>
        <v>44571</v>
      </c>
      <c r="O282" vm="2372">
        <f ca="1"/>
        <v>295.52</v>
      </c>
      <c r="P282" vm="2365">
        <f ca="1"/>
        <v>44571</v>
      </c>
      <c r="Q282" vm="2373">
        <f ca="1"/>
        <v>48.195</v>
      </c>
      <c r="R282" s="29">
        <f t="shared" ca="1" si="39"/>
        <v>7.3239077824468644E-4</v>
      </c>
      <c r="S282" s="30">
        <f t="shared" ca="1" si="40"/>
        <v>6.4673083606581741E-3</v>
      </c>
      <c r="T282" s="30">
        <f t="shared" ca="1" si="41"/>
        <v>-2.299963126843662E-2</v>
      </c>
      <c r="U282" s="30">
        <f t="shared" ca="1" si="42"/>
        <v>6.8894247330285248E-5</v>
      </c>
      <c r="V282" s="30">
        <f t="shared" ca="1" si="43"/>
        <v>-2.7952755905511707E-2</v>
      </c>
      <c r="W282" s="30">
        <f t="shared" ca="1" si="46"/>
        <v>3.7123177386169785E-3</v>
      </c>
      <c r="X282" s="30">
        <f t="shared" ca="1" si="44"/>
        <v>-1.8597236981934186E-2</v>
      </c>
      <c r="Y282" s="31">
        <f t="shared" ca="1" si="45"/>
        <v>-2.0706077233668377E-3</v>
      </c>
    </row>
    <row r="283" spans="2:25" x14ac:dyDescent="0.45">
      <c r="B283" vm="2374">
        <f ca="1"/>
        <v>44572</v>
      </c>
      <c r="C283" vm="2375">
        <f ca="1"/>
        <v>314.98</v>
      </c>
      <c r="D283" vm="2374">
        <f ca="1"/>
        <v>44572</v>
      </c>
      <c r="E283" vm="2376">
        <f ca="1"/>
        <v>19.891400000000001</v>
      </c>
      <c r="F283" vm="2374">
        <f ca="1"/>
        <v>44572</v>
      </c>
      <c r="G283" vm="2377">
        <f ca="1"/>
        <v>214.38</v>
      </c>
      <c r="H283" vm="2374">
        <f ca="1"/>
        <v>44572</v>
      </c>
      <c r="I283" vm="2378">
        <f ca="1"/>
        <v>146.63999999999999</v>
      </c>
      <c r="J283" vm="2374">
        <f ca="1"/>
        <v>44572</v>
      </c>
      <c r="K283" vm="2379">
        <f ca="1"/>
        <v>24.39</v>
      </c>
      <c r="L283" vm="2374">
        <f ca="1"/>
        <v>44572</v>
      </c>
      <c r="M283" vm="2380">
        <f ca="1"/>
        <v>234.97</v>
      </c>
      <c r="N283" vm="2374">
        <f ca="1"/>
        <v>44572</v>
      </c>
      <c r="O283" vm="2381">
        <f ca="1"/>
        <v>285.12</v>
      </c>
      <c r="P283" vm="2374">
        <f ca="1"/>
        <v>44572</v>
      </c>
      <c r="Q283" vm="2382">
        <f ca="1"/>
        <v>50.655999999999999</v>
      </c>
      <c r="R283" s="29">
        <f t="shared" ca="1" si="39"/>
        <v>2.259203869284489E-3</v>
      </c>
      <c r="S283" s="30">
        <f t="shared" ca="1" si="40"/>
        <v>-4.5390624609024195E-3</v>
      </c>
      <c r="T283" s="30">
        <f t="shared" ca="1" si="41"/>
        <v>1.1369533424541193E-2</v>
      </c>
      <c r="U283" s="30">
        <f t="shared" ca="1" si="42"/>
        <v>1.0195646183521562E-2</v>
      </c>
      <c r="V283" s="30">
        <f t="shared" ca="1" si="43"/>
        <v>-1.21506682867558E-2</v>
      </c>
      <c r="W283" s="30">
        <f t="shared" ca="1" si="46"/>
        <v>4.7056726527338368E-2</v>
      </c>
      <c r="X283" s="30">
        <f t="shared" ca="1" si="44"/>
        <v>-3.5192203573362134E-2</v>
      </c>
      <c r="Y283" s="31">
        <f t="shared" ca="1" si="45"/>
        <v>5.106338831829025E-2</v>
      </c>
    </row>
    <row r="284" spans="2:25" x14ac:dyDescent="0.45">
      <c r="B284" vm="2383">
        <f ca="1"/>
        <v>44573</v>
      </c>
      <c r="C284" vm="2384">
        <f ca="1"/>
        <v>318.27</v>
      </c>
      <c r="D284" vm="2383">
        <f ca="1"/>
        <v>44573</v>
      </c>
      <c r="E284" vm="2385">
        <f ca="1"/>
        <v>19.974499999999999</v>
      </c>
      <c r="F284" vm="2383">
        <f ca="1"/>
        <v>44573</v>
      </c>
      <c r="G284" vm="2386">
        <f ca="1"/>
        <v>215.71</v>
      </c>
      <c r="H284" vm="2383">
        <f ca="1"/>
        <v>44573</v>
      </c>
      <c r="I284" vm="1305">
        <f ca="1"/>
        <v>149.51</v>
      </c>
      <c r="J284" vm="2383">
        <f ca="1"/>
        <v>44573</v>
      </c>
      <c r="K284" vm="2387">
        <f ca="1"/>
        <v>25.7</v>
      </c>
      <c r="L284" vm="2383">
        <f ca="1"/>
        <v>44573</v>
      </c>
      <c r="M284" vm="2388">
        <f ca="1"/>
        <v>231.31</v>
      </c>
      <c r="N284" vm="2383">
        <f ca="1"/>
        <v>44573</v>
      </c>
      <c r="O284" vm="2389">
        <f ca="1"/>
        <v>282.08</v>
      </c>
      <c r="P284" vm="2383">
        <f ca="1"/>
        <v>44573</v>
      </c>
      <c r="Q284" vm="2390">
        <f ca="1"/>
        <v>51.463999999999999</v>
      </c>
      <c r="R284" s="29">
        <f t="shared" ca="1" si="39"/>
        <v>1.0445107625880893E-2</v>
      </c>
      <c r="S284" s="30">
        <f t="shared" ca="1" si="40"/>
        <v>4.1776848286193113E-3</v>
      </c>
      <c r="T284" s="30">
        <f t="shared" ca="1" si="41"/>
        <v>6.2039369344155824E-3</v>
      </c>
      <c r="U284" s="30">
        <f t="shared" ca="1" si="42"/>
        <v>1.9571740316421199E-2</v>
      </c>
      <c r="V284" s="30">
        <f t="shared" ca="1" si="43"/>
        <v>5.3710537105370999E-2</v>
      </c>
      <c r="W284" s="30">
        <f t="shared" ca="1" si="46"/>
        <v>-1.5576456568923678E-2</v>
      </c>
      <c r="X284" s="30">
        <f t="shared" ca="1" si="44"/>
        <v>-1.0662177328844067E-2</v>
      </c>
      <c r="Y284" s="31">
        <f t="shared" ca="1" si="45"/>
        <v>1.5950726468730254E-2</v>
      </c>
    </row>
    <row r="285" spans="2:25" x14ac:dyDescent="0.45">
      <c r="B285" vm="2391">
        <f ca="1"/>
        <v>44574</v>
      </c>
      <c r="C285" vm="2392">
        <f ca="1"/>
        <v>304.8</v>
      </c>
      <c r="D285" vm="2391">
        <f ca="1"/>
        <v>44574</v>
      </c>
      <c r="E285" vm="2393">
        <f ca="1"/>
        <v>20.238800000000001</v>
      </c>
      <c r="F285" vm="2391">
        <f ca="1"/>
        <v>44574</v>
      </c>
      <c r="G285" vm="2394">
        <f ca="1"/>
        <v>215</v>
      </c>
      <c r="H285" vm="2391">
        <f ca="1"/>
        <v>44574</v>
      </c>
      <c r="I285" vm="2395">
        <f ca="1"/>
        <v>145.16999999999999</v>
      </c>
      <c r="J285" vm="2391">
        <f ca="1"/>
        <v>44574</v>
      </c>
      <c r="K285" vm="2396">
        <f ca="1"/>
        <v>25.42</v>
      </c>
      <c r="L285" vm="2391">
        <f ca="1"/>
        <v>44574</v>
      </c>
      <c r="M285" vm="2397">
        <f ca="1"/>
        <v>226.45</v>
      </c>
      <c r="N285" vm="2391">
        <f ca="1"/>
        <v>44574</v>
      </c>
      <c r="O285" vm="2398">
        <f ca="1"/>
        <v>299.83999999999997</v>
      </c>
      <c r="P285" vm="2391">
        <f ca="1"/>
        <v>44574</v>
      </c>
      <c r="Q285" vm="2399">
        <f ca="1"/>
        <v>48.959000000000003</v>
      </c>
      <c r="R285" s="29">
        <f t="shared" ca="1" si="39"/>
        <v>-4.2322556320105481E-2</v>
      </c>
      <c r="S285" s="30">
        <f t="shared" ca="1" si="40"/>
        <v>1.3231870635059812E-2</v>
      </c>
      <c r="T285" s="30">
        <f t="shared" ca="1" si="41"/>
        <v>-3.2914561216448378E-3</v>
      </c>
      <c r="U285" s="30">
        <f t="shared" ca="1" si="42"/>
        <v>-2.9028158651595234E-2</v>
      </c>
      <c r="V285" s="30">
        <f t="shared" ca="1" si="43"/>
        <v>-1.0894941634241151E-2</v>
      </c>
      <c r="W285" s="30">
        <f t="shared" ca="1" si="46"/>
        <v>-2.101076477454504E-2</v>
      </c>
      <c r="X285" s="30">
        <f t="shared" ca="1" si="44"/>
        <v>6.2960862166761181E-2</v>
      </c>
      <c r="Y285" s="31">
        <f t="shared" ca="1" si="45"/>
        <v>-4.8674801803202154E-2</v>
      </c>
    </row>
    <row r="286" spans="2:25" x14ac:dyDescent="0.45">
      <c r="B286" vm="2400">
        <f ca="1"/>
        <v>44575</v>
      </c>
      <c r="C286" vm="2401">
        <f ca="1"/>
        <v>310.2</v>
      </c>
      <c r="D286" vm="2400">
        <f ca="1"/>
        <v>44575</v>
      </c>
      <c r="E286" vm="1668">
        <f ca="1"/>
        <v>20.5258</v>
      </c>
      <c r="F286" vm="2400">
        <f ca="1"/>
        <v>44575</v>
      </c>
      <c r="G286" vm="2402">
        <f ca="1"/>
        <v>214.67</v>
      </c>
      <c r="H286" vm="2400">
        <f ca="1"/>
        <v>44575</v>
      </c>
      <c r="I286" vm="2403">
        <f ca="1"/>
        <v>144.68</v>
      </c>
      <c r="J286" vm="2400">
        <f ca="1"/>
        <v>44575</v>
      </c>
      <c r="K286" vm="1703">
        <f ca="1"/>
        <v>25.39</v>
      </c>
      <c r="L286" vm="2400">
        <f ca="1"/>
        <v>44575</v>
      </c>
      <c r="M286" vm="2404">
        <f ca="1"/>
        <v>218.56</v>
      </c>
      <c r="N286" vm="2400">
        <f ca="1"/>
        <v>44575</v>
      </c>
      <c r="O286" vm="2405">
        <f ca="1"/>
        <v>295.2</v>
      </c>
      <c r="P286" vm="2400">
        <f ca="1"/>
        <v>44575</v>
      </c>
      <c r="Q286" vm="2406">
        <f ca="1"/>
        <v>49.956000000000003</v>
      </c>
      <c r="R286" s="29">
        <f t="shared" ca="1" si="39"/>
        <v>1.771653543307079E-2</v>
      </c>
      <c r="S286" s="30">
        <f t="shared" ca="1" si="40"/>
        <v>1.4180682649168875E-2</v>
      </c>
      <c r="T286" s="30">
        <f t="shared" ca="1" si="41"/>
        <v>-1.5348837209302906E-3</v>
      </c>
      <c r="U286" s="30">
        <f t="shared" ca="1" si="42"/>
        <v>-3.3753530343733603E-3</v>
      </c>
      <c r="V286" s="30">
        <f t="shared" ca="1" si="43"/>
        <v>-1.1801730920535458E-3</v>
      </c>
      <c r="W286" s="30">
        <f t="shared" ca="1" si="46"/>
        <v>-3.4842128505188724E-2</v>
      </c>
      <c r="X286" s="30">
        <f t="shared" ca="1" si="44"/>
        <v>-1.5474919957310521E-2</v>
      </c>
      <c r="Y286" s="31">
        <f t="shared" ca="1" si="45"/>
        <v>2.0363978022426926E-2</v>
      </c>
    </row>
    <row r="287" spans="2:25" x14ac:dyDescent="0.45">
      <c r="B287" vm="2407">
        <f ca="1"/>
        <v>44579</v>
      </c>
      <c r="C287" vm="2408">
        <f ca="1"/>
        <v>302.64999999999998</v>
      </c>
      <c r="D287" vm="2407">
        <f ca="1"/>
        <v>44579</v>
      </c>
      <c r="E287" vm="1813">
        <f ca="1"/>
        <v>20.623999999999999</v>
      </c>
      <c r="F287" vm="2407">
        <f ca="1"/>
        <v>44579</v>
      </c>
      <c r="G287" vm="2386">
        <f ca="1"/>
        <v>215.71</v>
      </c>
      <c r="H287" vm="2407">
        <f ca="1"/>
        <v>44579</v>
      </c>
      <c r="I287" vm="2409">
        <f ca="1"/>
        <v>140.47</v>
      </c>
      <c r="J287" vm="2407">
        <f ca="1"/>
        <v>44579</v>
      </c>
      <c r="K287" vm="2410">
        <f ca="1"/>
        <v>24.01</v>
      </c>
      <c r="L287" vm="2407">
        <f ca="1"/>
        <v>44579</v>
      </c>
      <c r="M287" vm="2411">
        <f ca="1"/>
        <v>210.87</v>
      </c>
      <c r="N287" vm="2407">
        <f ca="1"/>
        <v>44579</v>
      </c>
      <c r="O287" vm="2412">
        <f ca="1"/>
        <v>318.24</v>
      </c>
      <c r="P287" vm="2407">
        <f ca="1"/>
        <v>44579</v>
      </c>
      <c r="Q287" vm="2413">
        <f ca="1"/>
        <v>46.828000000000003</v>
      </c>
      <c r="R287" s="29">
        <f t="shared" ca="1" si="39"/>
        <v>-2.433913604126374E-2</v>
      </c>
      <c r="S287" s="30">
        <f t="shared" ca="1" si="40"/>
        <v>4.7842227830339626E-3</v>
      </c>
      <c r="T287" s="30">
        <f t="shared" ca="1" si="41"/>
        <v>4.8446452694834883E-3</v>
      </c>
      <c r="U287" s="30">
        <f t="shared" ca="1" si="42"/>
        <v>-2.9098700580591705E-2</v>
      </c>
      <c r="V287" s="30">
        <f t="shared" ca="1" si="43"/>
        <v>-5.4352107128790822E-2</v>
      </c>
      <c r="W287" s="30">
        <f t="shared" ca="1" si="46"/>
        <v>-3.5184846266471441E-2</v>
      </c>
      <c r="X287" s="30">
        <f t="shared" ca="1" si="44"/>
        <v>7.8048780487804947E-2</v>
      </c>
      <c r="Y287" s="31">
        <f t="shared" ca="1" si="45"/>
        <v>-6.2615101289134431E-2</v>
      </c>
    </row>
    <row r="288" spans="2:25" x14ac:dyDescent="0.45">
      <c r="B288" vm="2414">
        <f ca="1"/>
        <v>44580</v>
      </c>
      <c r="C288" vm="2415">
        <f ca="1"/>
        <v>303.33</v>
      </c>
      <c r="D288" vm="2414">
        <f ca="1"/>
        <v>44580</v>
      </c>
      <c r="E288" vm="2416">
        <f ca="1"/>
        <v>20.601299999999998</v>
      </c>
      <c r="F288" vm="2414">
        <f ca="1"/>
        <v>44580</v>
      </c>
      <c r="G288" vm="2417">
        <f ca="1"/>
        <v>214.68</v>
      </c>
      <c r="H288" vm="2414">
        <f ca="1"/>
        <v>44580</v>
      </c>
      <c r="I288" vm="2418">
        <f ca="1"/>
        <v>140.43</v>
      </c>
      <c r="J288" vm="2414">
        <f ca="1"/>
        <v>44580</v>
      </c>
      <c r="K288" vm="2419">
        <f ca="1"/>
        <v>22.59</v>
      </c>
      <c r="L288" vm="2414">
        <f ca="1"/>
        <v>44580</v>
      </c>
      <c r="M288" vm="2420">
        <f ca="1"/>
        <v>207.35</v>
      </c>
      <c r="N288" vm="2414">
        <f ca="1"/>
        <v>44580</v>
      </c>
      <c r="O288" vm="2047">
        <f ca="1"/>
        <v>325.76</v>
      </c>
      <c r="P288" vm="2414">
        <f ca="1"/>
        <v>44580</v>
      </c>
      <c r="Q288" vm="2421">
        <f ca="1"/>
        <v>46.042000000000002</v>
      </c>
      <c r="R288" s="29">
        <f t="shared" ca="1" si="39"/>
        <v>2.2468197587973133E-3</v>
      </c>
      <c r="S288" s="30">
        <f t="shared" ca="1" si="40"/>
        <v>-1.1006594259115781E-3</v>
      </c>
      <c r="T288" s="30">
        <f t="shared" ca="1" si="41"/>
        <v>-4.7749293032311952E-3</v>
      </c>
      <c r="U288" s="30">
        <f t="shared" ca="1" si="42"/>
        <v>-2.8475831138315686E-4</v>
      </c>
      <c r="V288" s="30">
        <f t="shared" ca="1" si="43"/>
        <v>-5.9142024156601483E-2</v>
      </c>
      <c r="W288" s="30">
        <f t="shared" ca="1" si="46"/>
        <v>-1.6692749087115332E-2</v>
      </c>
      <c r="X288" s="30">
        <f t="shared" ca="1" si="44"/>
        <v>2.3629964806435338E-2</v>
      </c>
      <c r="Y288" s="31">
        <f t="shared" ca="1" si="45"/>
        <v>-1.6784829589134735E-2</v>
      </c>
    </row>
    <row r="289" spans="2:25" x14ac:dyDescent="0.45">
      <c r="B289" vm="2422">
        <f ca="1"/>
        <v>44581</v>
      </c>
      <c r="C289" vm="2423">
        <f ca="1"/>
        <v>301.60000000000002</v>
      </c>
      <c r="D289" vm="2422">
        <f ca="1"/>
        <v>44581</v>
      </c>
      <c r="E289" vm="1585">
        <f ca="1"/>
        <v>20.405000000000001</v>
      </c>
      <c r="F289" vm="2422">
        <f ca="1"/>
        <v>44581</v>
      </c>
      <c r="G289" vm="2424">
        <f ca="1"/>
        <v>214.35</v>
      </c>
      <c r="H289" vm="2422">
        <f ca="1"/>
        <v>44581</v>
      </c>
      <c r="I289" vm="2425">
        <f ca="1"/>
        <v>139.47999999999999</v>
      </c>
      <c r="J289" vm="2422">
        <f ca="1"/>
        <v>44581</v>
      </c>
      <c r="K289" vm="2426">
        <f ca="1"/>
        <v>21.3</v>
      </c>
      <c r="L289" vm="2422">
        <f ca="1"/>
        <v>44581</v>
      </c>
      <c r="M289" vm="2427">
        <f ca="1"/>
        <v>208.66</v>
      </c>
      <c r="N289" vm="2422">
        <f ca="1"/>
        <v>44581</v>
      </c>
      <c r="O289" vm="2428">
        <f ca="1"/>
        <v>339.84</v>
      </c>
      <c r="P289" vm="2422">
        <f ca="1"/>
        <v>44581</v>
      </c>
      <c r="Q289" vm="2429">
        <f ca="1"/>
        <v>45.753</v>
      </c>
      <c r="R289" s="29">
        <f t="shared" ca="1" si="39"/>
        <v>-5.7033593775754508E-3</v>
      </c>
      <c r="S289" s="30">
        <f t="shared" ca="1" si="40"/>
        <v>-9.5285248989140144E-3</v>
      </c>
      <c r="T289" s="30">
        <f t="shared" ca="1" si="41"/>
        <v>-1.5371716042482414E-3</v>
      </c>
      <c r="U289" s="30">
        <f t="shared" ca="1" si="42"/>
        <v>-6.7649362671794991E-3</v>
      </c>
      <c r="V289" s="30">
        <f t="shared" ca="1" si="43"/>
        <v>-5.7104913678618821E-2</v>
      </c>
      <c r="W289" s="30">
        <f t="shared" ca="1" si="46"/>
        <v>6.3178201109235707E-3</v>
      </c>
      <c r="X289" s="30">
        <f t="shared" ca="1" si="44"/>
        <v>4.3222003929273035E-2</v>
      </c>
      <c r="Y289" s="31">
        <f t="shared" ca="1" si="45"/>
        <v>-6.2768776334651286E-3</v>
      </c>
    </row>
    <row r="290" spans="2:25" x14ac:dyDescent="0.45">
      <c r="B290" vm="2430">
        <f ca="1"/>
        <v>44582</v>
      </c>
      <c r="C290" vm="2431">
        <f ca="1"/>
        <v>296.02999999999997</v>
      </c>
      <c r="D290" vm="2430">
        <f ca="1"/>
        <v>44582</v>
      </c>
      <c r="E290" vm="2432">
        <f ca="1"/>
        <v>20.095300000000002</v>
      </c>
      <c r="F290" vm="2430">
        <f ca="1"/>
        <v>44582</v>
      </c>
      <c r="G290" vm="2433">
        <f ca="1"/>
        <v>205.93</v>
      </c>
      <c r="H290" vm="2430">
        <f ca="1"/>
        <v>44582</v>
      </c>
      <c r="I290" vm="2434">
        <f ca="1"/>
        <v>137.51</v>
      </c>
      <c r="J290" vm="2430">
        <f ca="1"/>
        <v>44582</v>
      </c>
      <c r="K290" vm="2435">
        <f ca="1"/>
        <v>19.25</v>
      </c>
      <c r="L290" vm="2430">
        <f ca="1"/>
        <v>44582</v>
      </c>
      <c r="M290" vm="2436">
        <f ca="1"/>
        <v>195.53</v>
      </c>
      <c r="N290" vm="2430">
        <f ca="1"/>
        <v>44582</v>
      </c>
      <c r="O290" vm="2437">
        <f ca="1"/>
        <v>371.2</v>
      </c>
      <c r="P290" vm="2430">
        <f ca="1"/>
        <v>44582</v>
      </c>
      <c r="Q290" vm="2438">
        <f ca="1"/>
        <v>37.588999999999999</v>
      </c>
      <c r="R290" s="29">
        <f t="shared" ca="1" si="39"/>
        <v>-1.8468169761273374E-2</v>
      </c>
      <c r="S290" s="30">
        <f t="shared" ca="1" si="40"/>
        <v>-1.5177652536143072E-2</v>
      </c>
      <c r="T290" s="30">
        <f t="shared" ca="1" si="41"/>
        <v>-3.9281548868672675E-2</v>
      </c>
      <c r="U290" s="30">
        <f t="shared" ca="1" si="42"/>
        <v>-1.4123888729566957E-2</v>
      </c>
      <c r="V290" s="30">
        <f t="shared" ca="1" si="43"/>
        <v>-9.624413145539909E-2</v>
      </c>
      <c r="W290" s="30">
        <f t="shared" ca="1" si="46"/>
        <v>-6.2925333077734097E-2</v>
      </c>
      <c r="X290" s="30">
        <f t="shared" ca="1" si="44"/>
        <v>9.2278719397363512E-2</v>
      </c>
      <c r="Y290" s="31">
        <f t="shared" ca="1" si="45"/>
        <v>-0.17843638668502615</v>
      </c>
    </row>
    <row r="291" spans="2:25" x14ac:dyDescent="0.45">
      <c r="B291" vm="2439">
        <f ca="1"/>
        <v>44585</v>
      </c>
      <c r="C291" vm="2440">
        <f ca="1"/>
        <v>296.37</v>
      </c>
      <c r="D291" vm="2439">
        <f ca="1"/>
        <v>44585</v>
      </c>
      <c r="E291" vm="2376">
        <f ca="1"/>
        <v>19.891400000000001</v>
      </c>
      <c r="F291" vm="2439">
        <f ca="1"/>
        <v>44585</v>
      </c>
      <c r="G291" vm="2441">
        <f ca="1"/>
        <v>201.85</v>
      </c>
      <c r="H291" vm="2439">
        <f ca="1"/>
        <v>44585</v>
      </c>
      <c r="I291" vm="2442">
        <f ca="1"/>
        <v>138.12</v>
      </c>
      <c r="J291" vm="2439">
        <f ca="1"/>
        <v>44585</v>
      </c>
      <c r="K291" vm="2443">
        <f ca="1"/>
        <v>19.420000000000002</v>
      </c>
      <c r="L291" vm="2439">
        <f ca="1"/>
        <v>44585</v>
      </c>
      <c r="M291" vm="2444">
        <f ca="1"/>
        <v>193.56</v>
      </c>
      <c r="N291" vm="2439">
        <f ca="1"/>
        <v>44585</v>
      </c>
      <c r="O291" vm="2445">
        <f ca="1"/>
        <v>379.52</v>
      </c>
      <c r="P291" vm="2439">
        <f ca="1"/>
        <v>44585</v>
      </c>
      <c r="Q291" vm="2446">
        <f ca="1"/>
        <v>37.045000000000002</v>
      </c>
      <c r="R291" s="29">
        <f t="shared" ca="1" si="39"/>
        <v>1.1485322433538218E-3</v>
      </c>
      <c r="S291" s="30">
        <f t="shared" ca="1" si="40"/>
        <v>-1.0146651206998694E-2</v>
      </c>
      <c r="T291" s="30">
        <f t="shared" ca="1" si="41"/>
        <v>-1.9812557665226108E-2</v>
      </c>
      <c r="U291" s="30">
        <f t="shared" ca="1" si="42"/>
        <v>4.4360410151989939E-3</v>
      </c>
      <c r="V291" s="30">
        <f t="shared" ca="1" si="43"/>
        <v>8.8311688311689205E-3</v>
      </c>
      <c r="W291" s="30">
        <f t="shared" ca="1" si="46"/>
        <v>-1.0075180279241031E-2</v>
      </c>
      <c r="X291" s="30">
        <f t="shared" ca="1" si="44"/>
        <v>2.2413793103448258E-2</v>
      </c>
      <c r="Y291" s="31">
        <f t="shared" ca="1" si="45"/>
        <v>-1.4472319029503231E-2</v>
      </c>
    </row>
    <row r="292" spans="2:25" x14ac:dyDescent="0.45">
      <c r="B292" vm="2447">
        <f ca="1"/>
        <v>44586</v>
      </c>
      <c r="C292" vm="2448">
        <f ca="1"/>
        <v>288.49</v>
      </c>
      <c r="D292" vm="2447">
        <f ca="1"/>
        <v>44586</v>
      </c>
      <c r="E292" vm="2449">
        <f ca="1"/>
        <v>19.997199999999999</v>
      </c>
      <c r="F292" vm="2447">
        <f ca="1"/>
        <v>44586</v>
      </c>
      <c r="G292" vm="2450">
        <f ca="1"/>
        <v>202</v>
      </c>
      <c r="H292" vm="2447">
        <f ca="1"/>
        <v>44586</v>
      </c>
      <c r="I292" vm="2451">
        <f ca="1"/>
        <v>134.57</v>
      </c>
      <c r="J292" vm="2447">
        <f ca="1"/>
        <v>44586</v>
      </c>
      <c r="K292" vm="2452">
        <f ca="1"/>
        <v>18.98</v>
      </c>
      <c r="L292" vm="2447">
        <f ca="1"/>
        <v>44586</v>
      </c>
      <c r="M292" vm="2453">
        <f ca="1"/>
        <v>184.04</v>
      </c>
      <c r="N292" vm="2447">
        <f ca="1"/>
        <v>44586</v>
      </c>
      <c r="O292" vm="2454">
        <f ca="1"/>
        <v>381.76</v>
      </c>
      <c r="P292" vm="2447">
        <f ca="1"/>
        <v>44586</v>
      </c>
      <c r="Q292" vm="2455">
        <f ca="1"/>
        <v>36.505000000000003</v>
      </c>
      <c r="R292" s="29">
        <f t="shared" ca="1" si="39"/>
        <v>-2.6588386138947921E-2</v>
      </c>
      <c r="S292" s="30">
        <f t="shared" ca="1" si="40"/>
        <v>5.3188815266898542E-3</v>
      </c>
      <c r="T292" s="30">
        <f t="shared" ca="1" si="41"/>
        <v>7.4312608372556694E-4</v>
      </c>
      <c r="U292" s="30">
        <f t="shared" ca="1" si="42"/>
        <v>-2.5702287865624177E-2</v>
      </c>
      <c r="V292" s="30">
        <f t="shared" ca="1" si="43"/>
        <v>-2.2657054582904287E-2</v>
      </c>
      <c r="W292" s="30">
        <f t="shared" ca="1" si="46"/>
        <v>-4.9183715643728095E-2</v>
      </c>
      <c r="X292" s="30">
        <f t="shared" ca="1" si="44"/>
        <v>5.9021922428330762E-3</v>
      </c>
      <c r="Y292" s="31">
        <f t="shared" ca="1" si="45"/>
        <v>-1.4576865973815606E-2</v>
      </c>
    </row>
    <row r="293" spans="2:25" x14ac:dyDescent="0.45">
      <c r="B293" vm="2456">
        <f ca="1"/>
        <v>44587</v>
      </c>
      <c r="C293" vm="2457">
        <f ca="1"/>
        <v>296.70999999999998</v>
      </c>
      <c r="D293" vm="2456">
        <f ca="1"/>
        <v>44587</v>
      </c>
      <c r="E293" vm="2458">
        <f ca="1"/>
        <v>18.313099999999999</v>
      </c>
      <c r="F293" vm="2456">
        <f ca="1"/>
        <v>44587</v>
      </c>
      <c r="G293" vm="2459">
        <f ca="1"/>
        <v>205.87</v>
      </c>
      <c r="H293" vm="2456">
        <f ca="1"/>
        <v>44587</v>
      </c>
      <c r="I293" vm="2460">
        <f ca="1"/>
        <v>133.51</v>
      </c>
      <c r="J293" vm="2456">
        <f ca="1"/>
        <v>44587</v>
      </c>
      <c r="K293" vm="2461">
        <f ca="1"/>
        <v>18.61</v>
      </c>
      <c r="L293" vm="2456">
        <f ca="1"/>
        <v>44587</v>
      </c>
      <c r="M293" vm="2462">
        <f ca="1"/>
        <v>174.79</v>
      </c>
      <c r="N293" vm="2456">
        <f ca="1"/>
        <v>44587</v>
      </c>
      <c r="O293" vm="2463">
        <f ca="1"/>
        <v>389.12</v>
      </c>
      <c r="P293" vm="2456">
        <f ca="1"/>
        <v>44587</v>
      </c>
      <c r="Q293" vm="2464">
        <f ca="1"/>
        <v>35.365000000000002</v>
      </c>
      <c r="R293" s="29">
        <f t="shared" ca="1" si="39"/>
        <v>2.8493188672050921E-2</v>
      </c>
      <c r="S293" s="30">
        <f t="shared" ca="1" si="40"/>
        <v>-8.4216790350649134E-2</v>
      </c>
      <c r="T293" s="30">
        <f t="shared" ca="1" si="41"/>
        <v>1.9158415841584182E-2</v>
      </c>
      <c r="U293" s="30">
        <f t="shared" ca="1" si="42"/>
        <v>-7.876941368804357E-3</v>
      </c>
      <c r="V293" s="30">
        <f t="shared" ca="1" si="43"/>
        <v>-1.9494204425711328E-2</v>
      </c>
      <c r="W293" s="30">
        <f t="shared" ca="1" si="46"/>
        <v>-5.0260812866768097E-2</v>
      </c>
      <c r="X293" s="30">
        <f t="shared" ca="1" si="44"/>
        <v>1.9279128248114036E-2</v>
      </c>
      <c r="Y293" s="31">
        <f t="shared" ca="1" si="45"/>
        <v>-3.1228598822079182E-2</v>
      </c>
    </row>
    <row r="294" spans="2:25" x14ac:dyDescent="0.45">
      <c r="B294" vm="2465">
        <f ca="1"/>
        <v>44588</v>
      </c>
      <c r="C294" vm="2398">
        <f ca="1"/>
        <v>299.83999999999997</v>
      </c>
      <c r="D294" vm="2465">
        <f ca="1"/>
        <v>44588</v>
      </c>
      <c r="E294" vm="2466">
        <f ca="1"/>
        <v>18.2149</v>
      </c>
      <c r="F294" vm="2465">
        <f ca="1"/>
        <v>44588</v>
      </c>
      <c r="G294" vm="2467">
        <f ca="1"/>
        <v>206.15</v>
      </c>
      <c r="H294" vm="2465">
        <f ca="1"/>
        <v>44588</v>
      </c>
      <c r="I294" vm="2468">
        <f ca="1"/>
        <v>132.09</v>
      </c>
      <c r="J294" vm="2465">
        <f ca="1"/>
        <v>44588</v>
      </c>
      <c r="K294" vm="2469">
        <f ca="1"/>
        <v>18.59</v>
      </c>
      <c r="L294" vm="2465">
        <f ca="1"/>
        <v>44588</v>
      </c>
      <c r="M294" vm="2470">
        <f ca="1"/>
        <v>171.32</v>
      </c>
      <c r="N294" vm="2465">
        <f ca="1"/>
        <v>44588</v>
      </c>
      <c r="O294" vm="2471">
        <f ca="1"/>
        <v>391.84</v>
      </c>
      <c r="P294" vm="2465">
        <f ca="1"/>
        <v>44588</v>
      </c>
      <c r="Q294" vm="2472">
        <f ca="1"/>
        <v>31.945</v>
      </c>
      <c r="R294" s="29">
        <f t="shared" ca="1" si="39"/>
        <v>1.0549020929527133E-2</v>
      </c>
      <c r="S294" s="30">
        <f t="shared" ca="1" si="40"/>
        <v>-5.3622816453794565E-3</v>
      </c>
      <c r="T294" s="30">
        <f t="shared" ca="1" si="41"/>
        <v>1.3600816048962992E-3</v>
      </c>
      <c r="U294" s="30">
        <f t="shared" ca="1" si="42"/>
        <v>-1.0635907422664875E-2</v>
      </c>
      <c r="V294" s="30">
        <f t="shared" ca="1" si="43"/>
        <v>-1.0746910263299072E-3</v>
      </c>
      <c r="W294" s="30">
        <f t="shared" ca="1" si="46"/>
        <v>-1.9852394301733502E-2</v>
      </c>
      <c r="X294" s="30">
        <f t="shared" ca="1" si="44"/>
        <v>6.9901315789472921E-3</v>
      </c>
      <c r="Y294" s="31">
        <f t="shared" ca="1" si="45"/>
        <v>-9.6705782553372019E-2</v>
      </c>
    </row>
    <row r="295" spans="2:25" x14ac:dyDescent="0.45">
      <c r="B295" vm="2473">
        <f ca="1"/>
        <v>44589</v>
      </c>
      <c r="C295" vm="2474">
        <f ca="1"/>
        <v>308.26</v>
      </c>
      <c r="D295" vm="2473">
        <f ca="1"/>
        <v>44589</v>
      </c>
      <c r="E295" vm="2475">
        <f ca="1"/>
        <v>19.0381</v>
      </c>
      <c r="F295" vm="2473">
        <f ca="1"/>
        <v>44589</v>
      </c>
      <c r="G295" vm="2476">
        <f ca="1"/>
        <v>228</v>
      </c>
      <c r="H295" vm="2473">
        <f ca="1"/>
        <v>44589</v>
      </c>
      <c r="I295" vm="2477">
        <f ca="1"/>
        <v>137.06</v>
      </c>
      <c r="J295" vm="2473">
        <f ca="1"/>
        <v>44589</v>
      </c>
      <c r="K295" vm="2478">
        <f ca="1"/>
        <v>19.54</v>
      </c>
      <c r="L295" vm="2473">
        <f ca="1"/>
        <v>44589</v>
      </c>
      <c r="M295" vm="2479">
        <f ca="1"/>
        <v>172.98</v>
      </c>
      <c r="N295" vm="2473">
        <f ca="1"/>
        <v>44589</v>
      </c>
      <c r="O295" vm="2480">
        <f ca="1"/>
        <v>367.2</v>
      </c>
      <c r="P295" vm="2473">
        <f ca="1"/>
        <v>44589</v>
      </c>
      <c r="Q295" vm="2481">
        <f ca="1"/>
        <v>33.895000000000003</v>
      </c>
      <c r="R295" s="29">
        <f t="shared" ca="1" si="39"/>
        <v>2.8081643543223109E-2</v>
      </c>
      <c r="S295" s="30">
        <f t="shared" ca="1" si="40"/>
        <v>4.5193769935602167E-2</v>
      </c>
      <c r="T295" s="30">
        <f t="shared" ca="1" si="41"/>
        <v>0.10599078341013822</v>
      </c>
      <c r="U295" s="30">
        <f t="shared" ca="1" si="42"/>
        <v>3.7625861155272909E-2</v>
      </c>
      <c r="V295" s="30">
        <f t="shared" ca="1" si="43"/>
        <v>5.1102743410435678E-2</v>
      </c>
      <c r="W295" s="30">
        <f t="shared" ca="1" si="46"/>
        <v>9.6894699976651684E-3</v>
      </c>
      <c r="X295" s="30">
        <f t="shared" ca="1" si="44"/>
        <v>-6.2882809309922391E-2</v>
      </c>
      <c r="Y295" s="31">
        <f t="shared" ca="1" si="45"/>
        <v>6.1042416653623505E-2</v>
      </c>
    </row>
    <row r="296" spans="2:25" x14ac:dyDescent="0.45">
      <c r="B296" vm="2482">
        <f ca="1"/>
        <v>44592</v>
      </c>
      <c r="C296" vm="2483">
        <f ca="1"/>
        <v>310.98</v>
      </c>
      <c r="D296" vm="2482">
        <f ca="1"/>
        <v>44592</v>
      </c>
      <c r="E296" vm="2484">
        <f ca="1"/>
        <v>19.257100000000001</v>
      </c>
      <c r="F296" vm="2482">
        <f ca="1"/>
        <v>44592</v>
      </c>
      <c r="G296" vm="2485">
        <f ca="1"/>
        <v>226.17</v>
      </c>
      <c r="H296" vm="2482">
        <f ca="1"/>
        <v>44592</v>
      </c>
      <c r="I296" vm="2486">
        <f ca="1"/>
        <v>139.32</v>
      </c>
      <c r="J296" vm="2482">
        <f ca="1"/>
        <v>44592</v>
      </c>
      <c r="K296" vm="2487">
        <f ca="1"/>
        <v>20.72</v>
      </c>
      <c r="L296" vm="2482">
        <f ca="1"/>
        <v>44592</v>
      </c>
      <c r="M296" vm="2488">
        <f ca="1"/>
        <v>196.26</v>
      </c>
      <c r="N296" vm="2482">
        <f ca="1"/>
        <v>44592</v>
      </c>
      <c r="O296" vm="2489">
        <f ca="1"/>
        <v>342.56</v>
      </c>
      <c r="P296" vm="2482">
        <f ca="1"/>
        <v>44592</v>
      </c>
      <c r="Q296" vm="2490">
        <f ca="1"/>
        <v>36.801000000000002</v>
      </c>
      <c r="R296" s="29">
        <f t="shared" ca="1" si="39"/>
        <v>8.823720236164366E-3</v>
      </c>
      <c r="S296" s="30">
        <f t="shared" ca="1" si="40"/>
        <v>1.1503248748562157E-2</v>
      </c>
      <c r="T296" s="30">
        <f t="shared" ca="1" si="41"/>
        <v>-8.026315789473739E-3</v>
      </c>
      <c r="U296" s="30">
        <f t="shared" ca="1" si="42"/>
        <v>1.6489128848679344E-2</v>
      </c>
      <c r="V296" s="30">
        <f t="shared" ca="1" si="43"/>
        <v>6.0388945752302955E-2</v>
      </c>
      <c r="W296" s="30">
        <f t="shared" ca="1" si="46"/>
        <v>0.13458203260492543</v>
      </c>
      <c r="X296" s="30">
        <f t="shared" ca="1" si="44"/>
        <v>-6.7102396514161181E-2</v>
      </c>
      <c r="Y296" s="31">
        <f t="shared" ca="1" si="45"/>
        <v>8.5735359197521718E-2</v>
      </c>
    </row>
    <row r="297" spans="2:25" x14ac:dyDescent="0.45">
      <c r="B297" vm="2491">
        <f ca="1"/>
        <v>44593</v>
      </c>
      <c r="C297" vm="2492">
        <f ca="1"/>
        <v>308.76</v>
      </c>
      <c r="D297" vm="2491">
        <f ca="1"/>
        <v>44593</v>
      </c>
      <c r="E297" vm="2493">
        <f ca="1"/>
        <v>18.441500000000001</v>
      </c>
      <c r="F297" vm="2491">
        <f ca="1"/>
        <v>44593</v>
      </c>
      <c r="G297" vm="2494">
        <f ca="1"/>
        <v>232.36</v>
      </c>
      <c r="H297" vm="2491">
        <f ca="1"/>
        <v>44593</v>
      </c>
      <c r="I297" vm="2495">
        <f ca="1"/>
        <v>141.03</v>
      </c>
      <c r="J297" vm="2491">
        <f ca="1"/>
        <v>44593</v>
      </c>
      <c r="K297" vm="2496">
        <f ca="1"/>
        <v>21.58</v>
      </c>
      <c r="L297" vm="2491">
        <f ca="1"/>
        <v>44593</v>
      </c>
      <c r="M297" vm="2497">
        <f ca="1"/>
        <v>203.62</v>
      </c>
      <c r="N297" vm="2491">
        <f ca="1"/>
        <v>44593</v>
      </c>
      <c r="O297" vm="2498">
        <f ca="1"/>
        <v>317.44</v>
      </c>
      <c r="P297" vm="2491">
        <f ca="1"/>
        <v>44593</v>
      </c>
      <c r="Q297" vm="2499">
        <f ca="1"/>
        <v>37.299999999999997</v>
      </c>
      <c r="R297" s="29">
        <f t="shared" ca="1" si="39"/>
        <v>-7.1387227474436531E-3</v>
      </c>
      <c r="S297" s="30">
        <f t="shared" ca="1" si="40"/>
        <v>-4.235320998488868E-2</v>
      </c>
      <c r="T297" s="30">
        <f t="shared" ca="1" si="41"/>
        <v>2.7368793385506594E-2</v>
      </c>
      <c r="U297" s="30">
        <f t="shared" ca="1" si="42"/>
        <v>1.2273901808785587E-2</v>
      </c>
      <c r="V297" s="30">
        <f t="shared" ca="1" si="43"/>
        <v>4.1505791505791478E-2</v>
      </c>
      <c r="W297" s="30">
        <f t="shared" ca="1" si="46"/>
        <v>3.7501273820442341E-2</v>
      </c>
      <c r="X297" s="30">
        <f t="shared" ca="1" si="44"/>
        <v>-7.333021952358712E-2</v>
      </c>
      <c r="Y297" s="31">
        <f t="shared" ca="1" si="45"/>
        <v>1.3559414146354589E-2</v>
      </c>
    </row>
    <row r="298" spans="2:25" x14ac:dyDescent="0.45">
      <c r="B298" vm="2500">
        <f ca="1"/>
        <v>44594</v>
      </c>
      <c r="C298" vm="2501">
        <f ca="1"/>
        <v>313.45999999999998</v>
      </c>
      <c r="D298" vm="2500">
        <f ca="1"/>
        <v>44594</v>
      </c>
      <c r="E298" vm="2502">
        <f ca="1"/>
        <v>18.5321</v>
      </c>
      <c r="F298" vm="2500">
        <f ca="1"/>
        <v>44594</v>
      </c>
      <c r="G298" vm="2503">
        <f ca="1"/>
        <v>235.42</v>
      </c>
      <c r="H298" vm="2500">
        <f ca="1"/>
        <v>44594</v>
      </c>
      <c r="I298" vm="2504">
        <f ca="1"/>
        <v>144.24</v>
      </c>
      <c r="J298" vm="2500">
        <f ca="1"/>
        <v>44594</v>
      </c>
      <c r="K298" vm="763">
        <f ca="1"/>
        <v>22.02</v>
      </c>
      <c r="L298" vm="2500">
        <f ca="1"/>
        <v>44594</v>
      </c>
      <c r="M298" vm="2505">
        <f ca="1"/>
        <v>191.92</v>
      </c>
      <c r="N298" vm="2500">
        <f ca="1"/>
        <v>44594</v>
      </c>
      <c r="O298" vm="2506">
        <f ca="1"/>
        <v>310.72000000000003</v>
      </c>
      <c r="P298" vm="2500">
        <f ca="1"/>
        <v>44594</v>
      </c>
      <c r="Q298" vm="2507">
        <f ca="1"/>
        <v>34.884</v>
      </c>
      <c r="R298" s="29">
        <f t="shared" ca="1" si="39"/>
        <v>1.5222179038735552E-2</v>
      </c>
      <c r="S298" s="30">
        <f t="shared" ca="1" si="40"/>
        <v>4.9128324702436598E-3</v>
      </c>
      <c r="T298" s="30">
        <f t="shared" ca="1" si="41"/>
        <v>1.316922017558949E-2</v>
      </c>
      <c r="U298" s="30">
        <f t="shared" ca="1" si="42"/>
        <v>2.2761114656456128E-2</v>
      </c>
      <c r="V298" s="30">
        <f t="shared" ca="1" si="43"/>
        <v>2.0389249304912017E-2</v>
      </c>
      <c r="W298" s="30">
        <f t="shared" ca="1" si="46"/>
        <v>-5.7459974462233658E-2</v>
      </c>
      <c r="X298" s="30">
        <f t="shared" ca="1" si="44"/>
        <v>-2.1169354838709586E-2</v>
      </c>
      <c r="Y298" s="31">
        <f t="shared" ca="1" si="45"/>
        <v>-6.4772117962466402E-2</v>
      </c>
    </row>
    <row r="299" spans="2:25" x14ac:dyDescent="0.45">
      <c r="B299" vm="2508">
        <f ca="1"/>
        <v>44595</v>
      </c>
      <c r="C299" vm="2509">
        <f ca="1"/>
        <v>301.25</v>
      </c>
      <c r="D299" vm="2508">
        <f ca="1"/>
        <v>44595</v>
      </c>
      <c r="E299" vm="2510">
        <f ca="1"/>
        <v>18.5472</v>
      </c>
      <c r="F299" vm="2508">
        <f ca="1"/>
        <v>44595</v>
      </c>
      <c r="G299" vm="2511">
        <f ca="1"/>
        <v>231.54</v>
      </c>
      <c r="H299" vm="2508">
        <f ca="1"/>
        <v>44595</v>
      </c>
      <c r="I299" vm="2512">
        <f ca="1"/>
        <v>141.79</v>
      </c>
      <c r="J299" vm="2508">
        <f ca="1"/>
        <v>44595</v>
      </c>
      <c r="K299" vm="624">
        <f ca="1"/>
        <v>22.04</v>
      </c>
      <c r="L299" vm="2508">
        <f ca="1"/>
        <v>44595</v>
      </c>
      <c r="M299" vm="2513">
        <f ca="1"/>
        <v>159.76</v>
      </c>
      <c r="N299" vm="2508">
        <f ca="1"/>
        <v>44595</v>
      </c>
      <c r="O299" vm="2514">
        <f ca="1"/>
        <v>348.48</v>
      </c>
      <c r="P299" vm="2508">
        <f ca="1"/>
        <v>44595</v>
      </c>
      <c r="Q299" vm="2515">
        <f ca="1"/>
        <v>34.009</v>
      </c>
      <c r="R299" s="29">
        <f t="shared" ca="1" si="39"/>
        <v>-3.8952338416384805E-2</v>
      </c>
      <c r="S299" s="30">
        <f t="shared" ca="1" si="40"/>
        <v>8.1480242390232817E-4</v>
      </c>
      <c r="T299" s="30">
        <f t="shared" ca="1" si="41"/>
        <v>-1.6481182567326461E-2</v>
      </c>
      <c r="U299" s="30">
        <f t="shared" ca="1" si="42"/>
        <v>-1.6985579589573051E-2</v>
      </c>
      <c r="V299" s="30">
        <f t="shared" ca="1" si="43"/>
        <v>9.0826521344230583E-4</v>
      </c>
      <c r="W299" s="30">
        <f t="shared" ca="1" si="46"/>
        <v>-0.16756982075864943</v>
      </c>
      <c r="X299" s="30">
        <f t="shared" ca="1" si="44"/>
        <v>0.12152420185375896</v>
      </c>
      <c r="Y299" s="31">
        <f t="shared" ca="1" si="45"/>
        <v>-2.5083132668271987E-2</v>
      </c>
    </row>
    <row r="300" spans="2:25" x14ac:dyDescent="0.45">
      <c r="B300" vm="2516">
        <f ca="1"/>
        <v>44596</v>
      </c>
      <c r="C300" vm="2517">
        <f ca="1"/>
        <v>305.94</v>
      </c>
      <c r="D300" vm="2516">
        <f ca="1"/>
        <v>44596</v>
      </c>
      <c r="E300" vm="2518">
        <f ca="1"/>
        <v>18.184699999999999</v>
      </c>
      <c r="F300" vm="2516">
        <f ca="1"/>
        <v>44596</v>
      </c>
      <c r="G300" vm="2519">
        <f ca="1"/>
        <v>228.39</v>
      </c>
      <c r="H300" vm="2516">
        <f ca="1"/>
        <v>44596</v>
      </c>
      <c r="I300" vm="2520">
        <f ca="1"/>
        <v>141.12</v>
      </c>
      <c r="J300" vm="2516">
        <f ca="1"/>
        <v>44596</v>
      </c>
      <c r="K300" vm="2521">
        <f ca="1"/>
        <v>22.2</v>
      </c>
      <c r="L300" vm="2516">
        <f ca="1"/>
        <v>44596</v>
      </c>
      <c r="M300" vm="2522">
        <f ca="1"/>
        <v>174.43</v>
      </c>
      <c r="N300" vm="2516">
        <f ca="1"/>
        <v>44596</v>
      </c>
      <c r="O300" vm="2523">
        <f ca="1"/>
        <v>336</v>
      </c>
      <c r="P300" vm="2516">
        <f ca="1"/>
        <v>44596</v>
      </c>
      <c r="Q300" vm="2524">
        <f ca="1"/>
        <v>39.164000000000001</v>
      </c>
      <c r="R300" s="29">
        <f t="shared" ca="1" si="39"/>
        <v>1.5568464730290449E-2</v>
      </c>
      <c r="S300" s="30">
        <f t="shared" ca="1" si="40"/>
        <v>-1.954472912353351E-2</v>
      </c>
      <c r="T300" s="30">
        <f t="shared" ca="1" si="41"/>
        <v>-1.3604560767038117E-2</v>
      </c>
      <c r="U300" s="30">
        <f t="shared" ca="1" si="42"/>
        <v>-4.7252979758797345E-3</v>
      </c>
      <c r="V300" s="30">
        <f t="shared" ca="1" si="43"/>
        <v>7.259528130671513E-3</v>
      </c>
      <c r="W300" s="30">
        <f t="shared" ca="1" si="46"/>
        <v>9.1825237856785286E-2</v>
      </c>
      <c r="X300" s="30">
        <f t="shared" ca="1" si="44"/>
        <v>-3.581267217630859E-2</v>
      </c>
      <c r="Y300" s="31">
        <f t="shared" ca="1" si="45"/>
        <v>0.15157752359669502</v>
      </c>
    </row>
    <row r="301" spans="2:25" x14ac:dyDescent="0.45">
      <c r="B301" vm="2525">
        <f ca="1"/>
        <v>44599</v>
      </c>
      <c r="C301" vm="1968">
        <f ca="1"/>
        <v>300.95</v>
      </c>
      <c r="D301" vm="2525">
        <f ca="1"/>
        <v>44599</v>
      </c>
      <c r="E301" vm="2526">
        <f ca="1"/>
        <v>18.0715</v>
      </c>
      <c r="F301" vm="2525">
        <f ca="1"/>
        <v>44599</v>
      </c>
      <c r="G301" vm="2527">
        <f ca="1"/>
        <v>227.16</v>
      </c>
      <c r="H301" vm="2525">
        <f ca="1"/>
        <v>44599</v>
      </c>
      <c r="I301" vm="2528">
        <f ca="1"/>
        <v>140.37</v>
      </c>
      <c r="J301" vm="2525">
        <f ca="1"/>
        <v>44599</v>
      </c>
      <c r="K301" vm="2529">
        <f ca="1"/>
        <v>22.18</v>
      </c>
      <c r="L301" vm="2525">
        <f ca="1"/>
        <v>44599</v>
      </c>
      <c r="M301" vm="2530">
        <f ca="1"/>
        <v>171.51</v>
      </c>
      <c r="N301" vm="2525">
        <f ca="1"/>
        <v>44599</v>
      </c>
      <c r="O301" vm="2531">
        <f ca="1"/>
        <v>326.72000000000003</v>
      </c>
      <c r="P301" vm="2525">
        <f ca="1"/>
        <v>44599</v>
      </c>
      <c r="Q301" vm="2532">
        <f ca="1"/>
        <v>41.347000000000001</v>
      </c>
      <c r="R301" s="29">
        <f t="shared" ca="1" si="39"/>
        <v>-1.6310387657710691E-2</v>
      </c>
      <c r="S301" s="30">
        <f t="shared" ca="1" si="40"/>
        <v>-6.2250133353862905E-3</v>
      </c>
      <c r="T301" s="30">
        <f t="shared" ca="1" si="41"/>
        <v>-5.3855247602784262E-3</v>
      </c>
      <c r="U301" s="30">
        <f t="shared" ca="1" si="42"/>
        <v>-5.3146258503401359E-3</v>
      </c>
      <c r="V301" s="30">
        <f t="shared" ca="1" si="43"/>
        <v>-9.0090090090088172E-4</v>
      </c>
      <c r="W301" s="30">
        <f t="shared" ca="1" si="46"/>
        <v>-1.6740239637677096E-2</v>
      </c>
      <c r="X301" s="30">
        <f t="shared" ca="1" si="44"/>
        <v>-2.7619047619047536E-2</v>
      </c>
      <c r="Y301" s="31">
        <f t="shared" ca="1" si="45"/>
        <v>5.5739965274231432E-2</v>
      </c>
    </row>
    <row r="302" spans="2:25" x14ac:dyDescent="0.45">
      <c r="B302" vm="2533">
        <f ca="1"/>
        <v>44600</v>
      </c>
      <c r="C302" vm="2534">
        <f ca="1"/>
        <v>304.56</v>
      </c>
      <c r="D302" vm="2533">
        <f ca="1"/>
        <v>44600</v>
      </c>
      <c r="E302" vm="2535">
        <f ca="1"/>
        <v>18.079000000000001</v>
      </c>
      <c r="F302" vm="2533">
        <f ca="1"/>
        <v>44600</v>
      </c>
      <c r="G302" vm="2536">
        <f ca="1"/>
        <v>227.94</v>
      </c>
      <c r="H302" vm="2533">
        <f ca="1"/>
        <v>44600</v>
      </c>
      <c r="I302" vm="2537">
        <f ca="1"/>
        <v>140.81</v>
      </c>
      <c r="J302" vm="2533">
        <f ca="1"/>
        <v>44600</v>
      </c>
      <c r="K302" vm="2538">
        <f ca="1"/>
        <v>23.19</v>
      </c>
      <c r="L302" vm="2533">
        <f ca="1"/>
        <v>44600</v>
      </c>
      <c r="M302" vm="2539">
        <f ca="1"/>
        <v>165.92</v>
      </c>
      <c r="N302" vm="2533">
        <f ca="1"/>
        <v>44600</v>
      </c>
      <c r="O302" vm="2540">
        <f ca="1"/>
        <v>312</v>
      </c>
      <c r="P302" vm="2533">
        <f ca="1"/>
        <v>44600</v>
      </c>
      <c r="Q302" vm="2541">
        <f ca="1"/>
        <v>42.542999999999999</v>
      </c>
      <c r="R302" s="29">
        <f t="shared" ca="1" si="39"/>
        <v>1.1995348064462581E-2</v>
      </c>
      <c r="S302" s="30">
        <f t="shared" ca="1" si="40"/>
        <v>4.1501812245802974E-4</v>
      </c>
      <c r="T302" s="30">
        <f t="shared" ca="1" si="41"/>
        <v>3.4337031167459109E-3</v>
      </c>
      <c r="U302" s="30">
        <f t="shared" ca="1" si="42"/>
        <v>3.134572914440391E-3</v>
      </c>
      <c r="V302" s="30">
        <f t="shared" ca="1" si="43"/>
        <v>4.5536519386835055E-2</v>
      </c>
      <c r="W302" s="30">
        <f t="shared" ca="1" si="46"/>
        <v>-3.2592851728762195E-2</v>
      </c>
      <c r="X302" s="30">
        <f t="shared" ca="1" si="44"/>
        <v>-4.505386875612153E-2</v>
      </c>
      <c r="Y302" s="31">
        <f t="shared" ca="1" si="45"/>
        <v>2.8925919655597696E-2</v>
      </c>
    </row>
    <row r="303" spans="2:25" x14ac:dyDescent="0.45">
      <c r="B303" vm="2542">
        <f ca="1"/>
        <v>44601</v>
      </c>
      <c r="C303" vm="2543">
        <f ca="1"/>
        <v>311.20999999999998</v>
      </c>
      <c r="D303" vm="2542">
        <f ca="1"/>
        <v>44601</v>
      </c>
      <c r="E303" vm="2544">
        <f ca="1"/>
        <v>18.501899999999999</v>
      </c>
      <c r="F303" vm="2542">
        <f ca="1"/>
        <v>44601</v>
      </c>
      <c r="G303" vm="2545">
        <f ca="1"/>
        <v>230.87</v>
      </c>
      <c r="H303" vm="2542">
        <f ca="1"/>
        <v>44601</v>
      </c>
      <c r="I303" vm="2546">
        <f ca="1"/>
        <v>144.44</v>
      </c>
      <c r="J303" vm="2542">
        <f ca="1"/>
        <v>44601</v>
      </c>
      <c r="K303" vm="2547">
        <f ca="1"/>
        <v>23.92</v>
      </c>
      <c r="L303" vm="2542">
        <f ca="1"/>
        <v>44601</v>
      </c>
      <c r="M303" vm="2548">
        <f ca="1"/>
        <v>175.49</v>
      </c>
      <c r="N303" vm="2542">
        <f ca="1"/>
        <v>44601</v>
      </c>
      <c r="O303" vm="2307">
        <f ca="1"/>
        <v>299.36</v>
      </c>
      <c r="P303" vm="2542">
        <f ca="1"/>
        <v>44601</v>
      </c>
      <c r="Q303" vm="2549">
        <f ca="1"/>
        <v>44.66</v>
      </c>
      <c r="R303" s="29">
        <f t="shared" ca="1" si="39"/>
        <v>2.1834778040451724E-2</v>
      </c>
      <c r="S303" s="30">
        <f t="shared" ca="1" si="40"/>
        <v>2.3391780518833921E-2</v>
      </c>
      <c r="T303" s="30">
        <f t="shared" ca="1" si="41"/>
        <v>1.2854259892954316E-2</v>
      </c>
      <c r="U303" s="30">
        <f t="shared" ca="1" si="42"/>
        <v>2.5779419075349728E-2</v>
      </c>
      <c r="V303" s="30">
        <f t="shared" ca="1" si="43"/>
        <v>3.1479085812850381E-2</v>
      </c>
      <c r="W303" s="30">
        <f t="shared" ca="1" si="46"/>
        <v>5.7678399228544008E-2</v>
      </c>
      <c r="X303" s="30">
        <f t="shared" ca="1" si="44"/>
        <v>-4.0512820512820472E-2</v>
      </c>
      <c r="Y303" s="31">
        <f t="shared" ca="1" si="45"/>
        <v>4.9761417859577307E-2</v>
      </c>
    </row>
    <row r="304" spans="2:25" x14ac:dyDescent="0.45">
      <c r="B304" vm="2550">
        <f ca="1"/>
        <v>44602</v>
      </c>
      <c r="C304" vm="2551">
        <f ca="1"/>
        <v>302.38</v>
      </c>
      <c r="D304" vm="2550">
        <f ca="1"/>
        <v>44602</v>
      </c>
      <c r="E304" vm="2458">
        <f ca="1"/>
        <v>18.313099999999999</v>
      </c>
      <c r="F304" vm="2550">
        <f ca="1"/>
        <v>44602</v>
      </c>
      <c r="G304" vm="2552">
        <f ca="1"/>
        <v>225.59</v>
      </c>
      <c r="H304" vm="2550">
        <f ca="1"/>
        <v>44602</v>
      </c>
      <c r="I304" vm="2553">
        <f ca="1"/>
        <v>141.66</v>
      </c>
      <c r="J304" vm="2550">
        <f ca="1"/>
        <v>44602</v>
      </c>
      <c r="K304" vm="2554">
        <f ca="1"/>
        <v>24.23</v>
      </c>
      <c r="L304" vm="2550">
        <f ca="1"/>
        <v>44602</v>
      </c>
      <c r="M304" vm="2555">
        <f ca="1"/>
        <v>167.83</v>
      </c>
      <c r="N304" vm="2550">
        <f ca="1"/>
        <v>44602</v>
      </c>
      <c r="O304" vm="2556">
        <f ca="1"/>
        <v>327.36</v>
      </c>
      <c r="P304" vm="2550">
        <f ca="1"/>
        <v>44602</v>
      </c>
      <c r="Q304" vm="2557">
        <f ca="1"/>
        <v>43.148000000000003</v>
      </c>
      <c r="R304" s="29">
        <f t="shared" ca="1" si="39"/>
        <v>-2.8373124256932569E-2</v>
      </c>
      <c r="S304" s="30">
        <f t="shared" ca="1" si="40"/>
        <v>-1.0204357390322103E-2</v>
      </c>
      <c r="T304" s="30">
        <f t="shared" ca="1" si="41"/>
        <v>-2.2870013427470009E-2</v>
      </c>
      <c r="U304" s="30">
        <f t="shared" ca="1" si="42"/>
        <v>-1.9246746053724739E-2</v>
      </c>
      <c r="V304" s="30">
        <f t="shared" ca="1" si="43"/>
        <v>1.2959866220735732E-2</v>
      </c>
      <c r="W304" s="30">
        <f t="shared" ca="1" si="46"/>
        <v>-4.3649210781241073E-2</v>
      </c>
      <c r="X304" s="30">
        <f t="shared" ca="1" si="44"/>
        <v>9.3532870122928907E-2</v>
      </c>
      <c r="Y304" s="31">
        <f t="shared" ca="1" si="45"/>
        <v>-3.3855799373040604E-2</v>
      </c>
    </row>
    <row r="305" spans="2:25" x14ac:dyDescent="0.45">
      <c r="B305" vm="2558">
        <f ca="1"/>
        <v>44603</v>
      </c>
      <c r="C305" vm="2559">
        <f ca="1"/>
        <v>295.04000000000002</v>
      </c>
      <c r="D305" vm="2558">
        <f ca="1"/>
        <v>44603</v>
      </c>
      <c r="E305" vm="2084">
        <f ca="1"/>
        <v>18.2225</v>
      </c>
      <c r="F305" vm="2558">
        <f ca="1"/>
        <v>44603</v>
      </c>
      <c r="G305" vm="2560">
        <f ca="1"/>
        <v>224.69</v>
      </c>
      <c r="H305" vm="2558">
        <f ca="1"/>
        <v>44603</v>
      </c>
      <c r="I305" vm="1070">
        <f ca="1"/>
        <v>137.19999999999999</v>
      </c>
      <c r="J305" vm="2558">
        <f ca="1"/>
        <v>44603</v>
      </c>
      <c r="K305" vm="2561">
        <f ca="1"/>
        <v>23.68</v>
      </c>
      <c r="L305" vm="2558">
        <f ca="1"/>
        <v>44603</v>
      </c>
      <c r="M305" vm="2562">
        <f ca="1"/>
        <v>161.93</v>
      </c>
      <c r="N305" vm="2558">
        <f ca="1"/>
        <v>44603</v>
      </c>
      <c r="O305" vm="2563">
        <f ca="1"/>
        <v>371.84</v>
      </c>
      <c r="P305" vm="2558">
        <f ca="1"/>
        <v>44603</v>
      </c>
      <c r="Q305" vm="2564">
        <f ca="1"/>
        <v>41.100999999999999</v>
      </c>
      <c r="R305" s="29">
        <f t="shared" ca="1" si="39"/>
        <v>-2.4274092201865119E-2</v>
      </c>
      <c r="S305" s="30">
        <f t="shared" ca="1" si="40"/>
        <v>-4.9472781779162714E-3</v>
      </c>
      <c r="T305" s="30">
        <f t="shared" ca="1" si="41"/>
        <v>-3.9895385433751747E-3</v>
      </c>
      <c r="U305" s="30">
        <f t="shared" ca="1" si="42"/>
        <v>-3.1483834533389862E-2</v>
      </c>
      <c r="V305" s="30">
        <f t="shared" ca="1" si="43"/>
        <v>-2.2699133305819262E-2</v>
      </c>
      <c r="W305" s="30">
        <f t="shared" ca="1" si="46"/>
        <v>-3.515462074718468E-2</v>
      </c>
      <c r="X305" s="30">
        <f t="shared" ca="1" si="44"/>
        <v>0.13587487781036156</v>
      </c>
      <c r="Y305" s="31">
        <f t="shared" ca="1" si="45"/>
        <v>-4.7441364605543802E-2</v>
      </c>
    </row>
    <row r="306" spans="2:25" x14ac:dyDescent="0.45">
      <c r="B306" vm="2565">
        <f ca="1"/>
        <v>44606</v>
      </c>
      <c r="C306" vm="2566">
        <f ca="1"/>
        <v>295</v>
      </c>
      <c r="D306" vm="2565">
        <f ca="1"/>
        <v>44606</v>
      </c>
      <c r="E306" vm="2567">
        <f ca="1"/>
        <v>18.162099999999999</v>
      </c>
      <c r="F306" vm="2565">
        <f ca="1"/>
        <v>44606</v>
      </c>
      <c r="G306" vm="1781">
        <f ca="1"/>
        <v>225.34</v>
      </c>
      <c r="H306" vm="2565">
        <f ca="1"/>
        <v>44606</v>
      </c>
      <c r="I306" vm="2568">
        <f ca="1"/>
        <v>135.21</v>
      </c>
      <c r="J306" vm="2565">
        <f ca="1"/>
        <v>44606</v>
      </c>
      <c r="K306" vm="1189">
        <f ca="1"/>
        <v>23.31</v>
      </c>
      <c r="L306" vm="2565">
        <f ca="1"/>
        <v>44606</v>
      </c>
      <c r="M306" vm="2569">
        <f ca="1"/>
        <v>162.21</v>
      </c>
      <c r="N306" vm="2565">
        <f ca="1"/>
        <v>44606</v>
      </c>
      <c r="O306" vm="2570">
        <f ca="1"/>
        <v>372.96</v>
      </c>
      <c r="P306" vm="2565">
        <f ca="1"/>
        <v>44606</v>
      </c>
      <c r="Q306" vm="2571">
        <f ca="1"/>
        <v>40.948999999999998</v>
      </c>
      <c r="R306" s="29">
        <f t="shared" ca="1" si="39"/>
        <v>-1.3557483731026457E-4</v>
      </c>
      <c r="S306" s="30">
        <f t="shared" ca="1" si="40"/>
        <v>-3.3145836191522207E-3</v>
      </c>
      <c r="T306" s="30">
        <f t="shared" ca="1" si="41"/>
        <v>2.8928746272642559E-3</v>
      </c>
      <c r="U306" s="30">
        <f t="shared" ca="1" si="42"/>
        <v>-1.4504373177842426E-2</v>
      </c>
      <c r="V306" s="30">
        <f t="shared" ca="1" si="43"/>
        <v>-1.5625000000000042E-2</v>
      </c>
      <c r="W306" s="30">
        <f t="shared" ca="1" si="46"/>
        <v>1.7291422219477622E-3</v>
      </c>
      <c r="X306" s="30">
        <f t="shared" ca="1" si="44"/>
        <v>3.0120481927710966E-3</v>
      </c>
      <c r="Y306" s="31">
        <f t="shared" ca="1" si="45"/>
        <v>-3.6982068562808942E-3</v>
      </c>
    </row>
    <row r="307" spans="2:25" x14ac:dyDescent="0.45">
      <c r="B307" vm="2572">
        <f ca="1"/>
        <v>44607</v>
      </c>
      <c r="C307" vm="2573">
        <f ca="1"/>
        <v>300.47000000000003</v>
      </c>
      <c r="D307" vm="2572">
        <f ca="1"/>
        <v>44607</v>
      </c>
      <c r="E307" vm="2574">
        <f ca="1"/>
        <v>18.3811</v>
      </c>
      <c r="F307" vm="2572">
        <f ca="1"/>
        <v>44607</v>
      </c>
      <c r="G307" vm="2575">
        <f ca="1"/>
        <v>227.82</v>
      </c>
      <c r="H307" vm="2572">
        <f ca="1"/>
        <v>44607</v>
      </c>
      <c r="I307" vm="2576">
        <f ca="1"/>
        <v>135.91</v>
      </c>
      <c r="J307" vm="2572">
        <f ca="1"/>
        <v>44607</v>
      </c>
      <c r="K307" vm="2577">
        <f ca="1"/>
        <v>24.79</v>
      </c>
      <c r="L307" vm="2572">
        <f ca="1"/>
        <v>44607</v>
      </c>
      <c r="M307" vm="2578">
        <f ca="1"/>
        <v>168.06</v>
      </c>
      <c r="N307" vm="2572">
        <f ca="1"/>
        <v>44607</v>
      </c>
      <c r="O307" vm="2579">
        <f ca="1"/>
        <v>342.24</v>
      </c>
      <c r="P307" vm="2572">
        <f ca="1"/>
        <v>44607</v>
      </c>
      <c r="Q307" vm="2580">
        <f ca="1"/>
        <v>43.723999999999997</v>
      </c>
      <c r="R307" s="29">
        <f t="shared" ca="1" si="39"/>
        <v>1.8542372881356024E-2</v>
      </c>
      <c r="S307" s="30">
        <f t="shared" ca="1" si="40"/>
        <v>1.2058076984489746E-2</v>
      </c>
      <c r="T307" s="30">
        <f t="shared" ca="1" si="41"/>
        <v>1.1005591550545797E-2</v>
      </c>
      <c r="U307" s="30">
        <f t="shared" ca="1" si="42"/>
        <v>5.1771318689445203E-3</v>
      </c>
      <c r="V307" s="30">
        <f t="shared" ca="1" si="43"/>
        <v>6.3492063492063516E-2</v>
      </c>
      <c r="W307" s="30">
        <f t="shared" ca="1" si="46"/>
        <v>3.6064361013500981E-2</v>
      </c>
      <c r="X307" s="30">
        <f t="shared" ca="1" si="44"/>
        <v>-8.2368082368082296E-2</v>
      </c>
      <c r="Y307" s="31">
        <f t="shared" ca="1" si="45"/>
        <v>6.7767222642799552E-2</v>
      </c>
    </row>
    <row r="308" spans="2:25" x14ac:dyDescent="0.45">
      <c r="B308" vm="2581">
        <f ca="1"/>
        <v>44608</v>
      </c>
      <c r="C308" vm="2582">
        <f ca="1"/>
        <v>299.5</v>
      </c>
      <c r="D308" vm="2581">
        <f ca="1"/>
        <v>44608</v>
      </c>
      <c r="E308" vm="2535">
        <f ca="1"/>
        <v>18.079000000000001</v>
      </c>
      <c r="F308" vm="2581">
        <f ca="1"/>
        <v>44608</v>
      </c>
      <c r="G308" vm="2583">
        <f ca="1"/>
        <v>228.82</v>
      </c>
      <c r="H308" vm="2581">
        <f ca="1"/>
        <v>44608</v>
      </c>
      <c r="I308" vm="2584">
        <f ca="1"/>
        <v>135.15</v>
      </c>
      <c r="J308" vm="2581">
        <f ca="1"/>
        <v>44608</v>
      </c>
      <c r="K308" vm="1297">
        <f ca="1"/>
        <v>24.54</v>
      </c>
      <c r="L308" vm="2581">
        <f ca="1"/>
        <v>44608</v>
      </c>
      <c r="M308" vm="2585">
        <f ca="1"/>
        <v>163.94</v>
      </c>
      <c r="N308" vm="2581">
        <f ca="1"/>
        <v>44608</v>
      </c>
      <c r="O308" vm="1978">
        <f ca="1"/>
        <v>328.48</v>
      </c>
      <c r="P308" vm="2581">
        <f ca="1"/>
        <v>44608</v>
      </c>
      <c r="Q308" vm="2586">
        <f ca="1"/>
        <v>43.497999999999998</v>
      </c>
      <c r="R308" s="29">
        <f t="shared" ca="1" si="39"/>
        <v>-3.2282757014012288E-3</v>
      </c>
      <c r="S308" s="30">
        <f t="shared" ca="1" si="40"/>
        <v>-1.6435360234153526E-2</v>
      </c>
      <c r="T308" s="30">
        <f t="shared" ca="1" si="41"/>
        <v>4.3894302519532965E-3</v>
      </c>
      <c r="U308" s="30">
        <f t="shared" ca="1" si="42"/>
        <v>-5.5919358398939809E-3</v>
      </c>
      <c r="V308" s="30">
        <f t="shared" ca="1" si="43"/>
        <v>-1.0084711577248891E-2</v>
      </c>
      <c r="W308" s="30">
        <f t="shared" ca="1" si="46"/>
        <v>-2.4515054147328363E-2</v>
      </c>
      <c r="X308" s="30">
        <f t="shared" ca="1" si="44"/>
        <v>-4.0205703599812972E-2</v>
      </c>
      <c r="Y308" s="31">
        <f t="shared" ca="1" si="45"/>
        <v>-5.1687860214069872E-3</v>
      </c>
    </row>
    <row r="309" spans="2:25" x14ac:dyDescent="0.45">
      <c r="B309" vm="2587">
        <f ca="1"/>
        <v>44609</v>
      </c>
      <c r="C309" vm="1530">
        <f ca="1"/>
        <v>290.73</v>
      </c>
      <c r="D309" vm="2587">
        <f ca="1"/>
        <v>44609</v>
      </c>
      <c r="E309" vm="2588">
        <f ca="1"/>
        <v>17.943100000000001</v>
      </c>
      <c r="F309" vm="2587">
        <f ca="1"/>
        <v>44609</v>
      </c>
      <c r="G309" vm="2589">
        <f ca="1"/>
        <v>224.61</v>
      </c>
      <c r="H309" vm="2587">
        <f ca="1"/>
        <v>44609</v>
      </c>
      <c r="I309" vm="2590">
        <f ca="1"/>
        <v>130.25</v>
      </c>
      <c r="J309" vm="2587">
        <f ca="1"/>
        <v>44609</v>
      </c>
      <c r="K309" vm="2591">
        <f ca="1"/>
        <v>24.21</v>
      </c>
      <c r="L309" vm="2587">
        <f ca="1"/>
        <v>44609</v>
      </c>
      <c r="M309" vm="2592">
        <f ca="1"/>
        <v>159.22</v>
      </c>
      <c r="N309" vm="2587">
        <f ca="1"/>
        <v>44609</v>
      </c>
      <c r="O309" vm="2593">
        <f ca="1"/>
        <v>367.36</v>
      </c>
      <c r="P309" vm="2587">
        <f ca="1"/>
        <v>44609</v>
      </c>
      <c r="Q309" vm="2594">
        <f ca="1"/>
        <v>40.46</v>
      </c>
      <c r="R309" s="29">
        <f t="shared" ca="1" si="39"/>
        <v>-2.9282136894824649E-2</v>
      </c>
      <c r="S309" s="30">
        <f t="shared" ca="1" si="40"/>
        <v>-7.5170086841086043E-3</v>
      </c>
      <c r="T309" s="30">
        <f t="shared" ca="1" si="41"/>
        <v>-1.8398741368761382E-2</v>
      </c>
      <c r="U309" s="30">
        <f t="shared" ca="1" si="42"/>
        <v>-3.6256011838697783E-2</v>
      </c>
      <c r="V309" s="30">
        <f t="shared" ca="1" si="43"/>
        <v>-1.3447432762836116E-2</v>
      </c>
      <c r="W309" s="30">
        <f t="shared" ca="1" si="46"/>
        <v>-2.8791021105282415E-2</v>
      </c>
      <c r="X309" s="30">
        <f t="shared" ca="1" si="44"/>
        <v>0.11836337067705795</v>
      </c>
      <c r="Y309" s="31">
        <f t="shared" ca="1" si="45"/>
        <v>-6.9842291599613707E-2</v>
      </c>
    </row>
    <row r="310" spans="2:25" x14ac:dyDescent="0.45">
      <c r="B310" vm="2595">
        <f ca="1"/>
        <v>44610</v>
      </c>
      <c r="C310" vm="2596">
        <f ca="1"/>
        <v>287.93</v>
      </c>
      <c r="D310" vm="2595">
        <f ca="1"/>
        <v>44610</v>
      </c>
      <c r="E310" vm="2597">
        <f ca="1"/>
        <v>18.0261</v>
      </c>
      <c r="F310" vm="2595">
        <f ca="1"/>
        <v>44610</v>
      </c>
      <c r="G310" vm="2598">
        <f ca="1"/>
        <v>222.69</v>
      </c>
      <c r="H310" vm="2595">
        <f ca="1"/>
        <v>44610</v>
      </c>
      <c r="I310" vm="2599">
        <f ca="1"/>
        <v>132.05000000000001</v>
      </c>
      <c r="J310" vm="2595">
        <f ca="1"/>
        <v>44610</v>
      </c>
      <c r="K310" vm="1263">
        <f ca="1"/>
        <v>24.09</v>
      </c>
      <c r="L310" vm="2595">
        <f ca="1"/>
        <v>44610</v>
      </c>
      <c r="M310" vm="2600">
        <f ca="1"/>
        <v>152.27000000000001</v>
      </c>
      <c r="N310" vm="2595">
        <f ca="1"/>
        <v>44610</v>
      </c>
      <c r="O310" vm="2601">
        <f ca="1"/>
        <v>375.2</v>
      </c>
      <c r="P310" vm="2595">
        <f ca="1"/>
        <v>44610</v>
      </c>
      <c r="Q310" vm="2602">
        <f ca="1"/>
        <v>39.597000000000001</v>
      </c>
      <c r="R310" s="29">
        <f t="shared" ca="1" si="39"/>
        <v>-9.6309290406907146E-3</v>
      </c>
      <c r="S310" s="30">
        <f t="shared" ca="1" si="40"/>
        <v>4.625733568892689E-3</v>
      </c>
      <c r="T310" s="30">
        <f t="shared" ca="1" si="41"/>
        <v>-8.5481501268866739E-3</v>
      </c>
      <c r="U310" s="30">
        <f t="shared" ca="1" si="42"/>
        <v>1.3819577735124848E-2</v>
      </c>
      <c r="V310" s="30">
        <f t="shared" ca="1" si="43"/>
        <v>-4.9566294919455179E-3</v>
      </c>
      <c r="W310" s="30">
        <f t="shared" ca="1" si="46"/>
        <v>-4.3650295189046534E-2</v>
      </c>
      <c r="X310" s="30">
        <f t="shared" ca="1" si="44"/>
        <v>2.1341463414634079E-2</v>
      </c>
      <c r="Y310" s="31">
        <f t="shared" ca="1" si="45"/>
        <v>-2.1329708353929795E-2</v>
      </c>
    </row>
    <row r="311" spans="2:25" x14ac:dyDescent="0.45">
      <c r="B311" vm="2603">
        <f ca="1"/>
        <v>44614</v>
      </c>
      <c r="C311" vm="2604">
        <f ca="1"/>
        <v>287.72000000000003</v>
      </c>
      <c r="D311" vm="2603">
        <f ca="1"/>
        <v>44614</v>
      </c>
      <c r="E311" vm="2605">
        <f ca="1"/>
        <v>17.935500000000001</v>
      </c>
      <c r="F311" vm="2603">
        <f ca="1"/>
        <v>44614</v>
      </c>
      <c r="G311" vm="2606">
        <f ca="1"/>
        <v>221.32</v>
      </c>
      <c r="H311" vm="2603">
        <f ca="1"/>
        <v>44614</v>
      </c>
      <c r="I311" vm="2607">
        <f ca="1"/>
        <v>130.49</v>
      </c>
      <c r="J311" vm="2603">
        <f ca="1"/>
        <v>44614</v>
      </c>
      <c r="K311" vm="1400">
        <f ca="1"/>
        <v>23.84</v>
      </c>
      <c r="L311" vm="2603">
        <f ca="1"/>
        <v>44614</v>
      </c>
      <c r="M311" vm="2608">
        <f ca="1"/>
        <v>149.38</v>
      </c>
      <c r="N311" vm="2603">
        <f ca="1"/>
        <v>44614</v>
      </c>
      <c r="O311" vm="2609">
        <f ca="1"/>
        <v>373.76</v>
      </c>
      <c r="P311" vm="2603">
        <f ca="1"/>
        <v>44614</v>
      </c>
      <c r="Q311" vm="2610">
        <f ca="1"/>
        <v>37.770000000000003</v>
      </c>
      <c r="R311" s="29">
        <f t="shared" ca="1" si="39"/>
        <v>-7.2934393776257953E-4</v>
      </c>
      <c r="S311" s="30">
        <f t="shared" ca="1" si="40"/>
        <v>-5.02604556726072E-3</v>
      </c>
      <c r="T311" s="30">
        <f t="shared" ca="1" si="41"/>
        <v>-6.1520499348870833E-3</v>
      </c>
      <c r="U311" s="30">
        <f t="shared" ca="1" si="42"/>
        <v>-1.1813706929193504E-2</v>
      </c>
      <c r="V311" s="30">
        <f t="shared" ca="1" si="43"/>
        <v>-1.03777501037775E-2</v>
      </c>
      <c r="W311" s="30">
        <f t="shared" ca="1" si="46"/>
        <v>-1.897944440795964E-2</v>
      </c>
      <c r="X311" s="30">
        <f t="shared" ca="1" si="44"/>
        <v>-3.837953091684429E-3</v>
      </c>
      <c r="Y311" s="31">
        <f t="shared" ca="1" si="45"/>
        <v>-4.6139859080233304E-2</v>
      </c>
    </row>
    <row r="312" spans="2:25" x14ac:dyDescent="0.45">
      <c r="B312" vm="2611">
        <f ca="1"/>
        <v>44615</v>
      </c>
      <c r="C312" vm="2612">
        <f ca="1"/>
        <v>280.27</v>
      </c>
      <c r="D312" vm="2611">
        <f ca="1"/>
        <v>44615</v>
      </c>
      <c r="E312" vm="2613">
        <f ca="1"/>
        <v>17.754300000000001</v>
      </c>
      <c r="F312" vm="2611">
        <f ca="1"/>
        <v>44615</v>
      </c>
      <c r="G312" vm="2614">
        <f ca="1"/>
        <v>215.95</v>
      </c>
      <c r="H312" vm="2611">
        <f ca="1"/>
        <v>44615</v>
      </c>
      <c r="I312" vm="2615">
        <f ca="1"/>
        <v>126</v>
      </c>
      <c r="J312" vm="2611">
        <f ca="1"/>
        <v>44615</v>
      </c>
      <c r="K312" vm="2616">
        <f ca="1"/>
        <v>23.37</v>
      </c>
      <c r="L312" vm="2611">
        <f ca="1"/>
        <v>44615</v>
      </c>
      <c r="M312" vm="2617">
        <f ca="1"/>
        <v>144.16999999999999</v>
      </c>
      <c r="N312" vm="2611">
        <f ca="1"/>
        <v>44615</v>
      </c>
      <c r="O312" vm="2618">
        <f ca="1"/>
        <v>395.2</v>
      </c>
      <c r="P312" vm="2611">
        <f ca="1"/>
        <v>44615</v>
      </c>
      <c r="Q312" vm="2619">
        <f ca="1"/>
        <v>36.503</v>
      </c>
      <c r="R312" s="29">
        <f t="shared" ca="1" si="39"/>
        <v>-2.5893229528708622E-2</v>
      </c>
      <c r="S312" s="30">
        <f t="shared" ca="1" si="40"/>
        <v>-1.0102868612528251E-2</v>
      </c>
      <c r="T312" s="30">
        <f t="shared" ca="1" si="41"/>
        <v>-2.4263509849990983E-2</v>
      </c>
      <c r="U312" s="30">
        <f t="shared" ca="1" si="42"/>
        <v>-3.4408766955322315E-2</v>
      </c>
      <c r="V312" s="30">
        <f t="shared" ca="1" si="43"/>
        <v>-1.9714765100671092E-2</v>
      </c>
      <c r="W312" s="30">
        <f t="shared" ca="1" si="46"/>
        <v>-3.4877493640380293E-2</v>
      </c>
      <c r="X312" s="30">
        <f t="shared" ca="1" si="44"/>
        <v>5.736301369863013E-2</v>
      </c>
      <c r="Y312" s="31">
        <f t="shared" ca="1" si="45"/>
        <v>-3.3545141646809717E-2</v>
      </c>
    </row>
    <row r="313" spans="2:25" x14ac:dyDescent="0.45">
      <c r="B313" vm="2620">
        <f ca="1"/>
        <v>44616</v>
      </c>
      <c r="C313" vm="2621">
        <f ca="1"/>
        <v>294.58999999999997</v>
      </c>
      <c r="D313" vm="2620">
        <f ca="1"/>
        <v>44616</v>
      </c>
      <c r="E313" vm="2622">
        <f ca="1"/>
        <v>17.5428</v>
      </c>
      <c r="F313" vm="2620">
        <f ca="1"/>
        <v>44616</v>
      </c>
      <c r="G313" vm="2623">
        <f ca="1"/>
        <v>217.3</v>
      </c>
      <c r="H313" vm="2620">
        <f ca="1"/>
        <v>44616</v>
      </c>
      <c r="I313" vm="247">
        <f ca="1"/>
        <v>128.15</v>
      </c>
      <c r="J313" vm="2620">
        <f ca="1"/>
        <v>44616</v>
      </c>
      <c r="K313" vm="2624">
        <f ca="1"/>
        <v>24.36</v>
      </c>
      <c r="L313" vm="2620">
        <f ca="1"/>
        <v>44616</v>
      </c>
      <c r="M313" vm="2625">
        <f ca="1"/>
        <v>149.21</v>
      </c>
      <c r="N313" vm="2620">
        <f ca="1"/>
        <v>44616</v>
      </c>
      <c r="O313" vm="2626">
        <f ca="1"/>
        <v>382.8</v>
      </c>
      <c r="P313" vm="2620">
        <f ca="1"/>
        <v>44616</v>
      </c>
      <c r="Q313" vm="2627">
        <f ca="1"/>
        <v>39.695999999999998</v>
      </c>
      <c r="R313" s="29">
        <f t="shared" ca="1" si="39"/>
        <v>5.1093588325543206E-2</v>
      </c>
      <c r="S313" s="30">
        <f t="shared" ca="1" si="40"/>
        <v>-1.1912607086733969E-2</v>
      </c>
      <c r="T313" s="30">
        <f t="shared" ca="1" si="41"/>
        <v>6.2514470942348823E-3</v>
      </c>
      <c r="U313" s="30">
        <f t="shared" ca="1" si="42"/>
        <v>1.7063492063492107E-2</v>
      </c>
      <c r="V313" s="30">
        <f t="shared" ca="1" si="43"/>
        <v>4.2362002567394023E-2</v>
      </c>
      <c r="W313" s="30">
        <f t="shared" ca="1" si="46"/>
        <v>3.4958729277935918E-2</v>
      </c>
      <c r="X313" s="30">
        <f t="shared" ca="1" si="44"/>
        <v>-3.1376518218623424E-2</v>
      </c>
      <c r="Y313" s="31">
        <f t="shared" ca="1" si="45"/>
        <v>8.7472262553762642E-2</v>
      </c>
    </row>
    <row r="314" spans="2:25" x14ac:dyDescent="0.45">
      <c r="B314" vm="2628">
        <f ca="1"/>
        <v>44617</v>
      </c>
      <c r="C314" vm="2629">
        <f ca="1"/>
        <v>297.31</v>
      </c>
      <c r="D314" vm="2628">
        <f ca="1"/>
        <v>44617</v>
      </c>
      <c r="E314" vm="2630">
        <f ca="1"/>
        <v>18.0564</v>
      </c>
      <c r="F314" vm="2628">
        <f ca="1"/>
        <v>44617</v>
      </c>
      <c r="G314" vm="744">
        <f ca="1"/>
        <v>219.27</v>
      </c>
      <c r="H314" vm="2628">
        <f ca="1"/>
        <v>44617</v>
      </c>
      <c r="I314" vm="2631">
        <f ca="1"/>
        <v>133.72999999999999</v>
      </c>
      <c r="J314" vm="2628">
        <f ca="1"/>
        <v>44617</v>
      </c>
      <c r="K314" vm="2632">
        <f ca="1"/>
        <v>26.91</v>
      </c>
      <c r="L314" vm="2628">
        <f ca="1"/>
        <v>44617</v>
      </c>
      <c r="M314" vm="2633">
        <f ca="1"/>
        <v>151.91</v>
      </c>
      <c r="N314" vm="2628">
        <f ca="1"/>
        <v>44617</v>
      </c>
      <c r="O314" vm="2480">
        <f ca="1"/>
        <v>367.2</v>
      </c>
      <c r="P314" vm="2628">
        <f ca="1"/>
        <v>44617</v>
      </c>
      <c r="Q314" vm="2634">
        <f ca="1"/>
        <v>40.5</v>
      </c>
      <c r="R314" s="29">
        <f t="shared" ca="1" si="39"/>
        <v>9.2331715265284893E-3</v>
      </c>
      <c r="S314" s="30">
        <f t="shared" ca="1" si="40"/>
        <v>2.9276968328887081E-2</v>
      </c>
      <c r="T314" s="30">
        <f t="shared" ca="1" si="41"/>
        <v>9.0658076392084626E-3</v>
      </c>
      <c r="U314" s="30">
        <f t="shared" ca="1" si="42"/>
        <v>4.3542723371049426E-2</v>
      </c>
      <c r="V314" s="30">
        <f t="shared" ca="1" si="43"/>
        <v>0.10467980295566505</v>
      </c>
      <c r="W314" s="30">
        <f t="shared" ca="1" si="46"/>
        <v>1.8095301923463498E-2</v>
      </c>
      <c r="X314" s="30">
        <f t="shared" ca="1" si="44"/>
        <v>-4.0752351097178743E-2</v>
      </c>
      <c r="Y314" s="31">
        <f t="shared" ca="1" si="45"/>
        <v>2.0253929866989168E-2</v>
      </c>
    </row>
    <row r="315" spans="2:25" x14ac:dyDescent="0.45">
      <c r="B315" vm="2635">
        <f ca="1"/>
        <v>44620</v>
      </c>
      <c r="C315" vm="2636">
        <f ca="1"/>
        <v>298.79000000000002</v>
      </c>
      <c r="D315" vm="2635">
        <f ca="1"/>
        <v>44620</v>
      </c>
      <c r="E315" vm="2637">
        <f ca="1"/>
        <v>17.8902</v>
      </c>
      <c r="F315" vm="2635">
        <f ca="1"/>
        <v>44620</v>
      </c>
      <c r="G315" vm="2638">
        <f ca="1"/>
        <v>216.12</v>
      </c>
      <c r="H315" vm="2635">
        <f ca="1"/>
        <v>44620</v>
      </c>
      <c r="I315" vm="2639">
        <f ca="1"/>
        <v>130.36000000000001</v>
      </c>
      <c r="J315" vm="2635">
        <f ca="1"/>
        <v>44620</v>
      </c>
      <c r="K315" vm="2640">
        <f ca="1"/>
        <v>27.21</v>
      </c>
      <c r="L315" vm="2635">
        <f ca="1"/>
        <v>44620</v>
      </c>
      <c r="M315" vm="2641">
        <f ca="1"/>
        <v>156.19</v>
      </c>
      <c r="N315" vm="2635">
        <f ca="1"/>
        <v>44620</v>
      </c>
      <c r="O315" vm="2642">
        <f ca="1"/>
        <v>384</v>
      </c>
      <c r="P315" vm="2635">
        <f ca="1"/>
        <v>44620</v>
      </c>
      <c r="Q315" vm="2643">
        <f ca="1"/>
        <v>44.3</v>
      </c>
      <c r="R315" s="29">
        <f t="shared" ca="1" si="39"/>
        <v>4.9779691231375267E-3</v>
      </c>
      <c r="S315" s="30">
        <f t="shared" ca="1" si="40"/>
        <v>-9.2044925898850209E-3</v>
      </c>
      <c r="T315" s="30">
        <f t="shared" ca="1" si="41"/>
        <v>-1.4365850321521437E-2</v>
      </c>
      <c r="U315" s="30">
        <f t="shared" ca="1" si="42"/>
        <v>-2.5200029911014554E-2</v>
      </c>
      <c r="V315" s="30">
        <f t="shared" ca="1" si="43"/>
        <v>1.1148272017837262E-2</v>
      </c>
      <c r="W315" s="30">
        <f t="shared" ca="1" si="46"/>
        <v>2.8174577052201971E-2</v>
      </c>
      <c r="X315" s="30">
        <f t="shared" ca="1" si="44"/>
        <v>4.5751633986928136E-2</v>
      </c>
      <c r="Y315" s="31">
        <f t="shared" ca="1" si="45"/>
        <v>9.3827160493827097E-2</v>
      </c>
    </row>
    <row r="316" spans="2:25" x14ac:dyDescent="0.45">
      <c r="B316" vm="2644">
        <f ca="1"/>
        <v>44621</v>
      </c>
      <c r="C316" vm="2645">
        <f ca="1"/>
        <v>294.95</v>
      </c>
      <c r="D316" vm="2644">
        <f ca="1"/>
        <v>44621</v>
      </c>
      <c r="E316" vm="2646">
        <f ca="1"/>
        <v>17.769400000000001</v>
      </c>
      <c r="F316" vm="2644">
        <f ca="1"/>
        <v>44621</v>
      </c>
      <c r="G316" vm="2647">
        <f ca="1"/>
        <v>208.97</v>
      </c>
      <c r="H316" vm="2644">
        <f ca="1"/>
        <v>44621</v>
      </c>
      <c r="I316" vm="2648">
        <f ca="1"/>
        <v>131.93</v>
      </c>
      <c r="J316" vm="2644">
        <f ca="1"/>
        <v>44621</v>
      </c>
      <c r="K316" vm="2649">
        <f ca="1"/>
        <v>27.73</v>
      </c>
      <c r="L316" vm="2644">
        <f ca="1"/>
        <v>44621</v>
      </c>
      <c r="M316" vm="2650">
        <f ca="1"/>
        <v>151.25</v>
      </c>
      <c r="N316" vm="2644">
        <f ca="1"/>
        <v>44621</v>
      </c>
      <c r="O316" vm="2651">
        <f ca="1"/>
        <v>426.72</v>
      </c>
      <c r="P316" vm="2644">
        <f ca="1"/>
        <v>44621</v>
      </c>
      <c r="Q316" vm="2652">
        <f ca="1"/>
        <v>46.472999999999999</v>
      </c>
      <c r="R316" s="29">
        <f t="shared" ca="1" si="39"/>
        <v>-1.2851835737474586E-2</v>
      </c>
      <c r="S316" s="30">
        <f t="shared" ca="1" si="40"/>
        <v>-6.7523001419771229E-3</v>
      </c>
      <c r="T316" s="30">
        <f t="shared" ca="1" si="41"/>
        <v>-3.3083472145104598E-2</v>
      </c>
      <c r="U316" s="30">
        <f t="shared" ca="1" si="42"/>
        <v>1.2043571647744654E-2</v>
      </c>
      <c r="V316" s="30">
        <f t="shared" ca="1" si="43"/>
        <v>1.9110621095185576E-2</v>
      </c>
      <c r="W316" s="30">
        <f t="shared" ca="1" si="46"/>
        <v>-3.1628145207759764E-2</v>
      </c>
      <c r="X316" s="30">
        <f t="shared" ca="1" si="44"/>
        <v>0.11125000000000007</v>
      </c>
      <c r="Y316" s="31">
        <f t="shared" ca="1" si="45"/>
        <v>4.9051918735891695E-2</v>
      </c>
    </row>
    <row r="317" spans="2:25" x14ac:dyDescent="0.45">
      <c r="B317" vm="2653">
        <f ca="1"/>
        <v>44622</v>
      </c>
      <c r="C317" vm="2654">
        <f ca="1"/>
        <v>300.19</v>
      </c>
      <c r="D317" vm="2653">
        <f ca="1"/>
        <v>44622</v>
      </c>
      <c r="E317" vm="2655">
        <f ca="1"/>
        <v>17.988399999999999</v>
      </c>
      <c r="F317" vm="2653">
        <f ca="1"/>
        <v>44622</v>
      </c>
      <c r="G317" vm="2656">
        <f ca="1"/>
        <v>208.48</v>
      </c>
      <c r="H317" vm="2653">
        <f ca="1"/>
        <v>44622</v>
      </c>
      <c r="I317" vm="2657">
        <f ca="1"/>
        <v>133.16</v>
      </c>
      <c r="J317" vm="2653">
        <f ca="1"/>
        <v>44622</v>
      </c>
      <c r="K317" vm="2658">
        <f ca="1"/>
        <v>28.82</v>
      </c>
      <c r="L317" vm="2653">
        <f ca="1"/>
        <v>44622</v>
      </c>
      <c r="M317" vm="2659">
        <f ca="1"/>
        <v>149.47999999999999</v>
      </c>
      <c r="N317" vm="2653">
        <f ca="1"/>
        <v>44622</v>
      </c>
      <c r="O317" vm="2660">
        <f ca="1"/>
        <v>399.36</v>
      </c>
      <c r="P317" vm="2653">
        <f ca="1"/>
        <v>44622</v>
      </c>
      <c r="Q317" vm="2661">
        <f ca="1"/>
        <v>45.929000000000002</v>
      </c>
      <c r="R317" s="29">
        <f t="shared" ca="1" si="39"/>
        <v>1.7765723003898996E-2</v>
      </c>
      <c r="S317" s="30">
        <f t="shared" ca="1" si="40"/>
        <v>1.2324557947932829E-2</v>
      </c>
      <c r="T317" s="30">
        <f t="shared" ca="1" si="41"/>
        <v>-2.3448341867254108E-3</v>
      </c>
      <c r="U317" s="30">
        <f t="shared" ca="1" si="42"/>
        <v>9.3231259000984591E-3</v>
      </c>
      <c r="V317" s="30">
        <f t="shared" ca="1" si="43"/>
        <v>3.9307609087630722E-2</v>
      </c>
      <c r="W317" s="30">
        <f t="shared" ca="1" si="46"/>
        <v>-1.1702479338843042E-2</v>
      </c>
      <c r="X317" s="30">
        <f t="shared" ca="1" si="44"/>
        <v>-6.4116985376827931E-2</v>
      </c>
      <c r="Y317" s="31">
        <f t="shared" ca="1" si="45"/>
        <v>-1.1705721601790221E-2</v>
      </c>
    </row>
    <row r="318" spans="2:25" x14ac:dyDescent="0.45">
      <c r="B318" vm="2662">
        <f ca="1"/>
        <v>44623</v>
      </c>
      <c r="C318" vm="2663">
        <f ca="1"/>
        <v>295.92</v>
      </c>
      <c r="D318" vm="2662">
        <f ca="1"/>
        <v>44623</v>
      </c>
      <c r="E318" vm="2630">
        <f ca="1"/>
        <v>18.0564</v>
      </c>
      <c r="F318" vm="2662">
        <f ca="1"/>
        <v>44623</v>
      </c>
      <c r="G318" vm="2664">
        <f ca="1"/>
        <v>207.23</v>
      </c>
      <c r="H318" vm="2662">
        <f ca="1"/>
        <v>44623</v>
      </c>
      <c r="I318" vm="2665">
        <f ca="1"/>
        <v>137.16999999999999</v>
      </c>
      <c r="J318" vm="2662">
        <f ca="1"/>
        <v>44623</v>
      </c>
      <c r="K318" vm="2666">
        <f ca="1"/>
        <v>30.81</v>
      </c>
      <c r="L318" vm="2662">
        <f ca="1"/>
        <v>44623</v>
      </c>
      <c r="M318" vm="2667">
        <f ca="1"/>
        <v>139.91999999999999</v>
      </c>
      <c r="N318" vm="2662">
        <f ca="1"/>
        <v>44623</v>
      </c>
      <c r="O318" vm="2668">
        <f ca="1"/>
        <v>401.76</v>
      </c>
      <c r="P318" vm="2662">
        <f ca="1"/>
        <v>44623</v>
      </c>
      <c r="Q318" vm="2669">
        <f ca="1"/>
        <v>42.87</v>
      </c>
      <c r="R318" s="29">
        <f t="shared" ca="1" si="39"/>
        <v>-1.4224324594423471E-2</v>
      </c>
      <c r="S318" s="30">
        <f t="shared" ca="1" si="40"/>
        <v>3.7802139156345978E-3</v>
      </c>
      <c r="T318" s="30">
        <f t="shared" ca="1" si="41"/>
        <v>-5.9957789716039911E-3</v>
      </c>
      <c r="U318" s="30">
        <f t="shared" ca="1" si="42"/>
        <v>3.0114148392910718E-2</v>
      </c>
      <c r="V318" s="30">
        <f t="shared" ca="1" si="43"/>
        <v>6.9049271339347615E-2</v>
      </c>
      <c r="W318" s="30">
        <f t="shared" ca="1" si="46"/>
        <v>-6.3955044153063981E-2</v>
      </c>
      <c r="X318" s="30">
        <f t="shared" ca="1" si="44"/>
        <v>6.0096153846153277E-3</v>
      </c>
      <c r="Y318" s="31">
        <f t="shared" ca="1" si="45"/>
        <v>-6.660279997387282E-2</v>
      </c>
    </row>
    <row r="319" spans="2:25" x14ac:dyDescent="0.45">
      <c r="B319" vm="2670">
        <f ca="1"/>
        <v>44624</v>
      </c>
      <c r="C319" vm="2671">
        <f ca="1"/>
        <v>289.86</v>
      </c>
      <c r="D319" vm="2670">
        <f ca="1"/>
        <v>44624</v>
      </c>
      <c r="E319" vm="2597">
        <f ca="1"/>
        <v>18.0261</v>
      </c>
      <c r="F319" vm="2670">
        <f ca="1"/>
        <v>44624</v>
      </c>
      <c r="G319" vm="2672">
        <f ca="1"/>
        <v>200.29</v>
      </c>
      <c r="H319" vm="2670">
        <f ca="1"/>
        <v>44624</v>
      </c>
      <c r="I319" vm="2673">
        <f ca="1"/>
        <v>133.88999999999999</v>
      </c>
      <c r="J319" vm="2670">
        <f ca="1"/>
        <v>44624</v>
      </c>
      <c r="K319" vm="2674">
        <f ca="1"/>
        <v>31.42</v>
      </c>
      <c r="L319" vm="2670">
        <f ca="1"/>
        <v>44624</v>
      </c>
      <c r="M319" vm="2675">
        <f ca="1"/>
        <v>135.16999999999999</v>
      </c>
      <c r="N319" vm="2670">
        <f ca="1"/>
        <v>44624</v>
      </c>
      <c r="O319" vm="2676">
        <f ca="1"/>
        <v>419.2</v>
      </c>
      <c r="P319" vm="2670">
        <f ca="1"/>
        <v>44624</v>
      </c>
      <c r="Q319" vm="2677">
        <f ca="1"/>
        <v>41.036000000000001</v>
      </c>
      <c r="R319" s="29">
        <f t="shared" ca="1" si="39"/>
        <v>-2.0478507704785084E-2</v>
      </c>
      <c r="S319" s="30">
        <f t="shared" ca="1" si="40"/>
        <v>-1.6780753638599298E-3</v>
      </c>
      <c r="T319" s="30">
        <f t="shared" ca="1" si="41"/>
        <v>-3.34893596486995E-2</v>
      </c>
      <c r="U319" s="30">
        <f t="shared" ca="1" si="42"/>
        <v>-2.391193409637677E-2</v>
      </c>
      <c r="V319" s="30">
        <f t="shared" ca="1" si="43"/>
        <v>1.979876663420977E-2</v>
      </c>
      <c r="W319" s="30">
        <f t="shared" ca="1" si="46"/>
        <v>-3.3947970268724988E-2</v>
      </c>
      <c r="X319" s="30">
        <f t="shared" ca="1" si="44"/>
        <v>4.3409000398247709E-2</v>
      </c>
      <c r="Y319" s="31">
        <f t="shared" ca="1" si="45"/>
        <v>-4.2780499183578173E-2</v>
      </c>
    </row>
    <row r="320" spans="2:25" x14ac:dyDescent="0.45">
      <c r="B320" vm="2678">
        <f ca="1"/>
        <v>44627</v>
      </c>
      <c r="C320" vm="2679">
        <f ca="1"/>
        <v>278.91000000000003</v>
      </c>
      <c r="D320" vm="2678">
        <f ca="1"/>
        <v>44627</v>
      </c>
      <c r="E320" vm="2680">
        <f ca="1"/>
        <v>17.799600000000002</v>
      </c>
      <c r="F320" vm="2678">
        <f ca="1"/>
        <v>44627</v>
      </c>
      <c r="G320" vm="2681">
        <f ca="1"/>
        <v>190.7</v>
      </c>
      <c r="H320" vm="2678">
        <f ca="1"/>
        <v>44627</v>
      </c>
      <c r="I320" vm="2682">
        <f ca="1"/>
        <v>130.34</v>
      </c>
      <c r="J320" vm="2678">
        <f ca="1"/>
        <v>44627</v>
      </c>
      <c r="K320" vm="2683">
        <f ca="1"/>
        <v>31.2</v>
      </c>
      <c r="L320" vm="2678">
        <f ca="1"/>
        <v>44627</v>
      </c>
      <c r="M320" vm="2684">
        <f ca="1"/>
        <v>130.51</v>
      </c>
      <c r="N320" vm="2678">
        <f ca="1"/>
        <v>44627</v>
      </c>
      <c r="O320" vm="2685">
        <f ca="1"/>
        <v>455.84</v>
      </c>
      <c r="P320" vm="2678">
        <f ca="1"/>
        <v>44627</v>
      </c>
      <c r="Q320" vm="2686">
        <f ca="1"/>
        <v>38.890999999999998</v>
      </c>
      <c r="R320" s="29">
        <f t="shared" ca="1" si="39"/>
        <v>-3.7776857793417468E-2</v>
      </c>
      <c r="S320" s="30">
        <f t="shared" ca="1" si="40"/>
        <v>-1.2565113918151898E-2</v>
      </c>
      <c r="T320" s="30">
        <f t="shared" ca="1" si="41"/>
        <v>-4.7880573168905108E-2</v>
      </c>
      <c r="U320" s="30">
        <f t="shared" ca="1" si="42"/>
        <v>-2.6514302785868873E-2</v>
      </c>
      <c r="V320" s="30">
        <f t="shared" ca="1" si="43"/>
        <v>-7.0019096117123619E-3</v>
      </c>
      <c r="W320" s="30">
        <f t="shared" ca="1" si="46"/>
        <v>-3.4475105422800897E-2</v>
      </c>
      <c r="X320" s="30">
        <f t="shared" ca="1" si="44"/>
        <v>8.7404580152671732E-2</v>
      </c>
      <c r="Y320" s="31">
        <f t="shared" ca="1" si="45"/>
        <v>-5.2271176527926774E-2</v>
      </c>
    </row>
    <row r="321" spans="2:25" x14ac:dyDescent="0.45">
      <c r="B321" vm="2687">
        <f ca="1"/>
        <v>44628</v>
      </c>
      <c r="C321" vm="2688">
        <f ca="1"/>
        <v>275.85000000000002</v>
      </c>
      <c r="D321" vm="2687">
        <f ca="1"/>
        <v>44628</v>
      </c>
      <c r="E321" vm="2689">
        <f ca="1"/>
        <v>17.3691</v>
      </c>
      <c r="F321" vm="2687">
        <f ca="1"/>
        <v>44628</v>
      </c>
      <c r="G321" vm="2690">
        <f ca="1"/>
        <v>191.71</v>
      </c>
      <c r="H321" vm="2687">
        <f ca="1"/>
        <v>44628</v>
      </c>
      <c r="I321" vm="2691">
        <f ca="1"/>
        <v>129.32</v>
      </c>
      <c r="J321" vm="2687">
        <f ca="1"/>
        <v>44628</v>
      </c>
      <c r="K321" vm="2692">
        <f ca="1"/>
        <v>29.31</v>
      </c>
      <c r="L321" vm="2687">
        <f ca="1"/>
        <v>44628</v>
      </c>
      <c r="M321" vm="2693">
        <f ca="1"/>
        <v>131.68</v>
      </c>
      <c r="N321" vm="2687">
        <f ca="1"/>
        <v>44628</v>
      </c>
      <c r="O321" vm="2694">
        <f ca="1"/>
        <v>450.4</v>
      </c>
      <c r="P321" vm="2687">
        <f ca="1"/>
        <v>44628</v>
      </c>
      <c r="Q321" vm="2677">
        <f ca="1"/>
        <v>41.036000000000001</v>
      </c>
      <c r="R321" s="29">
        <f t="shared" ca="1" si="39"/>
        <v>-1.0971281058405944E-2</v>
      </c>
      <c r="S321" s="30">
        <f t="shared" ca="1" si="40"/>
        <v>-2.4185936762623997E-2</v>
      </c>
      <c r="T321" s="30">
        <f t="shared" ca="1" si="41"/>
        <v>5.2962768746723614E-3</v>
      </c>
      <c r="U321" s="30">
        <f t="shared" ca="1" si="42"/>
        <v>-7.8256866656437798E-3</v>
      </c>
      <c r="V321" s="30">
        <f t="shared" ca="1" si="43"/>
        <v>-6.0576923076923098E-2</v>
      </c>
      <c r="W321" s="30">
        <f t="shared" ca="1" si="46"/>
        <v>8.9648302812046273E-3</v>
      </c>
      <c r="X321" s="30">
        <f t="shared" ca="1" si="44"/>
        <v>-1.193401193401193E-2</v>
      </c>
      <c r="Y321" s="31">
        <f t="shared" ca="1" si="45"/>
        <v>5.5154148774780878E-2</v>
      </c>
    </row>
    <row r="322" spans="2:25" x14ac:dyDescent="0.45">
      <c r="B322" vm="2695">
        <f ca="1"/>
        <v>44629</v>
      </c>
      <c r="C322" vm="2696">
        <f ca="1"/>
        <v>288.5</v>
      </c>
      <c r="D322" vm="2695">
        <f ca="1"/>
        <v>44629</v>
      </c>
      <c r="E322" vm="2697">
        <f ca="1"/>
        <v>17.5655</v>
      </c>
      <c r="F322" vm="2695">
        <f ca="1"/>
        <v>44629</v>
      </c>
      <c r="G322" vm="2698">
        <f ca="1"/>
        <v>199.76</v>
      </c>
      <c r="H322" vm="2695">
        <f ca="1"/>
        <v>44629</v>
      </c>
      <c r="I322" vm="2699">
        <f ca="1"/>
        <v>133.26</v>
      </c>
      <c r="J322" vm="2695">
        <f ca="1"/>
        <v>44629</v>
      </c>
      <c r="K322" vm="2700">
        <f ca="1"/>
        <v>31.03</v>
      </c>
      <c r="L322" vm="2695">
        <f ca="1"/>
        <v>44629</v>
      </c>
      <c r="M322" vm="2701">
        <f ca="1"/>
        <v>136.41999999999999</v>
      </c>
      <c r="N322" vm="2695">
        <f ca="1"/>
        <v>44629</v>
      </c>
      <c r="O322" vm="2702">
        <f ca="1"/>
        <v>432.48</v>
      </c>
      <c r="P322" vm="2695">
        <f ca="1"/>
        <v>44629</v>
      </c>
      <c r="Q322" vm="2703">
        <f ca="1"/>
        <v>43.674999999999997</v>
      </c>
      <c r="R322" s="29">
        <f t="shared" ca="1" si="39"/>
        <v>4.5858256298712985E-2</v>
      </c>
      <c r="S322" s="30">
        <f t="shared" ca="1" si="40"/>
        <v>1.1307436769895998E-2</v>
      </c>
      <c r="T322" s="30">
        <f t="shared" ca="1" si="41"/>
        <v>4.199050649418383E-2</v>
      </c>
      <c r="U322" s="30">
        <f t="shared" ca="1" si="42"/>
        <v>3.0467058459634998E-2</v>
      </c>
      <c r="V322" s="30">
        <f t="shared" ca="1" si="43"/>
        <v>5.8683043329921615E-2</v>
      </c>
      <c r="W322" s="30">
        <f t="shared" ca="1" si="46"/>
        <v>3.5996354799513824E-2</v>
      </c>
      <c r="X322" s="30">
        <f t="shared" ca="1" si="44"/>
        <v>-3.9786856127886232E-2</v>
      </c>
      <c r="Y322" s="31">
        <f t="shared" ca="1" si="45"/>
        <v>6.4309386879812747E-2</v>
      </c>
    </row>
    <row r="323" spans="2:25" x14ac:dyDescent="0.45">
      <c r="B323" vm="2704">
        <f ca="1"/>
        <v>44630</v>
      </c>
      <c r="C323" vm="2705">
        <f ca="1"/>
        <v>285.58999999999997</v>
      </c>
      <c r="D323" vm="2704">
        <f ca="1"/>
        <v>44630</v>
      </c>
      <c r="E323" vm="2706">
        <f ca="1"/>
        <v>17.512599999999999</v>
      </c>
      <c r="F323" vm="2704">
        <f ca="1"/>
        <v>44630</v>
      </c>
      <c r="G323" vm="2707">
        <f ca="1"/>
        <v>197.97</v>
      </c>
      <c r="H323" vm="2704">
        <f ca="1"/>
        <v>44630</v>
      </c>
      <c r="I323" vm="2708">
        <f ca="1"/>
        <v>134.33000000000001</v>
      </c>
      <c r="J323" vm="2704">
        <f ca="1"/>
        <v>44630</v>
      </c>
      <c r="K323" vm="2709">
        <f ca="1"/>
        <v>33.299999999999997</v>
      </c>
      <c r="L323" vm="2704">
        <f ca="1"/>
        <v>44630</v>
      </c>
      <c r="M323" vm="2710">
        <f ca="1"/>
        <v>132.66999999999999</v>
      </c>
      <c r="N323" vm="2704">
        <f ca="1"/>
        <v>44630</v>
      </c>
      <c r="O323" vm="2711">
        <f ca="1"/>
        <v>413.28</v>
      </c>
      <c r="P323" vm="2704">
        <f ca="1"/>
        <v>44630</v>
      </c>
      <c r="Q323" vm="2712">
        <f ca="1"/>
        <v>42.113</v>
      </c>
      <c r="R323" s="29">
        <f t="shared" ca="1" si="39"/>
        <v>-1.0086655112651733E-2</v>
      </c>
      <c r="S323" s="30">
        <f t="shared" ca="1" si="40"/>
        <v>-3.0115852096439643E-3</v>
      </c>
      <c r="T323" s="30">
        <f t="shared" ca="1" si="41"/>
        <v>-8.9607529034841423E-3</v>
      </c>
      <c r="U323" s="30">
        <f t="shared" ca="1" si="42"/>
        <v>8.0294161788985567E-3</v>
      </c>
      <c r="V323" s="30">
        <f t="shared" ca="1" si="43"/>
        <v>7.3155011279406892E-2</v>
      </c>
      <c r="W323" s="30">
        <f t="shared" ca="1" si="46"/>
        <v>-2.7488638029614428E-2</v>
      </c>
      <c r="X323" s="30">
        <f t="shared" ca="1" si="44"/>
        <v>-4.4395116537181013E-2</v>
      </c>
      <c r="Y323" s="31">
        <f t="shared" ca="1" si="45"/>
        <v>-3.5764167143674822E-2</v>
      </c>
    </row>
    <row r="324" spans="2:25" x14ac:dyDescent="0.45">
      <c r="B324" vm="2713">
        <f ca="1"/>
        <v>44631</v>
      </c>
      <c r="C324" vm="2714">
        <f ca="1"/>
        <v>280.07</v>
      </c>
      <c r="D324" vm="2713">
        <f ca="1"/>
        <v>44631</v>
      </c>
      <c r="E324" vm="2706">
        <f ca="1"/>
        <v>17.512599999999999</v>
      </c>
      <c r="F324" vm="2713">
        <f ca="1"/>
        <v>44631</v>
      </c>
      <c r="G324" vm="2715">
        <f ca="1"/>
        <v>196.71</v>
      </c>
      <c r="H324" vm="2713">
        <f ca="1"/>
        <v>44631</v>
      </c>
      <c r="I324" vm="2716">
        <f ca="1"/>
        <v>130.31</v>
      </c>
      <c r="J324" vm="2713">
        <f ca="1"/>
        <v>44631</v>
      </c>
      <c r="K324" vm="2717">
        <f ca="1"/>
        <v>33.340000000000003</v>
      </c>
      <c r="L324" vm="2713">
        <f ca="1"/>
        <v>44631</v>
      </c>
      <c r="M324" vm="2718">
        <f ca="1"/>
        <v>124.29</v>
      </c>
      <c r="N324" vm="2713">
        <f ca="1"/>
        <v>44631</v>
      </c>
      <c r="O324" vm="2719">
        <f ca="1"/>
        <v>421.44</v>
      </c>
      <c r="P324" vm="2713">
        <f ca="1"/>
        <v>44631</v>
      </c>
      <c r="Q324" vm="2720">
        <f ca="1"/>
        <v>39.082000000000001</v>
      </c>
      <c r="R324" s="29">
        <f t="shared" ca="1" si="39"/>
        <v>-1.9328407857417913E-2</v>
      </c>
      <c r="S324" s="30">
        <f t="shared" ca="1" si="40"/>
        <v>0</v>
      </c>
      <c r="T324" s="30">
        <f t="shared" ca="1" si="41"/>
        <v>-6.3646006970752688E-3</v>
      </c>
      <c r="U324" s="30">
        <f t="shared" ca="1" si="42"/>
        <v>-2.9926300900766842E-2</v>
      </c>
      <c r="V324" s="30">
        <f t="shared" ca="1" si="43"/>
        <v>1.2012012012013891E-3</v>
      </c>
      <c r="W324" s="30">
        <f t="shared" ca="1" si="46"/>
        <v>-6.3164242104469595E-2</v>
      </c>
      <c r="X324" s="30">
        <f t="shared" ca="1" si="44"/>
        <v>1.9744483159117369E-2</v>
      </c>
      <c r="Y324" s="31">
        <f t="shared" ca="1" si="45"/>
        <v>-7.1973024956664189E-2</v>
      </c>
    </row>
    <row r="325" spans="2:25" x14ac:dyDescent="0.45">
      <c r="B325" vm="2721">
        <f ca="1"/>
        <v>44634</v>
      </c>
      <c r="C325" vm="2722">
        <f ca="1"/>
        <v>276.44</v>
      </c>
      <c r="D325" vm="2721">
        <f ca="1"/>
        <v>44634</v>
      </c>
      <c r="E325" vm="2723">
        <f ca="1"/>
        <v>17.286100000000001</v>
      </c>
      <c r="F325" vm="2721">
        <f ca="1"/>
        <v>44634</v>
      </c>
      <c r="G325" vm="2724">
        <f ca="1"/>
        <v>200.33</v>
      </c>
      <c r="H325" vm="2721">
        <f ca="1"/>
        <v>44634</v>
      </c>
      <c r="I325" vm="2725">
        <f ca="1"/>
        <v>127.58</v>
      </c>
      <c r="J325" vm="2721">
        <f ca="1"/>
        <v>44634</v>
      </c>
      <c r="K325" vm="2726">
        <f ca="1"/>
        <v>32.21</v>
      </c>
      <c r="L325" vm="2721">
        <f ca="1"/>
        <v>44634</v>
      </c>
      <c r="M325" vm="2727">
        <f ca="1"/>
        <v>119.47</v>
      </c>
      <c r="N325" vm="2721">
        <f ca="1"/>
        <v>44634</v>
      </c>
      <c r="O325" vm="2728">
        <f ca="1"/>
        <v>460.96</v>
      </c>
      <c r="P325" vm="2721">
        <f ca="1"/>
        <v>44634</v>
      </c>
      <c r="Q325" vm="2729">
        <f ca="1"/>
        <v>36.993000000000002</v>
      </c>
      <c r="R325" s="29">
        <f t="shared" ref="R325:R388" ca="1" si="47">(C325-C324)/C324</f>
        <v>-1.2961045452922468E-2</v>
      </c>
      <c r="S325" s="30">
        <f t="shared" ref="S325:S388" ca="1" si="48">(E325-E324)/E324</f>
        <v>-1.2933544990463891E-2</v>
      </c>
      <c r="T325" s="30">
        <f t="shared" ref="T325:T388" ca="1" si="49">(G325-G324)/G324</f>
        <v>1.8402724823344031E-2</v>
      </c>
      <c r="U325" s="30">
        <f t="shared" ref="U325:U388" ca="1" si="50">(I325-I324)/I324</f>
        <v>-2.0950042207044769E-2</v>
      </c>
      <c r="V325" s="30">
        <f t="shared" ref="V325:V388" ca="1" si="51">(K325-K324)/K324</f>
        <v>-3.3893221355728927E-2</v>
      </c>
      <c r="W325" s="30">
        <f t="shared" ca="1" si="46"/>
        <v>-3.8780271944645645E-2</v>
      </c>
      <c r="X325" s="30">
        <f t="shared" ref="X325:X388" ca="1" si="52">(O325-O324)/O324</f>
        <v>9.3773728170083476E-2</v>
      </c>
      <c r="Y325" s="31">
        <f t="shared" ref="Y325:Y388" ca="1" si="53">(Q325-Q324)/Q324</f>
        <v>-5.3451716902922025E-2</v>
      </c>
    </row>
    <row r="326" spans="2:25" x14ac:dyDescent="0.45">
      <c r="B326" vm="2730">
        <f ca="1"/>
        <v>44635</v>
      </c>
      <c r="C326" vm="2731">
        <f ca="1"/>
        <v>287.14999999999998</v>
      </c>
      <c r="D326" vm="2730">
        <f ca="1"/>
        <v>44635</v>
      </c>
      <c r="E326" vm="2732">
        <f ca="1"/>
        <v>17.437100000000001</v>
      </c>
      <c r="F326" vm="2730">
        <f ca="1"/>
        <v>44635</v>
      </c>
      <c r="G326" vm="2733">
        <f ca="1"/>
        <v>206.14</v>
      </c>
      <c r="H326" vm="2730">
        <f ca="1"/>
        <v>44635</v>
      </c>
      <c r="I326" vm="2734">
        <f ca="1"/>
        <v>130.28</v>
      </c>
      <c r="J326" vm="2730">
        <f ca="1"/>
        <v>44635</v>
      </c>
      <c r="K326" vm="2735">
        <f ca="1"/>
        <v>32.049999999999997</v>
      </c>
      <c r="L326" vm="2730">
        <f ca="1"/>
        <v>44635</v>
      </c>
      <c r="M326" vm="2736">
        <f ca="1"/>
        <v>123.84</v>
      </c>
      <c r="N326" vm="2730">
        <f ca="1"/>
        <v>44635</v>
      </c>
      <c r="O326" vm="2737">
        <f ca="1"/>
        <v>459.2</v>
      </c>
      <c r="P326" vm="2730">
        <f ca="1"/>
        <v>44635</v>
      </c>
      <c r="Q326" vm="2738">
        <f ca="1"/>
        <v>39.613999999999997</v>
      </c>
      <c r="R326" s="29">
        <f t="shared" ca="1" si="47"/>
        <v>3.8742584285920922E-2</v>
      </c>
      <c r="S326" s="30">
        <f t="shared" ca="1" si="48"/>
        <v>8.7353422692220805E-3</v>
      </c>
      <c r="T326" s="30">
        <f t="shared" ca="1" si="49"/>
        <v>2.9002146458343602E-2</v>
      </c>
      <c r="U326" s="30">
        <f t="shared" ca="1" si="50"/>
        <v>2.1163191722840594E-2</v>
      </c>
      <c r="V326" s="30">
        <f t="shared" ca="1" si="51"/>
        <v>-4.967401428128025E-3</v>
      </c>
      <c r="W326" s="30">
        <f t="shared" ref="W326:W389" ca="1" si="54">(M326-M325)/M325</f>
        <v>3.6578220473759138E-2</v>
      </c>
      <c r="X326" s="30">
        <f t="shared" ca="1" si="52"/>
        <v>-3.8181187087816533E-3</v>
      </c>
      <c r="Y326" s="31">
        <f t="shared" ca="1" si="53"/>
        <v>7.085124212688873E-2</v>
      </c>
    </row>
    <row r="327" spans="2:25" x14ac:dyDescent="0.45">
      <c r="B327" vm="2739">
        <f ca="1"/>
        <v>44636</v>
      </c>
      <c r="C327" vm="2740">
        <f ca="1"/>
        <v>294.39</v>
      </c>
      <c r="D327" vm="2739">
        <f ca="1"/>
        <v>44636</v>
      </c>
      <c r="E327" vm="2706">
        <f ca="1"/>
        <v>17.512599999999999</v>
      </c>
      <c r="F327" vm="2739">
        <f ca="1"/>
        <v>44636</v>
      </c>
      <c r="G327" vm="2741">
        <f ca="1"/>
        <v>211.87</v>
      </c>
      <c r="H327" vm="2739">
        <f ca="1"/>
        <v>44636</v>
      </c>
      <c r="I327" vm="2742">
        <f ca="1"/>
        <v>135</v>
      </c>
      <c r="J327" vm="2739">
        <f ca="1"/>
        <v>44636</v>
      </c>
      <c r="K327" vm="2743">
        <f ca="1"/>
        <v>32.72</v>
      </c>
      <c r="L327" vm="2739">
        <f ca="1"/>
        <v>44636</v>
      </c>
      <c r="M327" vm="2744">
        <f ca="1"/>
        <v>133.58000000000001</v>
      </c>
      <c r="N327" vm="2739">
        <f ca="1"/>
        <v>44636</v>
      </c>
      <c r="O327" vm="2745">
        <f ca="1"/>
        <v>415.2</v>
      </c>
      <c r="P327" vm="2739">
        <f ca="1"/>
        <v>44636</v>
      </c>
      <c r="Q327" vm="2746">
        <f ca="1"/>
        <v>42.878</v>
      </c>
      <c r="R327" s="29">
        <f t="shared" ca="1" si="47"/>
        <v>2.5213303151662928E-2</v>
      </c>
      <c r="S327" s="30">
        <f t="shared" ca="1" si="48"/>
        <v>4.3298484266304669E-3</v>
      </c>
      <c r="T327" s="30">
        <f t="shared" ca="1" si="49"/>
        <v>2.7796643058115935E-2</v>
      </c>
      <c r="U327" s="30">
        <f t="shared" ca="1" si="50"/>
        <v>3.6229659195578745E-2</v>
      </c>
      <c r="V327" s="30">
        <f t="shared" ca="1" si="51"/>
        <v>2.0904836193447792E-2</v>
      </c>
      <c r="W327" s="30">
        <f t="shared" ca="1" si="54"/>
        <v>7.8649870801033667E-2</v>
      </c>
      <c r="X327" s="30">
        <f t="shared" ca="1" si="52"/>
        <v>-9.5818815331010457E-2</v>
      </c>
      <c r="Y327" s="31">
        <f t="shared" ca="1" si="53"/>
        <v>8.2395112838895418E-2</v>
      </c>
    </row>
    <row r="328" spans="2:25" x14ac:dyDescent="0.45">
      <c r="B328" vm="2747">
        <f ca="1"/>
        <v>44637</v>
      </c>
      <c r="C328" vm="2748">
        <f ca="1"/>
        <v>295.22000000000003</v>
      </c>
      <c r="D328" vm="2747">
        <f ca="1"/>
        <v>44637</v>
      </c>
      <c r="E328" vm="2706">
        <f ca="1"/>
        <v>17.512599999999999</v>
      </c>
      <c r="F328" vm="2747">
        <f ca="1"/>
        <v>44637</v>
      </c>
      <c r="G328" vm="2749">
        <f ca="1"/>
        <v>213.45</v>
      </c>
      <c r="H328" vm="2747">
        <f ca="1"/>
        <v>44637</v>
      </c>
      <c r="I328" vm="2750">
        <f ca="1"/>
        <v>136.82</v>
      </c>
      <c r="J328" vm="2747">
        <f ca="1"/>
        <v>44637</v>
      </c>
      <c r="K328" vm="2751">
        <f ca="1"/>
        <v>34.549999999999997</v>
      </c>
      <c r="L328" vm="2747">
        <f ca="1"/>
        <v>44637</v>
      </c>
      <c r="M328" vm="2752">
        <f ca="1"/>
        <v>138.72999999999999</v>
      </c>
      <c r="N328" vm="2747">
        <f ca="1"/>
        <v>44637</v>
      </c>
      <c r="O328" vm="2753">
        <f ca="1"/>
        <v>418.4</v>
      </c>
      <c r="P328" vm="2747">
        <f ca="1"/>
        <v>44637</v>
      </c>
      <c r="Q328" vm="2754">
        <f ca="1"/>
        <v>43.408999999999999</v>
      </c>
      <c r="R328" s="29">
        <f t="shared" ca="1" si="47"/>
        <v>2.819389245558752E-3</v>
      </c>
      <c r="S328" s="30">
        <f t="shared" ca="1" si="48"/>
        <v>0</v>
      </c>
      <c r="T328" s="30">
        <f t="shared" ca="1" si="49"/>
        <v>7.457403124557436E-3</v>
      </c>
      <c r="U328" s="30">
        <f t="shared" ca="1" si="50"/>
        <v>1.3481481481481431E-2</v>
      </c>
      <c r="V328" s="30">
        <f t="shared" ca="1" si="51"/>
        <v>5.592909535452318E-2</v>
      </c>
      <c r="W328" s="30">
        <f t="shared" ca="1" si="54"/>
        <v>3.8553675699954909E-2</v>
      </c>
      <c r="X328" s="30">
        <f t="shared" ca="1" si="52"/>
        <v>7.7071290944123044E-3</v>
      </c>
      <c r="Y328" s="31">
        <f t="shared" ca="1" si="53"/>
        <v>1.2383973133075208E-2</v>
      </c>
    </row>
    <row r="329" spans="2:25" x14ac:dyDescent="0.45">
      <c r="B329" vm="2755">
        <f ca="1"/>
        <v>44638</v>
      </c>
      <c r="C329" vm="2756">
        <f ca="1"/>
        <v>300.43</v>
      </c>
      <c r="D329" vm="2755">
        <f ca="1"/>
        <v>44638</v>
      </c>
      <c r="E329" vm="2757">
        <f ca="1"/>
        <v>17.535299999999999</v>
      </c>
      <c r="F329" vm="2755">
        <f ca="1"/>
        <v>44638</v>
      </c>
      <c r="G329" vm="2758">
        <f ca="1"/>
        <v>219.11</v>
      </c>
      <c r="H329" vm="2755">
        <f ca="1"/>
        <v>44638</v>
      </c>
      <c r="I329" vm="2759">
        <f ca="1"/>
        <v>139.12</v>
      </c>
      <c r="J329" vm="2755">
        <f ca="1"/>
        <v>44638</v>
      </c>
      <c r="K329" vm="2760">
        <f ca="1"/>
        <v>32.96</v>
      </c>
      <c r="L329" vm="2755">
        <f ca="1"/>
        <v>44638</v>
      </c>
      <c r="M329" vm="2761">
        <f ca="1"/>
        <v>144.78</v>
      </c>
      <c r="N329" vm="2755">
        <f ca="1"/>
        <v>44638</v>
      </c>
      <c r="O329" vm="2762">
        <f ca="1"/>
        <v>400</v>
      </c>
      <c r="P329" vm="2755">
        <f ca="1"/>
        <v>44638</v>
      </c>
      <c r="Q329" vm="2763">
        <f ca="1"/>
        <v>45.427999999999997</v>
      </c>
      <c r="R329" s="29">
        <f t="shared" ca="1" si="47"/>
        <v>1.7647855836325381E-2</v>
      </c>
      <c r="S329" s="30">
        <f t="shared" ca="1" si="48"/>
        <v>1.2962095862407859E-3</v>
      </c>
      <c r="T329" s="30">
        <f t="shared" ca="1" si="49"/>
        <v>2.6516748653080464E-2</v>
      </c>
      <c r="U329" s="30">
        <f t="shared" ca="1" si="50"/>
        <v>1.681040783511191E-2</v>
      </c>
      <c r="V329" s="30">
        <f t="shared" ca="1" si="51"/>
        <v>-4.6020260492040416E-2</v>
      </c>
      <c r="W329" s="30">
        <f t="shared" ca="1" si="54"/>
        <v>4.3609889713832707E-2</v>
      </c>
      <c r="X329" s="30">
        <f t="shared" ca="1" si="52"/>
        <v>-4.3977055449330733E-2</v>
      </c>
      <c r="Y329" s="31">
        <f t="shared" ca="1" si="53"/>
        <v>4.6511092169826497E-2</v>
      </c>
    </row>
    <row r="330" spans="2:25" x14ac:dyDescent="0.45">
      <c r="B330" vm="2764">
        <f ca="1"/>
        <v>44641</v>
      </c>
      <c r="C330" vm="2765">
        <f ca="1"/>
        <v>299.16000000000003</v>
      </c>
      <c r="D330" vm="2764">
        <f ca="1"/>
        <v>44641</v>
      </c>
      <c r="E330" vm="2766">
        <f ca="1"/>
        <v>17.489999999999998</v>
      </c>
      <c r="F330" vm="2764">
        <f ca="1"/>
        <v>44641</v>
      </c>
      <c r="G330" vm="2767">
        <f ca="1"/>
        <v>217.04</v>
      </c>
      <c r="H330" vm="2764">
        <f ca="1"/>
        <v>44641</v>
      </c>
      <c r="I330" vm="2768">
        <f ca="1"/>
        <v>138.13999999999999</v>
      </c>
      <c r="J330" vm="2764">
        <f ca="1"/>
        <v>44641</v>
      </c>
      <c r="K330" vm="2769">
        <f ca="1"/>
        <v>35.46</v>
      </c>
      <c r="L330" vm="2764">
        <f ca="1"/>
        <v>44641</v>
      </c>
      <c r="M330" vm="2770">
        <f ca="1"/>
        <v>140.41999999999999</v>
      </c>
      <c r="N330" vm="2764">
        <f ca="1"/>
        <v>44641</v>
      </c>
      <c r="O330" vm="2771">
        <f ca="1"/>
        <v>416.16</v>
      </c>
      <c r="P330" vm="2764">
        <f ca="1"/>
        <v>44641</v>
      </c>
      <c r="Q330" vm="2772">
        <f ca="1"/>
        <v>43.648000000000003</v>
      </c>
      <c r="R330" s="29">
        <f t="shared" ca="1" si="47"/>
        <v>-4.2272742402555729E-3</v>
      </c>
      <c r="S330" s="30">
        <f t="shared" ca="1" si="48"/>
        <v>-2.5833604215497316E-3</v>
      </c>
      <c r="T330" s="30">
        <f t="shared" ca="1" si="49"/>
        <v>-9.4473095705354462E-3</v>
      </c>
      <c r="U330" s="30">
        <f t="shared" ca="1" si="50"/>
        <v>-7.0442783208741963E-3</v>
      </c>
      <c r="V330" s="30">
        <f t="shared" ca="1" si="51"/>
        <v>7.584951456310679E-2</v>
      </c>
      <c r="W330" s="30">
        <f t="shared" ca="1" si="54"/>
        <v>-3.0114656720541606E-2</v>
      </c>
      <c r="X330" s="30">
        <f t="shared" ca="1" si="52"/>
        <v>4.0400000000000061E-2</v>
      </c>
      <c r="Y330" s="31">
        <f t="shared" ca="1" si="53"/>
        <v>-3.9182882803557147E-2</v>
      </c>
    </row>
    <row r="331" spans="2:25" x14ac:dyDescent="0.45">
      <c r="B331" vm="2773">
        <f ca="1"/>
        <v>44642</v>
      </c>
      <c r="C331" vm="2774">
        <f ca="1"/>
        <v>304.06</v>
      </c>
      <c r="D331" vm="2773">
        <f ca="1"/>
        <v>44642</v>
      </c>
      <c r="E331" vm="2775">
        <f ca="1"/>
        <v>17.527699999999999</v>
      </c>
      <c r="F331" vm="2773">
        <f ca="1"/>
        <v>44642</v>
      </c>
      <c r="G331" vm="2776">
        <f ca="1"/>
        <v>218.47</v>
      </c>
      <c r="H331" vm="2773">
        <f ca="1"/>
        <v>44642</v>
      </c>
      <c r="I331" vm="2777">
        <f ca="1"/>
        <v>139.29</v>
      </c>
      <c r="J331" vm="2773">
        <f ca="1"/>
        <v>44642</v>
      </c>
      <c r="K331" vm="2778">
        <f ca="1"/>
        <v>35.11</v>
      </c>
      <c r="L331" vm="2773">
        <f ca="1"/>
        <v>44642</v>
      </c>
      <c r="M331" vm="2779">
        <f ca="1"/>
        <v>147.47</v>
      </c>
      <c r="N331" vm="2773">
        <f ca="1"/>
        <v>44642</v>
      </c>
      <c r="O331" vm="2780">
        <f ca="1"/>
        <v>407.12</v>
      </c>
      <c r="P331" vm="2773">
        <f ca="1"/>
        <v>44642</v>
      </c>
      <c r="Q331" vm="2781">
        <f ca="1"/>
        <v>45.994999999999997</v>
      </c>
      <c r="R331" s="29">
        <f t="shared" ca="1" si="47"/>
        <v>1.6379195079556014E-2</v>
      </c>
      <c r="S331" s="30">
        <f t="shared" ca="1" si="48"/>
        <v>2.1555174385363613E-3</v>
      </c>
      <c r="T331" s="30">
        <f t="shared" ca="1" si="49"/>
        <v>6.5886472539624348E-3</v>
      </c>
      <c r="U331" s="30">
        <f t="shared" ca="1" si="50"/>
        <v>8.3248877949906319E-3</v>
      </c>
      <c r="V331" s="30">
        <f t="shared" ca="1" si="51"/>
        <v>-9.8702763677383371E-3</v>
      </c>
      <c r="W331" s="30">
        <f t="shared" ca="1" si="54"/>
        <v>5.0206523287281098E-2</v>
      </c>
      <c r="X331" s="30">
        <f t="shared" ca="1" si="52"/>
        <v>-2.1722414455978518E-2</v>
      </c>
      <c r="Y331" s="31">
        <f t="shared" ca="1" si="53"/>
        <v>5.3771077712609833E-2</v>
      </c>
    </row>
    <row r="332" spans="2:25" x14ac:dyDescent="0.45">
      <c r="B332" vm="2782">
        <f ca="1"/>
        <v>44643</v>
      </c>
      <c r="C332" vm="2783">
        <f ca="1"/>
        <v>299.49</v>
      </c>
      <c r="D332" vm="2782">
        <f ca="1"/>
        <v>44643</v>
      </c>
      <c r="E332" vm="2775">
        <f ca="1"/>
        <v>17.527699999999999</v>
      </c>
      <c r="F332" vm="2782">
        <f ca="1"/>
        <v>44643</v>
      </c>
      <c r="G332" vm="2417">
        <f ca="1"/>
        <v>214.68</v>
      </c>
      <c r="H332" vm="2782">
        <f ca="1"/>
        <v>44643</v>
      </c>
      <c r="I332" vm="2784">
        <f ca="1"/>
        <v>134.18</v>
      </c>
      <c r="J332" vm="2782">
        <f ca="1"/>
        <v>44643</v>
      </c>
      <c r="K332" vm="2785">
        <f ca="1"/>
        <v>35.869999999999997</v>
      </c>
      <c r="L332" vm="2782">
        <f ca="1"/>
        <v>44643</v>
      </c>
      <c r="M332" vm="2786">
        <f ca="1"/>
        <v>148.57</v>
      </c>
      <c r="N332" vm="2782">
        <f ca="1"/>
        <v>44643</v>
      </c>
      <c r="O332" vm="1616">
        <f ca="1"/>
        <v>407.84</v>
      </c>
      <c r="P332" vm="2782">
        <f ca="1"/>
        <v>44643</v>
      </c>
      <c r="Q332" vm="2787">
        <f ca="1"/>
        <v>45.069000000000003</v>
      </c>
      <c r="R332" s="29">
        <f t="shared" ca="1" si="47"/>
        <v>-1.5029928303624263E-2</v>
      </c>
      <c r="S332" s="30">
        <f t="shared" ca="1" si="48"/>
        <v>0</v>
      </c>
      <c r="T332" s="30">
        <f t="shared" ca="1" si="49"/>
        <v>-1.7347919622831474E-2</v>
      </c>
      <c r="U332" s="30">
        <f t="shared" ca="1" si="50"/>
        <v>-3.6686050685619823E-2</v>
      </c>
      <c r="V332" s="30">
        <f t="shared" ca="1" si="51"/>
        <v>2.1646254628310966E-2</v>
      </c>
      <c r="W332" s="30">
        <f t="shared" ca="1" si="54"/>
        <v>7.4591442327252618E-3</v>
      </c>
      <c r="X332" s="30">
        <f t="shared" ca="1" si="52"/>
        <v>1.7685203379838141E-3</v>
      </c>
      <c r="Y332" s="31">
        <f t="shared" ca="1" si="53"/>
        <v>-2.0132623111207629E-2</v>
      </c>
    </row>
    <row r="333" spans="2:25" x14ac:dyDescent="0.45">
      <c r="B333" vm="2788">
        <f ca="1"/>
        <v>44644</v>
      </c>
      <c r="C333" vm="2789">
        <f ca="1"/>
        <v>304.10000000000002</v>
      </c>
      <c r="D333" vm="2788">
        <f ca="1"/>
        <v>44644</v>
      </c>
      <c r="E333" vm="2790">
        <f ca="1"/>
        <v>17.618300000000001</v>
      </c>
      <c r="F333" vm="2788">
        <f ca="1"/>
        <v>44644</v>
      </c>
      <c r="G333" vm="2791">
        <f ca="1"/>
        <v>217.31</v>
      </c>
      <c r="H333" vm="2788">
        <f ca="1"/>
        <v>44644</v>
      </c>
      <c r="I333" vm="2792">
        <f ca="1"/>
        <v>136.41</v>
      </c>
      <c r="J333" vm="2788">
        <f ca="1"/>
        <v>44644</v>
      </c>
      <c r="K333" vm="2793">
        <f ca="1"/>
        <v>38.200000000000003</v>
      </c>
      <c r="L333" vm="2788">
        <f ca="1"/>
        <v>44644</v>
      </c>
      <c r="M333" vm="2794">
        <f ca="1"/>
        <v>149.26</v>
      </c>
      <c r="N333" vm="2788">
        <f ca="1"/>
        <v>44644</v>
      </c>
      <c r="O333" vm="2795">
        <f ca="1"/>
        <v>403.2</v>
      </c>
      <c r="P333" vm="2788">
        <f ca="1"/>
        <v>44644</v>
      </c>
      <c r="Q333" vm="2796">
        <f ca="1"/>
        <v>48.392000000000003</v>
      </c>
      <c r="R333" s="29">
        <f t="shared" ca="1" si="47"/>
        <v>1.5392834485291707E-2</v>
      </c>
      <c r="S333" s="30">
        <f t="shared" ca="1" si="48"/>
        <v>5.1689611300970474E-3</v>
      </c>
      <c r="T333" s="30">
        <f t="shared" ca="1" si="49"/>
        <v>1.2250791876280955E-2</v>
      </c>
      <c r="U333" s="30">
        <f t="shared" ca="1" si="50"/>
        <v>1.6619466388433372E-2</v>
      </c>
      <c r="V333" s="30">
        <f t="shared" ca="1" si="51"/>
        <v>6.4956788402564969E-2</v>
      </c>
      <c r="W333" s="30">
        <f t="shared" ca="1" si="54"/>
        <v>4.6442754257252326E-3</v>
      </c>
      <c r="X333" s="30">
        <f t="shared" ca="1" si="52"/>
        <v>-1.1377010592389139E-2</v>
      </c>
      <c r="Y333" s="31">
        <f t="shared" ca="1" si="53"/>
        <v>7.3731389646985737E-2</v>
      </c>
    </row>
    <row r="334" spans="2:25" x14ac:dyDescent="0.45">
      <c r="B334" vm="2797">
        <f ca="1"/>
        <v>44645</v>
      </c>
      <c r="C334" vm="2798">
        <f ca="1"/>
        <v>303.68</v>
      </c>
      <c r="D334" vm="2797">
        <f ca="1"/>
        <v>44645</v>
      </c>
      <c r="E334" vm="2799">
        <f ca="1"/>
        <v>18.003499999999999</v>
      </c>
      <c r="F334" vm="2797">
        <f ca="1"/>
        <v>44645</v>
      </c>
      <c r="G334" vm="2800">
        <f ca="1"/>
        <v>218.43</v>
      </c>
      <c r="H334" vm="2797">
        <f ca="1"/>
        <v>44645</v>
      </c>
      <c r="I334" vm="2801">
        <f ca="1"/>
        <v>135.71</v>
      </c>
      <c r="J334" vm="2797">
        <f ca="1"/>
        <v>44645</v>
      </c>
      <c r="K334" vm="2802">
        <f ca="1"/>
        <v>38.450000000000003</v>
      </c>
      <c r="L334" vm="2797">
        <f ca="1"/>
        <v>44645</v>
      </c>
      <c r="M334" vm="2803">
        <f ca="1"/>
        <v>146.04</v>
      </c>
      <c r="N334" vm="2797">
        <f ca="1"/>
        <v>44645</v>
      </c>
      <c r="O334" vm="2795">
        <f ca="1"/>
        <v>403.2</v>
      </c>
      <c r="P334" vm="2797">
        <f ca="1"/>
        <v>44645</v>
      </c>
      <c r="Q334" vm="2804">
        <f ca="1"/>
        <v>47.241999999999997</v>
      </c>
      <c r="R334" s="29">
        <f t="shared" ca="1" si="47"/>
        <v>-1.381124630055955E-3</v>
      </c>
      <c r="S334" s="30">
        <f t="shared" ca="1" si="48"/>
        <v>2.1863630429723498E-2</v>
      </c>
      <c r="T334" s="30">
        <f t="shared" ca="1" si="49"/>
        <v>5.1539275689107935E-3</v>
      </c>
      <c r="U334" s="30">
        <f t="shared" ca="1" si="50"/>
        <v>-5.1315885932115583E-3</v>
      </c>
      <c r="V334" s="30">
        <f t="shared" ca="1" si="51"/>
        <v>6.5445026178010462E-3</v>
      </c>
      <c r="W334" s="30">
        <f t="shared" ca="1" si="54"/>
        <v>-2.157309393005493E-2</v>
      </c>
      <c r="X334" s="30">
        <f t="shared" ca="1" si="52"/>
        <v>0</v>
      </c>
      <c r="Y334" s="31">
        <f t="shared" ca="1" si="53"/>
        <v>-2.3764258555133196E-2</v>
      </c>
    </row>
    <row r="335" spans="2:25" x14ac:dyDescent="0.45">
      <c r="B335" vm="2805">
        <f ca="1"/>
        <v>44648</v>
      </c>
      <c r="C335" vm="2806">
        <f ca="1"/>
        <v>310.7</v>
      </c>
      <c r="D335" vm="2805">
        <f ca="1"/>
        <v>44648</v>
      </c>
      <c r="E335" vm="2597">
        <f ca="1"/>
        <v>18.0261</v>
      </c>
      <c r="F335" vm="2805">
        <f ca="1"/>
        <v>44648</v>
      </c>
      <c r="G335" vm="2807">
        <f ca="1"/>
        <v>220.77</v>
      </c>
      <c r="H335" vm="2805">
        <f ca="1"/>
        <v>44648</v>
      </c>
      <c r="I335" vm="2808">
        <f ca="1"/>
        <v>135.41999999999999</v>
      </c>
      <c r="J335" vm="2805">
        <f ca="1"/>
        <v>44648</v>
      </c>
      <c r="K335" vm="2809">
        <f ca="1"/>
        <v>37.65</v>
      </c>
      <c r="L335" vm="2805">
        <f ca="1"/>
        <v>44648</v>
      </c>
      <c r="M335" vm="2810">
        <f ca="1"/>
        <v>150.13</v>
      </c>
      <c r="N335" vm="2805">
        <f ca="1"/>
        <v>44648</v>
      </c>
      <c r="O335" vm="2811">
        <f ca="1"/>
        <v>411.68</v>
      </c>
      <c r="P335" vm="2805">
        <f ca="1"/>
        <v>44648</v>
      </c>
      <c r="Q335" vm="2812">
        <f ca="1"/>
        <v>51</v>
      </c>
      <c r="R335" s="29">
        <f t="shared" ca="1" si="47"/>
        <v>2.3116438356164323E-2</v>
      </c>
      <c r="S335" s="30">
        <f t="shared" ca="1" si="48"/>
        <v>1.2553114672147426E-3</v>
      </c>
      <c r="T335" s="30">
        <f t="shared" ca="1" si="49"/>
        <v>1.071281417387723E-2</v>
      </c>
      <c r="U335" s="30">
        <f t="shared" ca="1" si="50"/>
        <v>-2.1369095866186753E-3</v>
      </c>
      <c r="V335" s="30">
        <f t="shared" ca="1" si="51"/>
        <v>-2.0806241872561877E-2</v>
      </c>
      <c r="W335" s="30">
        <f t="shared" ca="1" si="54"/>
        <v>2.8006025746370882E-2</v>
      </c>
      <c r="X335" s="30">
        <f t="shared" ca="1" si="52"/>
        <v>2.1031746031746078E-2</v>
      </c>
      <c r="Y335" s="31">
        <f t="shared" ca="1" si="53"/>
        <v>7.9547859955124742E-2</v>
      </c>
    </row>
    <row r="336" spans="2:25" x14ac:dyDescent="0.45">
      <c r="B336" vm="2813">
        <f ca="1"/>
        <v>44649</v>
      </c>
      <c r="C336" vm="2814">
        <f ca="1"/>
        <v>315.41000000000003</v>
      </c>
      <c r="D336" vm="2813">
        <f ca="1"/>
        <v>44649</v>
      </c>
      <c r="E336" vm="2815">
        <f ca="1"/>
        <v>18.116800000000001</v>
      </c>
      <c r="F336" vm="2813">
        <f ca="1"/>
        <v>44649</v>
      </c>
      <c r="G336" vm="2816">
        <f ca="1"/>
        <v>228.12</v>
      </c>
      <c r="H336" vm="2813">
        <f ca="1"/>
        <v>44649</v>
      </c>
      <c r="I336" vm="2817">
        <f ca="1"/>
        <v>138.41999999999999</v>
      </c>
      <c r="J336" vm="2813">
        <f ca="1"/>
        <v>44649</v>
      </c>
      <c r="K336" vm="2818">
        <f ca="1"/>
        <v>36.229999999999997</v>
      </c>
      <c r="L336" vm="2813">
        <f ca="1"/>
        <v>44649</v>
      </c>
      <c r="M336" vm="2819">
        <f ca="1"/>
        <v>157.31</v>
      </c>
      <c r="N336" vm="2813">
        <f ca="1"/>
        <v>44649</v>
      </c>
      <c r="O336" vm="2820">
        <f ca="1"/>
        <v>397.6</v>
      </c>
      <c r="P336" vm="2813">
        <f ca="1"/>
        <v>44649</v>
      </c>
      <c r="Q336" vm="2821">
        <f ca="1"/>
        <v>52</v>
      </c>
      <c r="R336" s="29">
        <f t="shared" ca="1" si="47"/>
        <v>1.5159317669778039E-2</v>
      </c>
      <c r="S336" s="30">
        <f t="shared" ca="1" si="48"/>
        <v>5.0315930789245475E-3</v>
      </c>
      <c r="T336" s="30">
        <f t="shared" ca="1" si="49"/>
        <v>3.3292566924853891E-2</v>
      </c>
      <c r="U336" s="30">
        <f t="shared" ca="1" si="50"/>
        <v>2.2153300841825433E-2</v>
      </c>
      <c r="V336" s="30">
        <f t="shared" ca="1" si="51"/>
        <v>-3.7715803452855294E-2</v>
      </c>
      <c r="W336" s="30">
        <f t="shared" ca="1" si="54"/>
        <v>4.7825218144275011E-2</v>
      </c>
      <c r="X336" s="30">
        <f t="shared" ca="1" si="52"/>
        <v>-3.4201321414690983E-2</v>
      </c>
      <c r="Y336" s="31">
        <f t="shared" ca="1" si="53"/>
        <v>1.9607843137254902E-2</v>
      </c>
    </row>
    <row r="337" spans="2:25" x14ac:dyDescent="0.45">
      <c r="B337" vm="2822">
        <f ca="1"/>
        <v>44650</v>
      </c>
      <c r="C337" vm="2823">
        <f ca="1"/>
        <v>313.86</v>
      </c>
      <c r="D337" vm="2822">
        <f ca="1"/>
        <v>44650</v>
      </c>
      <c r="E337" vm="2824">
        <f ca="1"/>
        <v>18.23</v>
      </c>
      <c r="F337" vm="2822">
        <f ca="1"/>
        <v>44650</v>
      </c>
      <c r="G337" vm="2825">
        <f ca="1"/>
        <v>223.95</v>
      </c>
      <c r="H337" vm="2822">
        <f ca="1"/>
        <v>44650</v>
      </c>
      <c r="I337" vm="2826">
        <f ca="1"/>
        <v>135.46</v>
      </c>
      <c r="J337" vm="2822">
        <f ca="1"/>
        <v>44650</v>
      </c>
      <c r="K337" vm="2827">
        <f ca="1"/>
        <v>37.04</v>
      </c>
      <c r="L337" vm="2822">
        <f ca="1"/>
        <v>44650</v>
      </c>
      <c r="M337" vm="2828">
        <f ca="1"/>
        <v>156.16</v>
      </c>
      <c r="N337" vm="2822">
        <f ca="1"/>
        <v>44650</v>
      </c>
      <c r="O337" vm="2762">
        <f ca="1"/>
        <v>400</v>
      </c>
      <c r="P337" vm="2822">
        <f ca="1"/>
        <v>44650</v>
      </c>
      <c r="Q337" vm="2829">
        <f ca="1"/>
        <v>50.069000000000003</v>
      </c>
      <c r="R337" s="29">
        <f t="shared" ca="1" si="47"/>
        <v>-4.9142386100631281E-3</v>
      </c>
      <c r="S337" s="30">
        <f t="shared" ca="1" si="48"/>
        <v>6.2483440784243949E-3</v>
      </c>
      <c r="T337" s="30">
        <f t="shared" ca="1" si="49"/>
        <v>-1.8279852709100541E-2</v>
      </c>
      <c r="U337" s="30">
        <f t="shared" ca="1" si="50"/>
        <v>-2.1384193035688337E-2</v>
      </c>
      <c r="V337" s="30">
        <f t="shared" ca="1" si="51"/>
        <v>2.2357162572453831E-2</v>
      </c>
      <c r="W337" s="30">
        <f t="shared" ca="1" si="54"/>
        <v>-7.3104062043099971E-3</v>
      </c>
      <c r="X337" s="30">
        <f t="shared" ca="1" si="52"/>
        <v>6.03621730382288E-3</v>
      </c>
      <c r="Y337" s="31">
        <f t="shared" ca="1" si="53"/>
        <v>-3.7134615384615335E-2</v>
      </c>
    </row>
    <row r="338" spans="2:25" x14ac:dyDescent="0.45">
      <c r="B338" vm="2830">
        <f ca="1"/>
        <v>44651</v>
      </c>
      <c r="C338" vm="2831">
        <f ca="1"/>
        <v>308.31</v>
      </c>
      <c r="D338" vm="2830">
        <f ca="1"/>
        <v>44651</v>
      </c>
      <c r="E338" vm="2832">
        <f ca="1"/>
        <v>17.844899999999999</v>
      </c>
      <c r="F338" vm="2830">
        <f ca="1"/>
        <v>44651</v>
      </c>
      <c r="G338" vm="2833">
        <f ca="1"/>
        <v>221.77</v>
      </c>
      <c r="H338" vm="2830">
        <f ca="1"/>
        <v>44651</v>
      </c>
      <c r="I338" vm="2834">
        <f ca="1"/>
        <v>132.33000000000001</v>
      </c>
      <c r="J338" vm="2830">
        <f ca="1"/>
        <v>44651</v>
      </c>
      <c r="K338" vm="2835">
        <f ca="1"/>
        <v>37.74</v>
      </c>
      <c r="L338" vm="2830">
        <f ca="1"/>
        <v>44651</v>
      </c>
      <c r="M338" vm="2836">
        <f ca="1"/>
        <v>151.02000000000001</v>
      </c>
      <c r="N338" vm="2830">
        <f ca="1"/>
        <v>44651</v>
      </c>
      <c r="O338" vm="2837">
        <f ca="1"/>
        <v>411.2</v>
      </c>
      <c r="P338" vm="2830">
        <f ca="1"/>
        <v>44651</v>
      </c>
      <c r="Q338" vm="2838">
        <f ca="1"/>
        <v>48.631999999999998</v>
      </c>
      <c r="R338" s="29">
        <f t="shared" ca="1" si="47"/>
        <v>-1.7683043395144368E-2</v>
      </c>
      <c r="S338" s="30">
        <f t="shared" ca="1" si="48"/>
        <v>-2.1124520021941928E-2</v>
      </c>
      <c r="T338" s="30">
        <f t="shared" ca="1" si="49"/>
        <v>-9.7343156954676421E-3</v>
      </c>
      <c r="U338" s="30">
        <f t="shared" ca="1" si="50"/>
        <v>-2.3106452089177582E-2</v>
      </c>
      <c r="V338" s="30">
        <f t="shared" ca="1" si="51"/>
        <v>1.88984881209504E-2</v>
      </c>
      <c r="W338" s="30">
        <f t="shared" ca="1" si="54"/>
        <v>-3.2914959016393353E-2</v>
      </c>
      <c r="X338" s="30">
        <f t="shared" ca="1" si="52"/>
        <v>2.7999999999999973E-2</v>
      </c>
      <c r="Y338" s="31">
        <f t="shared" ca="1" si="53"/>
        <v>-2.8700393457029391E-2</v>
      </c>
    </row>
    <row r="339" spans="2:25" x14ac:dyDescent="0.45">
      <c r="B339" vm="2839">
        <f ca="1"/>
        <v>44652</v>
      </c>
      <c r="C339" vm="2840">
        <f ca="1"/>
        <v>309.42</v>
      </c>
      <c r="D339" vm="2839">
        <f ca="1"/>
        <v>44652</v>
      </c>
      <c r="E339" vm="2841">
        <f ca="1"/>
        <v>18.109200000000001</v>
      </c>
      <c r="F339" vm="2839">
        <f ca="1"/>
        <v>44652</v>
      </c>
      <c r="G339" vm="2842">
        <f ca="1"/>
        <v>226.36</v>
      </c>
      <c r="H339" vm="2839">
        <f ca="1"/>
        <v>44652</v>
      </c>
      <c r="I339" vm="2843">
        <f ca="1"/>
        <v>133.97</v>
      </c>
      <c r="J339" vm="2839">
        <f ca="1"/>
        <v>44652</v>
      </c>
      <c r="K339" vm="2844">
        <f ca="1"/>
        <v>37.83</v>
      </c>
      <c r="L339" vm="2839">
        <f ca="1"/>
        <v>44652</v>
      </c>
      <c r="M339" vm="2845">
        <f ca="1"/>
        <v>153.69999999999999</v>
      </c>
      <c r="N339" vm="2839">
        <f ca="1"/>
        <v>44652</v>
      </c>
      <c r="O339" vm="2846">
        <f ca="1"/>
        <v>400.48</v>
      </c>
      <c r="P339" vm="2839">
        <f ca="1"/>
        <v>44652</v>
      </c>
      <c r="Q339" vm="2847">
        <f ca="1"/>
        <v>49.097999999999999</v>
      </c>
      <c r="R339" s="29">
        <f t="shared" ca="1" si="47"/>
        <v>3.6002724530505453E-3</v>
      </c>
      <c r="S339" s="30">
        <f t="shared" ca="1" si="48"/>
        <v>1.4810954390330134E-2</v>
      </c>
      <c r="T339" s="30">
        <f t="shared" ca="1" si="49"/>
        <v>2.0697118636425139E-2</v>
      </c>
      <c r="U339" s="30">
        <f t="shared" ca="1" si="50"/>
        <v>1.239325927605219E-2</v>
      </c>
      <c r="V339" s="30">
        <f t="shared" ca="1" si="51"/>
        <v>2.3847376788552277E-3</v>
      </c>
      <c r="W339" s="30">
        <f t="shared" ca="1" si="54"/>
        <v>1.7745993908091499E-2</v>
      </c>
      <c r="X339" s="30">
        <f t="shared" ca="1" si="52"/>
        <v>-2.6070038910505765E-2</v>
      </c>
      <c r="Y339" s="31">
        <f t="shared" ca="1" si="53"/>
        <v>9.5821681197565609E-3</v>
      </c>
    </row>
    <row r="340" spans="2:25" x14ac:dyDescent="0.45">
      <c r="B340" vm="2848">
        <f ca="1"/>
        <v>44655</v>
      </c>
      <c r="C340" vm="2849">
        <f ca="1"/>
        <v>314.97000000000003</v>
      </c>
      <c r="D340" vm="2848">
        <f ca="1"/>
        <v>44655</v>
      </c>
      <c r="E340" vm="2850">
        <f ca="1"/>
        <v>18.260300000000001</v>
      </c>
      <c r="F340" vm="2848">
        <f ca="1"/>
        <v>44655</v>
      </c>
      <c r="G340" vm="2851">
        <f ca="1"/>
        <v>227.74</v>
      </c>
      <c r="H340" vm="2848">
        <f ca="1"/>
        <v>44655</v>
      </c>
      <c r="I340" vm="2852">
        <f ca="1"/>
        <v>134.81</v>
      </c>
      <c r="J340" vm="2848">
        <f ca="1"/>
        <v>44655</v>
      </c>
      <c r="K340" vm="2853">
        <f ca="1"/>
        <v>37.25</v>
      </c>
      <c r="L340" vm="2848">
        <f ca="1"/>
        <v>44655</v>
      </c>
      <c r="M340" vm="2854">
        <f ca="1"/>
        <v>158.84</v>
      </c>
      <c r="N340" vm="2848">
        <f ca="1"/>
        <v>44655</v>
      </c>
      <c r="O340" vm="2855">
        <f ca="1"/>
        <v>390.88</v>
      </c>
      <c r="P340" vm="2848">
        <f ca="1"/>
        <v>44655</v>
      </c>
      <c r="Q340" vm="2856">
        <f ca="1"/>
        <v>50.125999999999998</v>
      </c>
      <c r="R340" s="29">
        <f t="shared" ca="1" si="47"/>
        <v>1.7936784952491795E-2</v>
      </c>
      <c r="S340" s="30">
        <f t="shared" ca="1" si="48"/>
        <v>8.343825238000549E-3</v>
      </c>
      <c r="T340" s="30">
        <f t="shared" ca="1" si="49"/>
        <v>6.0964834776462071E-3</v>
      </c>
      <c r="U340" s="30">
        <f t="shared" ca="1" si="50"/>
        <v>6.2700604612973311E-3</v>
      </c>
      <c r="V340" s="30">
        <f t="shared" ca="1" si="51"/>
        <v>-1.5331747290510133E-2</v>
      </c>
      <c r="W340" s="30">
        <f t="shared" ca="1" si="54"/>
        <v>3.3441769681197234E-2</v>
      </c>
      <c r="X340" s="30">
        <f t="shared" ca="1" si="52"/>
        <v>-2.3971234518577762E-2</v>
      </c>
      <c r="Y340" s="31">
        <f t="shared" ca="1" si="53"/>
        <v>2.0937716403926814E-2</v>
      </c>
    </row>
    <row r="341" spans="2:25" x14ac:dyDescent="0.45">
      <c r="B341" vm="2857">
        <f ca="1"/>
        <v>44656</v>
      </c>
      <c r="C341" vm="2858">
        <f ca="1"/>
        <v>310.88</v>
      </c>
      <c r="D341" vm="2857">
        <f ca="1"/>
        <v>44656</v>
      </c>
      <c r="E341" vm="2127">
        <f ca="1"/>
        <v>18.0413</v>
      </c>
      <c r="F341" vm="2857">
        <f ca="1"/>
        <v>44656</v>
      </c>
      <c r="G341" vm="2859">
        <f ca="1"/>
        <v>226.09</v>
      </c>
      <c r="H341" vm="2857">
        <f ca="1"/>
        <v>44656</v>
      </c>
      <c r="I341" vm="2699">
        <f ca="1"/>
        <v>133.26</v>
      </c>
      <c r="J341" vm="2857">
        <f ca="1"/>
        <v>44656</v>
      </c>
      <c r="K341" vm="2860">
        <f ca="1"/>
        <v>36.78</v>
      </c>
      <c r="L341" vm="2857">
        <f ca="1"/>
        <v>44656</v>
      </c>
      <c r="M341" vm="2861">
        <f ca="1"/>
        <v>148.91</v>
      </c>
      <c r="N341" vm="2857">
        <f ca="1"/>
        <v>44656</v>
      </c>
      <c r="O341" vm="2862">
        <f ca="1"/>
        <v>396.96</v>
      </c>
      <c r="P341" vm="2857">
        <f ca="1"/>
        <v>44656</v>
      </c>
      <c r="Q341" vm="2863">
        <f ca="1"/>
        <v>48.728000000000002</v>
      </c>
      <c r="R341" s="29">
        <f t="shared" ca="1" si="47"/>
        <v>-1.2985363685430459E-2</v>
      </c>
      <c r="S341" s="30">
        <f t="shared" ca="1" si="48"/>
        <v>-1.1993231217449942E-2</v>
      </c>
      <c r="T341" s="30">
        <f t="shared" ca="1" si="49"/>
        <v>-7.2451040660402458E-3</v>
      </c>
      <c r="U341" s="30">
        <f t="shared" ca="1" si="50"/>
        <v>-1.1497663378087762E-2</v>
      </c>
      <c r="V341" s="30">
        <f t="shared" ca="1" si="51"/>
        <v>-1.26174496644295E-2</v>
      </c>
      <c r="W341" s="30">
        <f t="shared" ca="1" si="54"/>
        <v>-6.251573910853693E-2</v>
      </c>
      <c r="X341" s="30">
        <f t="shared" ca="1" si="52"/>
        <v>1.5554645927138724E-2</v>
      </c>
      <c r="Y341" s="31">
        <f t="shared" ca="1" si="53"/>
        <v>-2.7889717910864545E-2</v>
      </c>
    </row>
    <row r="342" spans="2:25" x14ac:dyDescent="0.45">
      <c r="B342" vm="2864">
        <f ca="1"/>
        <v>44657</v>
      </c>
      <c r="C342" vm="2582">
        <f ca="1"/>
        <v>299.5</v>
      </c>
      <c r="D342" vm="2864">
        <f ca="1"/>
        <v>44657</v>
      </c>
      <c r="E342" vm="2865">
        <f ca="1"/>
        <v>18.146999999999998</v>
      </c>
      <c r="F342" vm="2864">
        <f ca="1"/>
        <v>44657</v>
      </c>
      <c r="G342" vm="2866">
        <f ca="1"/>
        <v>219.01</v>
      </c>
      <c r="H342" vm="2864">
        <f ca="1"/>
        <v>44657</v>
      </c>
      <c r="I342" vm="2867">
        <f ca="1"/>
        <v>132.71</v>
      </c>
      <c r="J342" vm="2864">
        <f ca="1"/>
        <v>44657</v>
      </c>
      <c r="K342" vm="2868">
        <f ca="1"/>
        <v>35.83</v>
      </c>
      <c r="L342" vm="2864">
        <f ca="1"/>
        <v>44657</v>
      </c>
      <c r="M342" vm="2869">
        <f ca="1"/>
        <v>145.63999999999999</v>
      </c>
      <c r="N342" vm="2864">
        <f ca="1"/>
        <v>44657</v>
      </c>
      <c r="O342" vm="2870">
        <f ca="1"/>
        <v>390.08</v>
      </c>
      <c r="P342" vm="2864">
        <f ca="1"/>
        <v>44657</v>
      </c>
      <c r="Q342" vm="2871">
        <f ca="1"/>
        <v>45.511000000000003</v>
      </c>
      <c r="R342" s="29">
        <f t="shared" ca="1" si="47"/>
        <v>-3.6605764282038072E-2</v>
      </c>
      <c r="S342" s="30">
        <f t="shared" ca="1" si="48"/>
        <v>5.8587795779682615E-3</v>
      </c>
      <c r="T342" s="30">
        <f t="shared" ca="1" si="49"/>
        <v>-3.1314963067804909E-2</v>
      </c>
      <c r="U342" s="30">
        <f t="shared" ca="1" si="50"/>
        <v>-4.1272699984990467E-3</v>
      </c>
      <c r="V342" s="30">
        <f t="shared" ca="1" si="51"/>
        <v>-2.5829255029907634E-2</v>
      </c>
      <c r="W342" s="30">
        <f t="shared" ca="1" si="54"/>
        <v>-2.1959572896380432E-2</v>
      </c>
      <c r="X342" s="30">
        <f t="shared" ca="1" si="52"/>
        <v>-1.7331721080209583E-2</v>
      </c>
      <c r="Y342" s="31">
        <f t="shared" ca="1" si="53"/>
        <v>-6.6019537021835467E-2</v>
      </c>
    </row>
    <row r="343" spans="2:25" x14ac:dyDescent="0.45">
      <c r="B343" vm="2872">
        <f ca="1"/>
        <v>44658</v>
      </c>
      <c r="C343" vm="2873">
        <f ca="1"/>
        <v>301.37</v>
      </c>
      <c r="D343" vm="2872">
        <f ca="1"/>
        <v>44658</v>
      </c>
      <c r="E343" vm="2874">
        <f ca="1"/>
        <v>17.920400000000001</v>
      </c>
      <c r="F343" vm="2872">
        <f ca="1"/>
        <v>44658</v>
      </c>
      <c r="G343" vm="2875">
        <f ca="1"/>
        <v>216.15</v>
      </c>
      <c r="H343" vm="2872">
        <f ca="1"/>
        <v>44658</v>
      </c>
      <c r="I343" vm="2876">
        <f ca="1"/>
        <v>135.93</v>
      </c>
      <c r="J343" vm="2872">
        <f ca="1"/>
        <v>44658</v>
      </c>
      <c r="K343" vm="2877">
        <f ca="1"/>
        <v>36.19</v>
      </c>
      <c r="L343" vm="2872">
        <f ca="1"/>
        <v>44658</v>
      </c>
      <c r="M343" vm="2878">
        <f ca="1"/>
        <v>141.38999999999999</v>
      </c>
      <c r="N343" vm="2872">
        <f ca="1"/>
        <v>44658</v>
      </c>
      <c r="O343" vm="2879">
        <f ca="1"/>
        <v>384.8</v>
      </c>
      <c r="P343" vm="2872">
        <f ca="1"/>
        <v>44658</v>
      </c>
      <c r="Q343" vm="2880">
        <f ca="1"/>
        <v>46.360999999999997</v>
      </c>
      <c r="R343" s="29">
        <f t="shared" ca="1" si="47"/>
        <v>6.243739565943254E-3</v>
      </c>
      <c r="S343" s="30">
        <f t="shared" ca="1" si="48"/>
        <v>-1.2486912437317336E-2</v>
      </c>
      <c r="T343" s="30">
        <f t="shared" ca="1" si="49"/>
        <v>-1.3058764439979843E-2</v>
      </c>
      <c r="U343" s="30">
        <f t="shared" ca="1" si="50"/>
        <v>2.4263431542460995E-2</v>
      </c>
      <c r="V343" s="30">
        <f t="shared" ca="1" si="51"/>
        <v>1.0047446274071991E-2</v>
      </c>
      <c r="W343" s="30">
        <f t="shared" ca="1" si="54"/>
        <v>-2.9181543531996708E-2</v>
      </c>
      <c r="X343" s="30">
        <f t="shared" ca="1" si="52"/>
        <v>-1.3535684987694762E-2</v>
      </c>
      <c r="Y343" s="31">
        <f t="shared" ca="1" si="53"/>
        <v>1.867680341016445E-2</v>
      </c>
    </row>
    <row r="344" spans="2:25" x14ac:dyDescent="0.45">
      <c r="B344" vm="2881">
        <f ca="1"/>
        <v>44659</v>
      </c>
      <c r="C344" vm="2882">
        <f ca="1"/>
        <v>296.97000000000003</v>
      </c>
      <c r="D344" vm="2881">
        <f ca="1"/>
        <v>44659</v>
      </c>
      <c r="E344" vm="2824">
        <f ca="1"/>
        <v>18.23</v>
      </c>
      <c r="F344" vm="2881">
        <f ca="1"/>
        <v>44659</v>
      </c>
      <c r="G344" vm="2883">
        <f ca="1"/>
        <v>216.98</v>
      </c>
      <c r="H344" vm="2881">
        <f ca="1"/>
        <v>44659</v>
      </c>
      <c r="I344" vm="2884">
        <f ca="1"/>
        <v>134.87</v>
      </c>
      <c r="J344" vm="2881">
        <f ca="1"/>
        <v>44659</v>
      </c>
      <c r="K344" vm="2885">
        <f ca="1"/>
        <v>35.950000000000003</v>
      </c>
      <c r="L344" vm="2881">
        <f ca="1"/>
        <v>44659</v>
      </c>
      <c r="M344" vm="2886">
        <f ca="1"/>
        <v>141.28</v>
      </c>
      <c r="N344" vm="2881">
        <f ca="1"/>
        <v>44659</v>
      </c>
      <c r="O344" vm="2887">
        <f ca="1"/>
        <v>394.72</v>
      </c>
      <c r="P344" vm="2881">
        <f ca="1"/>
        <v>44659</v>
      </c>
      <c r="Q344" vm="2888">
        <f ca="1"/>
        <v>45.323999999999998</v>
      </c>
      <c r="R344" s="29">
        <f t="shared" ca="1" si="47"/>
        <v>-1.4599993363639305E-2</v>
      </c>
      <c r="S344" s="30">
        <f t="shared" ca="1" si="48"/>
        <v>1.7276400080355331E-2</v>
      </c>
      <c r="T344" s="30">
        <f t="shared" ca="1" si="49"/>
        <v>3.8399259773304836E-3</v>
      </c>
      <c r="U344" s="30">
        <f t="shared" ca="1" si="50"/>
        <v>-7.7981313911572297E-3</v>
      </c>
      <c r="V344" s="30">
        <f t="shared" ca="1" si="51"/>
        <v>-6.6316662061341502E-3</v>
      </c>
      <c r="W344" s="30">
        <f t="shared" ca="1" si="54"/>
        <v>-7.7798995685681609E-4</v>
      </c>
      <c r="X344" s="30">
        <f t="shared" ca="1" si="52"/>
        <v>2.5779625779625819E-2</v>
      </c>
      <c r="Y344" s="31">
        <f t="shared" ca="1" si="53"/>
        <v>-2.2367938569055869E-2</v>
      </c>
    </row>
    <row r="345" spans="2:25" x14ac:dyDescent="0.45">
      <c r="B345" vm="2889">
        <f ca="1"/>
        <v>44662</v>
      </c>
      <c r="C345" vm="2890">
        <f ca="1"/>
        <v>285.26</v>
      </c>
      <c r="D345" vm="2889">
        <f ca="1"/>
        <v>44662</v>
      </c>
      <c r="E345" vm="2891">
        <f ca="1"/>
        <v>19.63</v>
      </c>
      <c r="F345" vm="2889">
        <f ca="1"/>
        <v>44662</v>
      </c>
      <c r="G345" vm="2892">
        <f ca="1"/>
        <v>214.75</v>
      </c>
      <c r="H345" vm="2889">
        <f ca="1"/>
        <v>44662</v>
      </c>
      <c r="I345" vm="2893">
        <f ca="1"/>
        <v>131.26</v>
      </c>
      <c r="J345" vm="2889">
        <f ca="1"/>
        <v>44662</v>
      </c>
      <c r="K345" vm="2894">
        <f ca="1"/>
        <v>35.67</v>
      </c>
      <c r="L345" vm="2889">
        <f ca="1"/>
        <v>44662</v>
      </c>
      <c r="M345" vm="2895">
        <f ca="1"/>
        <v>139.61000000000001</v>
      </c>
      <c r="N345" vm="2889">
        <f ca="1"/>
        <v>44662</v>
      </c>
      <c r="O345" vm="2896">
        <f ca="1"/>
        <v>417.6</v>
      </c>
      <c r="P345" vm="2889">
        <f ca="1"/>
        <v>44662</v>
      </c>
      <c r="Q345" vm="2897">
        <f ca="1"/>
        <v>43.639000000000003</v>
      </c>
      <c r="R345" s="29">
        <f t="shared" ca="1" si="47"/>
        <v>-3.9431592416742552E-2</v>
      </c>
      <c r="S345" s="30">
        <f t="shared" ca="1" si="48"/>
        <v>7.6796489303346052E-2</v>
      </c>
      <c r="T345" s="30">
        <f t="shared" ca="1" si="49"/>
        <v>-1.0277444925799566E-2</v>
      </c>
      <c r="U345" s="30">
        <f t="shared" ca="1" si="50"/>
        <v>-2.676651590420415E-2</v>
      </c>
      <c r="V345" s="30">
        <f t="shared" ca="1" si="51"/>
        <v>-7.7885952712100446E-3</v>
      </c>
      <c r="W345" s="30">
        <f t="shared" ca="1" si="54"/>
        <v>-1.1820498301245664E-2</v>
      </c>
      <c r="X345" s="30">
        <f t="shared" ca="1" si="52"/>
        <v>5.7965139845966747E-2</v>
      </c>
      <c r="Y345" s="31">
        <f t="shared" ca="1" si="53"/>
        <v>-3.717677168828866E-2</v>
      </c>
    </row>
    <row r="346" spans="2:25" x14ac:dyDescent="0.45">
      <c r="B346" vm="2898">
        <f ca="1"/>
        <v>44663</v>
      </c>
      <c r="C346" vm="2899">
        <f ca="1"/>
        <v>282.06</v>
      </c>
      <c r="D346" vm="2898">
        <f ca="1"/>
        <v>44663</v>
      </c>
      <c r="E346" vm="2900">
        <f ca="1"/>
        <v>19.559999999999999</v>
      </c>
      <c r="F346" vm="2898">
        <f ca="1"/>
        <v>44663</v>
      </c>
      <c r="G346" vm="2901">
        <f ca="1"/>
        <v>211.4</v>
      </c>
      <c r="H346" vm="2898">
        <f ca="1"/>
        <v>44663</v>
      </c>
      <c r="I346" vm="2902">
        <f ca="1"/>
        <v>125.39</v>
      </c>
      <c r="J346" vm="2898">
        <f ca="1"/>
        <v>44663</v>
      </c>
      <c r="K346" vm="2818">
        <f ca="1"/>
        <v>36.229999999999997</v>
      </c>
      <c r="L346" vm="2898">
        <f ca="1"/>
        <v>44663</v>
      </c>
      <c r="M346" vm="2903">
        <f ca="1"/>
        <v>138.9</v>
      </c>
      <c r="N346" vm="2898">
        <f ca="1"/>
        <v>44663</v>
      </c>
      <c r="O346" vm="2904">
        <f ca="1"/>
        <v>411.84</v>
      </c>
      <c r="P346" vm="2898">
        <f ca="1"/>
        <v>44663</v>
      </c>
      <c r="Q346" vm="2905">
        <f ca="1"/>
        <v>44.344999999999999</v>
      </c>
      <c r="R346" s="29">
        <f t="shared" ca="1" si="47"/>
        <v>-1.1217836359812062E-2</v>
      </c>
      <c r="S346" s="30">
        <f t="shared" ca="1" si="48"/>
        <v>-3.5659704533876867E-3</v>
      </c>
      <c r="T346" s="30">
        <f t="shared" ca="1" si="49"/>
        <v>-1.5599534342258414E-2</v>
      </c>
      <c r="U346" s="30">
        <f t="shared" ca="1" si="50"/>
        <v>-4.4720402255066211E-2</v>
      </c>
      <c r="V346" s="30">
        <f t="shared" ca="1" si="51"/>
        <v>1.5699467339500846E-2</v>
      </c>
      <c r="W346" s="30">
        <f t="shared" ca="1" si="54"/>
        <v>-5.0855955877086734E-3</v>
      </c>
      <c r="X346" s="30">
        <f t="shared" ca="1" si="52"/>
        <v>-1.3793103448275976E-2</v>
      </c>
      <c r="Y346" s="31">
        <f t="shared" ca="1" si="53"/>
        <v>1.6178189234400328E-2</v>
      </c>
    </row>
    <row r="347" spans="2:25" x14ac:dyDescent="0.45">
      <c r="B347" vm="2906">
        <f ca="1"/>
        <v>44664</v>
      </c>
      <c r="C347" vm="2907">
        <f ca="1"/>
        <v>287.62</v>
      </c>
      <c r="D347" vm="2906">
        <f ca="1"/>
        <v>44664</v>
      </c>
      <c r="E347" vm="2443">
        <f ca="1"/>
        <v>19.420000000000002</v>
      </c>
      <c r="F347" vm="2906">
        <f ca="1"/>
        <v>44664</v>
      </c>
      <c r="G347" vm="2908">
        <f ca="1"/>
        <v>213.27</v>
      </c>
      <c r="H347" vm="2906">
        <f ca="1"/>
        <v>44664</v>
      </c>
      <c r="I347" vm="2909">
        <f ca="1"/>
        <v>128.29</v>
      </c>
      <c r="J347" vm="2906">
        <f ca="1"/>
        <v>44664</v>
      </c>
      <c r="K347" vm="2910">
        <f ca="1"/>
        <v>36.869999999999997</v>
      </c>
      <c r="L347" vm="2906">
        <f ca="1"/>
        <v>44664</v>
      </c>
      <c r="M347" vm="2911">
        <f ca="1"/>
        <v>141.34</v>
      </c>
      <c r="N347" vm="2906">
        <f ca="1"/>
        <v>44664</v>
      </c>
      <c r="O347" vm="2912">
        <f ca="1"/>
        <v>393.44</v>
      </c>
      <c r="P347" vm="2906">
        <f ca="1"/>
        <v>44664</v>
      </c>
      <c r="Q347" vm="2913">
        <f ca="1"/>
        <v>46.357999999999997</v>
      </c>
      <c r="R347" s="29">
        <f t="shared" ca="1" si="47"/>
        <v>1.9712117989080347E-2</v>
      </c>
      <c r="S347" s="30">
        <f t="shared" ca="1" si="48"/>
        <v>-7.1574642126787848E-3</v>
      </c>
      <c r="T347" s="30">
        <f t="shared" ca="1" si="49"/>
        <v>8.8457899716178068E-3</v>
      </c>
      <c r="U347" s="30">
        <f t="shared" ca="1" si="50"/>
        <v>2.3127841135656683E-2</v>
      </c>
      <c r="V347" s="30">
        <f t="shared" ca="1" si="51"/>
        <v>1.7664918575765957E-2</v>
      </c>
      <c r="W347" s="30">
        <f t="shared" ca="1" si="54"/>
        <v>1.7566594672426189E-2</v>
      </c>
      <c r="X347" s="30">
        <f t="shared" ca="1" si="52"/>
        <v>-4.4677544677544624E-2</v>
      </c>
      <c r="Y347" s="31">
        <f t="shared" ca="1" si="53"/>
        <v>4.5394069229901864E-2</v>
      </c>
    </row>
    <row r="348" spans="2:25" x14ac:dyDescent="0.45">
      <c r="B348" vm="2914">
        <f ca="1"/>
        <v>44665</v>
      </c>
      <c r="C348" vm="2915">
        <f ca="1"/>
        <v>279.83</v>
      </c>
      <c r="D348" vm="2914">
        <f ca="1"/>
        <v>44665</v>
      </c>
      <c r="E348" vm="2478">
        <f ca="1"/>
        <v>19.54</v>
      </c>
      <c r="F348" vm="2914">
        <f ca="1"/>
        <v>44665</v>
      </c>
      <c r="G348" vm="2916">
        <f ca="1"/>
        <v>212.79</v>
      </c>
      <c r="H348" vm="2914">
        <f ca="1"/>
        <v>44665</v>
      </c>
      <c r="I348" vm="2917">
        <f ca="1"/>
        <v>126.44</v>
      </c>
      <c r="J348" vm="2914">
        <f ca="1"/>
        <v>44665</v>
      </c>
      <c r="K348" vm="2827">
        <f ca="1"/>
        <v>37.04</v>
      </c>
      <c r="L348" vm="2914">
        <f ca="1"/>
        <v>44665</v>
      </c>
      <c r="M348" vm="2918">
        <f ca="1"/>
        <v>136.27000000000001</v>
      </c>
      <c r="N348" vm="2914">
        <f ca="1"/>
        <v>44665</v>
      </c>
      <c r="O348" vm="2919">
        <f ca="1"/>
        <v>399.84</v>
      </c>
      <c r="P348" vm="2914">
        <f ca="1"/>
        <v>44665</v>
      </c>
      <c r="Q348" vm="2920">
        <f ca="1"/>
        <v>44.918999999999997</v>
      </c>
      <c r="R348" s="29">
        <f t="shared" ca="1" si="47"/>
        <v>-2.7084347402823242E-2</v>
      </c>
      <c r="S348" s="30">
        <f t="shared" ca="1" si="48"/>
        <v>6.1791967044282923E-3</v>
      </c>
      <c r="T348" s="30">
        <f t="shared" ca="1" si="49"/>
        <v>-2.2506681671121964E-3</v>
      </c>
      <c r="U348" s="30">
        <f t="shared" ca="1" si="50"/>
        <v>-1.442045365967725E-2</v>
      </c>
      <c r="V348" s="30">
        <f t="shared" ca="1" si="51"/>
        <v>4.6107946840249995E-3</v>
      </c>
      <c r="W348" s="30">
        <f t="shared" ca="1" si="54"/>
        <v>-3.587094948351488E-2</v>
      </c>
      <c r="X348" s="30">
        <f t="shared" ca="1" si="52"/>
        <v>1.6266775111834022E-2</v>
      </c>
      <c r="Y348" s="31">
        <f t="shared" ca="1" si="53"/>
        <v>-3.1041028517192291E-2</v>
      </c>
    </row>
    <row r="349" spans="2:25" x14ac:dyDescent="0.45">
      <c r="B349" vm="2921">
        <f ca="1"/>
        <v>44669</v>
      </c>
      <c r="C349" vm="2922">
        <f ca="1"/>
        <v>280.52</v>
      </c>
      <c r="D349" vm="2921">
        <f ca="1"/>
        <v>44669</v>
      </c>
      <c r="E349" vm="2923">
        <f ca="1"/>
        <v>19.46</v>
      </c>
      <c r="F349" vm="2921">
        <f ca="1"/>
        <v>44669</v>
      </c>
      <c r="G349" vm="2924">
        <f ca="1"/>
        <v>213.17</v>
      </c>
      <c r="H349" vm="2921">
        <f ca="1"/>
        <v>44669</v>
      </c>
      <c r="I349" vm="2736">
        <f ca="1"/>
        <v>123.84</v>
      </c>
      <c r="J349" vm="2921">
        <f ca="1"/>
        <v>44669</v>
      </c>
      <c r="K349" vm="2925">
        <f ca="1"/>
        <v>37.159999999999997</v>
      </c>
      <c r="L349" vm="2921">
        <f ca="1"/>
        <v>44669</v>
      </c>
      <c r="M349" vm="2926">
        <f ca="1"/>
        <v>134.43</v>
      </c>
      <c r="N349" vm="2921">
        <f ca="1"/>
        <v>44669</v>
      </c>
      <c r="O349" vm="2927">
        <f ca="1"/>
        <v>404.96</v>
      </c>
      <c r="P349" vm="2921">
        <f ca="1"/>
        <v>44669</v>
      </c>
      <c r="Q349" vm="2928">
        <f ca="1"/>
        <v>44.588999999999999</v>
      </c>
      <c r="R349" s="29">
        <f t="shared" ca="1" si="47"/>
        <v>2.4657827966979872E-3</v>
      </c>
      <c r="S349" s="30">
        <f t="shared" ca="1" si="48"/>
        <v>-4.094165813715368E-3</v>
      </c>
      <c r="T349" s="30">
        <f t="shared" ca="1" si="49"/>
        <v>1.785798204802836E-3</v>
      </c>
      <c r="U349" s="30">
        <f t="shared" ca="1" si="50"/>
        <v>-2.0563112938943327E-2</v>
      </c>
      <c r="V349" s="30">
        <f t="shared" ca="1" si="51"/>
        <v>3.2397408207342723E-3</v>
      </c>
      <c r="W349" s="30">
        <f t="shared" ca="1" si="54"/>
        <v>-1.3502605122183924E-2</v>
      </c>
      <c r="X349" s="30">
        <f t="shared" ca="1" si="52"/>
        <v>1.2805122048819541E-2</v>
      </c>
      <c r="Y349" s="31">
        <f t="shared" ca="1" si="53"/>
        <v>-7.3465571361784167E-3</v>
      </c>
    </row>
    <row r="350" spans="2:25" x14ac:dyDescent="0.45">
      <c r="B350" vm="2929">
        <f ca="1"/>
        <v>44670</v>
      </c>
      <c r="C350" vm="2930">
        <f ca="1"/>
        <v>285.3</v>
      </c>
      <c r="D350" vm="2929">
        <f ca="1"/>
        <v>44670</v>
      </c>
      <c r="E350" vm="2931">
        <f ca="1"/>
        <v>19.489999999999998</v>
      </c>
      <c r="F350" vm="2929">
        <f ca="1"/>
        <v>44670</v>
      </c>
      <c r="G350" vm="2932">
        <f ca="1"/>
        <v>215.7</v>
      </c>
      <c r="H350" vm="2929">
        <f ca="1"/>
        <v>44670</v>
      </c>
      <c r="I350" vm="2933">
        <f ca="1"/>
        <v>126.53</v>
      </c>
      <c r="J350" vm="2929">
        <f ca="1"/>
        <v>44670</v>
      </c>
      <c r="K350" vm="2934">
        <f ca="1"/>
        <v>37.78</v>
      </c>
      <c r="L350" vm="2929">
        <f ca="1"/>
        <v>44670</v>
      </c>
      <c r="M350" vm="2935">
        <f ca="1"/>
        <v>137.41</v>
      </c>
      <c r="N350" vm="2929">
        <f ca="1"/>
        <v>44670</v>
      </c>
      <c r="O350" vm="2936">
        <f ca="1"/>
        <v>395.68</v>
      </c>
      <c r="P350" vm="2929">
        <f ca="1"/>
        <v>44670</v>
      </c>
      <c r="Q350" vm="2937">
        <f ca="1"/>
        <v>47.113999999999997</v>
      </c>
      <c r="R350" s="29">
        <f t="shared" ca="1" si="47"/>
        <v>1.7039783259660737E-2</v>
      </c>
      <c r="S350" s="30">
        <f t="shared" ca="1" si="48"/>
        <v>1.5416238437819931E-3</v>
      </c>
      <c r="T350" s="30">
        <f t="shared" ca="1" si="49"/>
        <v>1.1868461791058785E-2</v>
      </c>
      <c r="U350" s="30">
        <f t="shared" ca="1" si="50"/>
        <v>2.1721576227390162E-2</v>
      </c>
      <c r="V350" s="30">
        <f t="shared" ca="1" si="51"/>
        <v>1.6684607104413472E-2</v>
      </c>
      <c r="W350" s="30">
        <f t="shared" ca="1" si="54"/>
        <v>2.2167670906791562E-2</v>
      </c>
      <c r="X350" s="30">
        <f t="shared" ca="1" si="52"/>
        <v>-2.2915843540102659E-2</v>
      </c>
      <c r="Y350" s="31">
        <f t="shared" ca="1" si="53"/>
        <v>5.6628316400906022E-2</v>
      </c>
    </row>
    <row r="351" spans="2:25" x14ac:dyDescent="0.45">
      <c r="B351" vm="2938">
        <f ca="1"/>
        <v>44671</v>
      </c>
      <c r="C351" vm="2939">
        <f ca="1"/>
        <v>286.36</v>
      </c>
      <c r="D351" vm="2938">
        <f ca="1"/>
        <v>44671</v>
      </c>
      <c r="E351" vm="2940">
        <f ca="1"/>
        <v>19.43</v>
      </c>
      <c r="F351" vm="2938">
        <f ca="1"/>
        <v>44671</v>
      </c>
      <c r="G351" vm="2941">
        <f ca="1"/>
        <v>217.79</v>
      </c>
      <c r="H351" vm="2938">
        <f ca="1"/>
        <v>44671</v>
      </c>
      <c r="I351" vm="2942">
        <f ca="1"/>
        <v>129.37</v>
      </c>
      <c r="J351" vm="2938">
        <f ca="1"/>
        <v>44671</v>
      </c>
      <c r="K351" vm="2943">
        <f ca="1"/>
        <v>36.909999999999997</v>
      </c>
      <c r="L351" vm="2938">
        <f ca="1"/>
        <v>44671</v>
      </c>
      <c r="M351" vm="2944">
        <f ca="1"/>
        <v>122.49</v>
      </c>
      <c r="N351" vm="2938">
        <f ca="1"/>
        <v>44671</v>
      </c>
      <c r="O351" vm="2945">
        <f ca="1"/>
        <v>390.24</v>
      </c>
      <c r="P351" vm="2938">
        <f ca="1"/>
        <v>44671</v>
      </c>
      <c r="Q351" vm="2946">
        <f ca="1"/>
        <v>44.902999999999999</v>
      </c>
      <c r="R351" s="29">
        <f t="shared" ca="1" si="47"/>
        <v>3.7153873116018304E-3</v>
      </c>
      <c r="S351" s="30">
        <f t="shared" ca="1" si="48"/>
        <v>-3.0785017957926488E-3</v>
      </c>
      <c r="T351" s="30">
        <f t="shared" ca="1" si="49"/>
        <v>9.689383402874379E-3</v>
      </c>
      <c r="U351" s="30">
        <f t="shared" ca="1" si="50"/>
        <v>2.2445269896467269E-2</v>
      </c>
      <c r="V351" s="30">
        <f t="shared" ca="1" si="51"/>
        <v>-2.3028057173107585E-2</v>
      </c>
      <c r="W351" s="30">
        <f t="shared" ca="1" si="54"/>
        <v>-0.10858016156029403</v>
      </c>
      <c r="X351" s="30">
        <f t="shared" ca="1" si="52"/>
        <v>-1.3748483623129797E-2</v>
      </c>
      <c r="Y351" s="31">
        <f t="shared" ca="1" si="53"/>
        <v>-4.6928726068684437E-2</v>
      </c>
    </row>
    <row r="352" spans="2:25" x14ac:dyDescent="0.45">
      <c r="B352" vm="2947">
        <f ca="1"/>
        <v>44672</v>
      </c>
      <c r="C352" vm="2948">
        <f ca="1"/>
        <v>280.81</v>
      </c>
      <c r="D352" vm="2947">
        <f ca="1"/>
        <v>44672</v>
      </c>
      <c r="E352" vm="2949">
        <f ca="1"/>
        <v>20.21</v>
      </c>
      <c r="F352" vm="2947">
        <f ca="1"/>
        <v>44672</v>
      </c>
      <c r="G352" vm="2950">
        <f ca="1"/>
        <v>216.45</v>
      </c>
      <c r="H352" vm="2947">
        <f ca="1"/>
        <v>44672</v>
      </c>
      <c r="I352" vm="2951">
        <f ca="1"/>
        <v>125.29</v>
      </c>
      <c r="J352" vm="2947">
        <f ca="1"/>
        <v>44672</v>
      </c>
      <c r="K352" vm="2952">
        <f ca="1"/>
        <v>34.67</v>
      </c>
      <c r="L352" vm="2947">
        <f ca="1"/>
        <v>44672</v>
      </c>
      <c r="M352" vm="2953">
        <f ca="1"/>
        <v>112.62</v>
      </c>
      <c r="N352" vm="2947">
        <f ca="1"/>
        <v>44672</v>
      </c>
      <c r="O352" vm="2954">
        <f ca="1"/>
        <v>397.76</v>
      </c>
      <c r="P352" vm="2947">
        <f ca="1"/>
        <v>44672</v>
      </c>
      <c r="Q352" vm="2955">
        <f ca="1"/>
        <v>42.786000000000001</v>
      </c>
      <c r="R352" s="29">
        <f t="shared" ca="1" si="47"/>
        <v>-1.9381198491409454E-2</v>
      </c>
      <c r="S352" s="30">
        <f t="shared" ca="1" si="48"/>
        <v>4.0144107050952192E-2</v>
      </c>
      <c r="T352" s="30">
        <f t="shared" ca="1" si="49"/>
        <v>-6.1527159190045613E-3</v>
      </c>
      <c r="U352" s="30">
        <f t="shared" ca="1" si="50"/>
        <v>-3.1537450722733229E-2</v>
      </c>
      <c r="V352" s="30">
        <f t="shared" ca="1" si="51"/>
        <v>-6.0688160390138038E-2</v>
      </c>
      <c r="W352" s="30">
        <f t="shared" ca="1" si="54"/>
        <v>-8.0578006367866689E-2</v>
      </c>
      <c r="X352" s="30">
        <f t="shared" ca="1" si="52"/>
        <v>1.9270192701926973E-2</v>
      </c>
      <c r="Y352" s="31">
        <f t="shared" ca="1" si="53"/>
        <v>-4.7146070418457503E-2</v>
      </c>
    </row>
    <row r="353" spans="2:25" x14ac:dyDescent="0.45">
      <c r="B353" vm="2956">
        <f ca="1"/>
        <v>44673</v>
      </c>
      <c r="C353" vm="2957">
        <f ca="1"/>
        <v>274.02999999999997</v>
      </c>
      <c r="D353" vm="2956">
        <f ca="1"/>
        <v>44673</v>
      </c>
      <c r="E353" vm="2958">
        <f ca="1"/>
        <v>19.52</v>
      </c>
      <c r="F353" vm="2956">
        <f ca="1"/>
        <v>44673</v>
      </c>
      <c r="G353" vm="2959">
        <f ca="1"/>
        <v>208.17</v>
      </c>
      <c r="H353" vm="2956">
        <f ca="1"/>
        <v>44673</v>
      </c>
      <c r="I353" vm="2960">
        <f ca="1"/>
        <v>121.32</v>
      </c>
      <c r="J353" vm="2956">
        <f ca="1"/>
        <v>44673</v>
      </c>
      <c r="K353" vm="2961">
        <f ca="1"/>
        <v>33.590000000000003</v>
      </c>
      <c r="L353" vm="2956">
        <f ca="1"/>
        <v>44673</v>
      </c>
      <c r="M353" vm="2962">
        <f ca="1"/>
        <v>110.21</v>
      </c>
      <c r="N353" vm="2956">
        <f ca="1"/>
        <v>44673</v>
      </c>
      <c r="O353" vm="2753">
        <f ca="1"/>
        <v>418.4</v>
      </c>
      <c r="P353" vm="2956">
        <f ca="1"/>
        <v>44673</v>
      </c>
      <c r="Q353" vm="2963">
        <f ca="1"/>
        <v>40.908000000000001</v>
      </c>
      <c r="R353" s="29">
        <f t="shared" ca="1" si="47"/>
        <v>-2.4144439300594813E-2</v>
      </c>
      <c r="S353" s="30">
        <f t="shared" ca="1" si="48"/>
        <v>-3.4141514101929803E-2</v>
      </c>
      <c r="T353" s="30">
        <f t="shared" ca="1" si="49"/>
        <v>-3.8253638253638263E-2</v>
      </c>
      <c r="U353" s="30">
        <f t="shared" ca="1" si="50"/>
        <v>-3.1686487349349611E-2</v>
      </c>
      <c r="V353" s="30">
        <f t="shared" ca="1" si="51"/>
        <v>-3.1150850879723052E-2</v>
      </c>
      <c r="W353" s="30">
        <f t="shared" ca="1" si="54"/>
        <v>-2.13993961996094E-2</v>
      </c>
      <c r="X353" s="30">
        <f t="shared" ca="1" si="52"/>
        <v>5.1890587288817347E-2</v>
      </c>
      <c r="Y353" s="31">
        <f t="shared" ca="1" si="53"/>
        <v>-4.3892862151170942E-2</v>
      </c>
    </row>
    <row r="354" spans="2:25" x14ac:dyDescent="0.45">
      <c r="B354" vm="2964">
        <f ca="1"/>
        <v>44676</v>
      </c>
      <c r="C354" vm="2965">
        <f ca="1"/>
        <v>280.72000000000003</v>
      </c>
      <c r="D354" vm="2964">
        <f ca="1"/>
        <v>44676</v>
      </c>
      <c r="E354" vm="2966">
        <f ca="1"/>
        <v>19.510000000000002</v>
      </c>
      <c r="F354" vm="2964">
        <f ca="1"/>
        <v>44676</v>
      </c>
      <c r="G354" vm="2967">
        <f ca="1"/>
        <v>209.95</v>
      </c>
      <c r="H354" vm="2964">
        <f ca="1"/>
        <v>44676</v>
      </c>
      <c r="I354" vm="2968">
        <f ca="1"/>
        <v>121.45</v>
      </c>
      <c r="J354" vm="2964">
        <f ca="1"/>
        <v>44676</v>
      </c>
      <c r="K354" vm="2969">
        <f ca="1"/>
        <v>32.630000000000003</v>
      </c>
      <c r="L354" vm="2964">
        <f ca="1"/>
        <v>44676</v>
      </c>
      <c r="M354" vm="2970">
        <f ca="1"/>
        <v>112.14</v>
      </c>
      <c r="N354" vm="2964">
        <f ca="1"/>
        <v>44676</v>
      </c>
      <c r="O354" vm="2971">
        <f ca="1"/>
        <v>396.8</v>
      </c>
      <c r="P354" vm="2964">
        <f ca="1"/>
        <v>44676</v>
      </c>
      <c r="Q354" vm="2972">
        <f ca="1"/>
        <v>42.8</v>
      </c>
      <c r="R354" s="29">
        <f t="shared" ca="1" si="47"/>
        <v>2.4413385395759789E-2</v>
      </c>
      <c r="S354" s="30">
        <f t="shared" ca="1" si="48"/>
        <v>-5.1229508196711123E-4</v>
      </c>
      <c r="T354" s="30">
        <f t="shared" ca="1" si="49"/>
        <v>8.5507037517413721E-3</v>
      </c>
      <c r="U354" s="30">
        <f t="shared" ca="1" si="50"/>
        <v>1.0715463237719227E-3</v>
      </c>
      <c r="V354" s="30">
        <f t="shared" ca="1" si="51"/>
        <v>-2.8579934504316784E-2</v>
      </c>
      <c r="W354" s="30">
        <f t="shared" ca="1" si="54"/>
        <v>1.7512022502495301E-2</v>
      </c>
      <c r="X354" s="30">
        <f t="shared" ca="1" si="52"/>
        <v>-5.1625239005736061E-2</v>
      </c>
      <c r="Y354" s="31">
        <f t="shared" ca="1" si="53"/>
        <v>4.6250122225481465E-2</v>
      </c>
    </row>
    <row r="355" spans="2:25" x14ac:dyDescent="0.45">
      <c r="B355" vm="2973">
        <f ca="1"/>
        <v>44677</v>
      </c>
      <c r="C355" vm="2974">
        <f ca="1"/>
        <v>270.22000000000003</v>
      </c>
      <c r="D355" vm="2973">
        <f ca="1"/>
        <v>44677</v>
      </c>
      <c r="E355" vm="2975">
        <f ca="1"/>
        <v>19.3</v>
      </c>
      <c r="F355" vm="2973">
        <f ca="1"/>
        <v>44677</v>
      </c>
      <c r="G355" vm="2976">
        <f ca="1"/>
        <v>201.1</v>
      </c>
      <c r="H355" vm="2973">
        <f ca="1"/>
        <v>44677</v>
      </c>
      <c r="I355" vm="2977">
        <f ca="1"/>
        <v>117.94</v>
      </c>
      <c r="J355" vm="2973">
        <f ca="1"/>
        <v>44677</v>
      </c>
      <c r="K355" vm="2978">
        <f ca="1"/>
        <v>31.59</v>
      </c>
      <c r="L355" vm="2973">
        <f ca="1"/>
        <v>44677</v>
      </c>
      <c r="M355" vm="2979">
        <f ca="1"/>
        <v>110.41</v>
      </c>
      <c r="N355" vm="2973">
        <f ca="1"/>
        <v>44677</v>
      </c>
      <c r="O355" vm="2980">
        <f ca="1"/>
        <v>421.6</v>
      </c>
      <c r="P355" vm="2973">
        <f ca="1"/>
        <v>44677</v>
      </c>
      <c r="Q355" vm="2981">
        <f ca="1"/>
        <v>39.100999999999999</v>
      </c>
      <c r="R355" s="29">
        <f t="shared" ca="1" si="47"/>
        <v>-3.7403818751781129E-2</v>
      </c>
      <c r="S355" s="30">
        <f t="shared" ca="1" si="48"/>
        <v>-1.0763710917478259E-2</v>
      </c>
      <c r="T355" s="30">
        <f t="shared" ca="1" si="49"/>
        <v>-4.2152893546082378E-2</v>
      </c>
      <c r="U355" s="30">
        <f t="shared" ca="1" si="50"/>
        <v>-2.8900782214903293E-2</v>
      </c>
      <c r="V355" s="30">
        <f t="shared" ca="1" si="51"/>
        <v>-3.1872509960159445E-2</v>
      </c>
      <c r="W355" s="30">
        <f t="shared" ca="1" si="54"/>
        <v>-1.5427144640627822E-2</v>
      </c>
      <c r="X355" s="30">
        <f t="shared" ca="1" si="52"/>
        <v>6.2500000000000028E-2</v>
      </c>
      <c r="Y355" s="31">
        <f t="shared" ca="1" si="53"/>
        <v>-8.6425233644859767E-2</v>
      </c>
    </row>
    <row r="356" spans="2:25" x14ac:dyDescent="0.45">
      <c r="B356" vm="2982">
        <f ca="1"/>
        <v>44678</v>
      </c>
      <c r="C356" vm="2983">
        <f ca="1"/>
        <v>283.22000000000003</v>
      </c>
      <c r="D356" vm="2982">
        <f ca="1"/>
        <v>44678</v>
      </c>
      <c r="E356" vm="2984">
        <f ca="1"/>
        <v>19.07</v>
      </c>
      <c r="F356" vm="2982">
        <f ca="1"/>
        <v>44678</v>
      </c>
      <c r="G356" vm="2985">
        <f ca="1"/>
        <v>214.11</v>
      </c>
      <c r="H356" vm="2982">
        <f ca="1"/>
        <v>44678</v>
      </c>
      <c r="I356" vm="2986">
        <f ca="1"/>
        <v>117.68</v>
      </c>
      <c r="J356" vm="2982">
        <f ca="1"/>
        <v>44678</v>
      </c>
      <c r="K356" vm="2987">
        <f ca="1"/>
        <v>31.82</v>
      </c>
      <c r="L356" vm="2982">
        <f ca="1"/>
        <v>44678</v>
      </c>
      <c r="M356" vm="2988">
        <f ca="1"/>
        <v>96.67</v>
      </c>
      <c r="N356" vm="2982">
        <f ca="1"/>
        <v>44678</v>
      </c>
      <c r="O356" vm="1527">
        <f ca="1"/>
        <v>435.2</v>
      </c>
      <c r="P356" vm="2982">
        <f ca="1"/>
        <v>44678</v>
      </c>
      <c r="Q356" vm="2989">
        <f ca="1"/>
        <v>38.578000000000003</v>
      </c>
      <c r="R356" s="29">
        <f t="shared" ca="1" si="47"/>
        <v>4.8108948264377172E-2</v>
      </c>
      <c r="S356" s="30">
        <f t="shared" ca="1" si="48"/>
        <v>-1.1917098445595877E-2</v>
      </c>
      <c r="T356" s="30">
        <f t="shared" ca="1" si="49"/>
        <v>6.4694181999005562E-2</v>
      </c>
      <c r="U356" s="30">
        <f t="shared" ca="1" si="50"/>
        <v>-2.204510768187137E-3</v>
      </c>
      <c r="V356" s="30">
        <f t="shared" ca="1" si="51"/>
        <v>7.2807850585628496E-3</v>
      </c>
      <c r="W356" s="30">
        <f t="shared" ca="1" si="54"/>
        <v>-0.12444524952449955</v>
      </c>
      <c r="X356" s="30">
        <f t="shared" ca="1" si="52"/>
        <v>3.2258064516128948E-2</v>
      </c>
      <c r="Y356" s="31">
        <f t="shared" ca="1" si="53"/>
        <v>-1.3375616991892691E-2</v>
      </c>
    </row>
    <row r="357" spans="2:25" x14ac:dyDescent="0.45">
      <c r="B357" vm="2990">
        <f ca="1"/>
        <v>44679</v>
      </c>
      <c r="C357" vm="2991">
        <f ca="1"/>
        <v>289.63</v>
      </c>
      <c r="D357" vm="2990">
        <f ca="1"/>
        <v>44679</v>
      </c>
      <c r="E357" vm="2443">
        <f ca="1"/>
        <v>19.420000000000002</v>
      </c>
      <c r="F357" vm="2990">
        <f ca="1"/>
        <v>44679</v>
      </c>
      <c r="G357" vm="631">
        <f ca="1"/>
        <v>220.66</v>
      </c>
      <c r="H357" vm="2990">
        <f ca="1"/>
        <v>44679</v>
      </c>
      <c r="I357" vm="2992">
        <f ca="1"/>
        <v>121.06</v>
      </c>
      <c r="J357" vm="2990">
        <f ca="1"/>
        <v>44679</v>
      </c>
      <c r="K357" vm="2993">
        <f ca="1"/>
        <v>32.229999999999997</v>
      </c>
      <c r="L357" vm="2990">
        <f ca="1"/>
        <v>44679</v>
      </c>
      <c r="M357" vm="2994">
        <f ca="1"/>
        <v>102.68</v>
      </c>
      <c r="N357" vm="2990">
        <f ca="1"/>
        <v>44679</v>
      </c>
      <c r="O357" vm="2995">
        <f ca="1"/>
        <v>416.64</v>
      </c>
      <c r="P357" vm="2990">
        <f ca="1"/>
        <v>44679</v>
      </c>
      <c r="Q357" vm="2996">
        <f ca="1"/>
        <v>40.048999999999999</v>
      </c>
      <c r="R357" s="29">
        <f t="shared" ca="1" si="47"/>
        <v>2.2632582444742488E-2</v>
      </c>
      <c r="S357" s="30">
        <f t="shared" ca="1" si="48"/>
        <v>1.8353434714210876E-2</v>
      </c>
      <c r="T357" s="30">
        <f t="shared" ca="1" si="49"/>
        <v>3.0591751903227233E-2</v>
      </c>
      <c r="U357" s="30">
        <f t="shared" ca="1" si="50"/>
        <v>2.8721957851801455E-2</v>
      </c>
      <c r="V357" s="30">
        <f t="shared" ca="1" si="51"/>
        <v>1.2884978001256963E-2</v>
      </c>
      <c r="W357" s="30">
        <f t="shared" ca="1" si="54"/>
        <v>6.217026999069003E-2</v>
      </c>
      <c r="X357" s="30">
        <f t="shared" ca="1" si="52"/>
        <v>-4.264705882352942E-2</v>
      </c>
      <c r="Y357" s="31">
        <f t="shared" ca="1" si="53"/>
        <v>3.8130540722691598E-2</v>
      </c>
    </row>
    <row r="358" spans="2:25" x14ac:dyDescent="0.45">
      <c r="B358" vm="2997">
        <f ca="1"/>
        <v>44680</v>
      </c>
      <c r="C358" vm="2998">
        <f ca="1"/>
        <v>277.52</v>
      </c>
      <c r="D358" vm="2997">
        <f ca="1"/>
        <v>44680</v>
      </c>
      <c r="E358" vm="2999">
        <f ca="1"/>
        <v>18.86</v>
      </c>
      <c r="F358" vm="2997">
        <f ca="1"/>
        <v>44680</v>
      </c>
      <c r="G358" vm="3000">
        <f ca="1"/>
        <v>213.13</v>
      </c>
      <c r="H358" vm="2997">
        <f ca="1"/>
        <v>44680</v>
      </c>
      <c r="I358" vm="3001">
        <f ca="1"/>
        <v>119.27</v>
      </c>
      <c r="J358" vm="2997">
        <f ca="1"/>
        <v>44680</v>
      </c>
      <c r="K358" vm="3002">
        <f ca="1"/>
        <v>30.49</v>
      </c>
      <c r="L358" vm="2997">
        <f ca="1"/>
        <v>44680</v>
      </c>
      <c r="M358" vm="3003">
        <f ca="1"/>
        <v>101.65</v>
      </c>
      <c r="N358" vm="2997">
        <f ca="1"/>
        <v>44680</v>
      </c>
      <c r="O358" vm="3004">
        <f ca="1"/>
        <v>443.36</v>
      </c>
      <c r="P358" vm="2997">
        <f ca="1"/>
        <v>44680</v>
      </c>
      <c r="Q358" vm="3005">
        <f ca="1"/>
        <v>35.417000000000002</v>
      </c>
      <c r="R358" s="29">
        <f t="shared" ca="1" si="47"/>
        <v>-4.1811966992369623E-2</v>
      </c>
      <c r="S358" s="30">
        <f t="shared" ca="1" si="48"/>
        <v>-2.8836251287332762E-2</v>
      </c>
      <c r="T358" s="30">
        <f t="shared" ca="1" si="49"/>
        <v>-3.4124898033173215E-2</v>
      </c>
      <c r="U358" s="30">
        <f t="shared" ca="1" si="50"/>
        <v>-1.4786056500908692E-2</v>
      </c>
      <c r="V358" s="30">
        <f t="shared" ca="1" si="51"/>
        <v>-5.3986968662736536E-2</v>
      </c>
      <c r="W358" s="30">
        <f t="shared" ca="1" si="54"/>
        <v>-1.0031164783794323E-2</v>
      </c>
      <c r="X358" s="30">
        <f t="shared" ca="1" si="52"/>
        <v>6.4132104454685174E-2</v>
      </c>
      <c r="Y358" s="31">
        <f t="shared" ca="1" si="53"/>
        <v>-0.11565831855976423</v>
      </c>
    </row>
    <row r="359" spans="2:25" x14ac:dyDescent="0.45">
      <c r="B359" vm="3006">
        <f ca="1"/>
        <v>44683</v>
      </c>
      <c r="C359" vm="3007">
        <f ca="1"/>
        <v>284.47000000000003</v>
      </c>
      <c r="D359" vm="3006">
        <f ca="1"/>
        <v>44683</v>
      </c>
      <c r="E359" vm="3008">
        <f ca="1"/>
        <v>19.12</v>
      </c>
      <c r="F359" vm="3006">
        <f ca="1"/>
        <v>44683</v>
      </c>
      <c r="G359" vm="3009">
        <f ca="1"/>
        <v>211.53</v>
      </c>
      <c r="H359" vm="3006">
        <f ca="1"/>
        <v>44683</v>
      </c>
      <c r="I359" vm="3010">
        <f ca="1"/>
        <v>119.57</v>
      </c>
      <c r="J359" vm="3006">
        <f ca="1"/>
        <v>44683</v>
      </c>
      <c r="K359" vm="3011">
        <f ca="1"/>
        <v>29.81</v>
      </c>
      <c r="L359" vm="3006">
        <f ca="1"/>
        <v>44683</v>
      </c>
      <c r="M359" vm="3012">
        <f ca="1"/>
        <v>108.86</v>
      </c>
      <c r="N359" vm="3006">
        <f ca="1"/>
        <v>44683</v>
      </c>
      <c r="O359" vm="3013">
        <f ca="1"/>
        <v>440</v>
      </c>
      <c r="P359" vm="3006">
        <f ca="1"/>
        <v>44683</v>
      </c>
      <c r="Q359" vm="3014">
        <f ca="1"/>
        <v>36.591000000000001</v>
      </c>
      <c r="R359" s="29">
        <f t="shared" ca="1" si="47"/>
        <v>2.5043240126837871E-2</v>
      </c>
      <c r="S359" s="30">
        <f t="shared" ca="1" si="48"/>
        <v>1.3785790031813445E-2</v>
      </c>
      <c r="T359" s="30">
        <f t="shared" ca="1" si="49"/>
        <v>-7.5071552573546399E-3</v>
      </c>
      <c r="U359" s="30">
        <f t="shared" ca="1" si="50"/>
        <v>2.5153014169531076E-3</v>
      </c>
      <c r="V359" s="30">
        <f t="shared" ca="1" si="51"/>
        <v>-2.2302394227615603E-2</v>
      </c>
      <c r="W359" s="30">
        <f t="shared" ca="1" si="54"/>
        <v>7.092966060009831E-2</v>
      </c>
      <c r="X359" s="30">
        <f t="shared" ca="1" si="52"/>
        <v>-7.5784915193071395E-3</v>
      </c>
      <c r="Y359" s="31">
        <f t="shared" ca="1" si="53"/>
        <v>3.3147923313662911E-2</v>
      </c>
    </row>
    <row r="360" spans="2:25" x14ac:dyDescent="0.45">
      <c r="B360" vm="3015">
        <f ca="1"/>
        <v>44684</v>
      </c>
      <c r="C360" vm="3016">
        <f ca="1"/>
        <v>281.77999999999997</v>
      </c>
      <c r="D360" vm="3015">
        <f ca="1"/>
        <v>44684</v>
      </c>
      <c r="E360" vm="3017">
        <f ca="1"/>
        <v>19.329999999999998</v>
      </c>
      <c r="F360" vm="3015">
        <f ca="1"/>
        <v>44684</v>
      </c>
      <c r="G360" vm="3018">
        <f ca="1"/>
        <v>208.56</v>
      </c>
      <c r="H360" vm="3015">
        <f ca="1"/>
        <v>44684</v>
      </c>
      <c r="I360" vm="3019">
        <f ca="1"/>
        <v>122.4</v>
      </c>
      <c r="J360" vm="3015">
        <f ca="1"/>
        <v>44684</v>
      </c>
      <c r="K360" vm="3020">
        <f ca="1"/>
        <v>29.47</v>
      </c>
      <c r="L360" vm="3015">
        <f ca="1"/>
        <v>44684</v>
      </c>
      <c r="M360" vm="3021">
        <f ca="1"/>
        <v>109.49</v>
      </c>
      <c r="N360" vm="3015">
        <f ca="1"/>
        <v>44684</v>
      </c>
      <c r="O360" vm="3022">
        <f ca="1"/>
        <v>432.8</v>
      </c>
      <c r="P360" vm="3015">
        <f ca="1"/>
        <v>44684</v>
      </c>
      <c r="Q360" vm="3023">
        <f ca="1"/>
        <v>34.340000000000003</v>
      </c>
      <c r="R360" s="29">
        <f t="shared" ca="1" si="47"/>
        <v>-9.4561816711781713E-3</v>
      </c>
      <c r="S360" s="30">
        <f t="shared" ca="1" si="48"/>
        <v>1.0983263598326218E-2</v>
      </c>
      <c r="T360" s="30">
        <f t="shared" ca="1" si="49"/>
        <v>-1.4040561622464894E-2</v>
      </c>
      <c r="U360" s="30">
        <f t="shared" ca="1" si="50"/>
        <v>2.3668144183323681E-2</v>
      </c>
      <c r="V360" s="30">
        <f t="shared" ca="1" si="51"/>
        <v>-1.1405568601140552E-2</v>
      </c>
      <c r="W360" s="30">
        <f t="shared" ca="1" si="54"/>
        <v>5.7872496784860871E-3</v>
      </c>
      <c r="X360" s="30">
        <f t="shared" ca="1" si="52"/>
        <v>-1.6363636363636337E-2</v>
      </c>
      <c r="Y360" s="31">
        <f t="shared" ca="1" si="53"/>
        <v>-6.1517859582957489E-2</v>
      </c>
    </row>
    <row r="361" spans="2:25" x14ac:dyDescent="0.45">
      <c r="B361" vm="3024">
        <f ca="1"/>
        <v>44685</v>
      </c>
      <c r="C361" vm="3025">
        <f ca="1"/>
        <v>289.98</v>
      </c>
      <c r="D361" vm="3024">
        <f ca="1"/>
        <v>44685</v>
      </c>
      <c r="E361" vm="3026">
        <f ca="1"/>
        <v>19.95</v>
      </c>
      <c r="F361" vm="3024">
        <f ca="1"/>
        <v>44685</v>
      </c>
      <c r="G361" vm="3027">
        <f ca="1"/>
        <v>214.52</v>
      </c>
      <c r="H361" vm="3024">
        <f ca="1"/>
        <v>44685</v>
      </c>
      <c r="I361" vm="3028">
        <f ca="1"/>
        <v>126.3</v>
      </c>
      <c r="J361" vm="3024">
        <f ca="1"/>
        <v>44685</v>
      </c>
      <c r="K361" vm="3029">
        <f ca="1"/>
        <v>30.21</v>
      </c>
      <c r="L361" vm="3024">
        <f ca="1"/>
        <v>44685</v>
      </c>
      <c r="M361" vm="3030">
        <f ca="1"/>
        <v>112.55</v>
      </c>
      <c r="N361" vm="3024">
        <f ca="1"/>
        <v>44685</v>
      </c>
      <c r="O361" vm="2820">
        <f ca="1"/>
        <v>397.6</v>
      </c>
      <c r="P361" vm="3024">
        <f ca="1"/>
        <v>44685</v>
      </c>
      <c r="Q361" vm="3031">
        <f ca="1"/>
        <v>36.643999999999998</v>
      </c>
      <c r="R361" s="29">
        <f t="shared" ca="1" si="47"/>
        <v>2.9100716871318214E-2</v>
      </c>
      <c r="S361" s="30">
        <f t="shared" ca="1" si="48"/>
        <v>3.207449560269017E-2</v>
      </c>
      <c r="T361" s="30">
        <f t="shared" ca="1" si="49"/>
        <v>2.8576908323743804E-2</v>
      </c>
      <c r="U361" s="30">
        <f t="shared" ca="1" si="50"/>
        <v>3.1862745098039144E-2</v>
      </c>
      <c r="V361" s="30">
        <f t="shared" ca="1" si="51"/>
        <v>2.5110281642348218E-2</v>
      </c>
      <c r="W361" s="30">
        <f t="shared" ca="1" si="54"/>
        <v>2.794775778609921E-2</v>
      </c>
      <c r="X361" s="30">
        <f t="shared" ca="1" si="52"/>
        <v>-8.1330868761552655E-2</v>
      </c>
      <c r="Y361" s="31">
        <f t="shared" ca="1" si="53"/>
        <v>6.7093768200349291E-2</v>
      </c>
    </row>
    <row r="362" spans="2:25" x14ac:dyDescent="0.45">
      <c r="B362" vm="3032">
        <f ca="1"/>
        <v>44686</v>
      </c>
      <c r="C362" vm="3033">
        <f ca="1"/>
        <v>277.35000000000002</v>
      </c>
      <c r="D362" vm="3032">
        <f ca="1"/>
        <v>44686</v>
      </c>
      <c r="E362" vm="3026">
        <f ca="1"/>
        <v>19.95</v>
      </c>
      <c r="F362" vm="3032">
        <f ca="1"/>
        <v>44686</v>
      </c>
      <c r="G362" vm="3034">
        <f ca="1"/>
        <v>205.24</v>
      </c>
      <c r="H362" vm="3032">
        <f ca="1"/>
        <v>44686</v>
      </c>
      <c r="I362" vm="386">
        <f ca="1"/>
        <v>122.15</v>
      </c>
      <c r="J362" vm="3032">
        <f ca="1"/>
        <v>44686</v>
      </c>
      <c r="K362" vm="936">
        <f ca="1"/>
        <v>27.85</v>
      </c>
      <c r="L362" vm="3032">
        <f ca="1"/>
        <v>44686</v>
      </c>
      <c r="M362" vm="3035">
        <f ca="1"/>
        <v>105.59</v>
      </c>
      <c r="N362" vm="3032">
        <f ca="1"/>
        <v>44686</v>
      </c>
      <c r="O362" vm="3036">
        <f ca="1"/>
        <v>432</v>
      </c>
      <c r="P362" vm="3032">
        <f ca="1"/>
        <v>44686</v>
      </c>
      <c r="Q362" vm="3037">
        <f ca="1"/>
        <v>31.452000000000002</v>
      </c>
      <c r="R362" s="29">
        <f t="shared" ca="1" si="47"/>
        <v>-4.3554727912269796E-2</v>
      </c>
      <c r="S362" s="30">
        <f t="shared" ca="1" si="48"/>
        <v>0</v>
      </c>
      <c r="T362" s="30">
        <f t="shared" ca="1" si="49"/>
        <v>-4.3259369755733731E-2</v>
      </c>
      <c r="U362" s="30">
        <f t="shared" ca="1" si="50"/>
        <v>-3.2858273950910462E-2</v>
      </c>
      <c r="V362" s="30">
        <f t="shared" ca="1" si="51"/>
        <v>-7.8119827871565684E-2</v>
      </c>
      <c r="W362" s="30">
        <f t="shared" ca="1" si="54"/>
        <v>-6.1839182585517495E-2</v>
      </c>
      <c r="X362" s="30">
        <f t="shared" ca="1" si="52"/>
        <v>8.6519114688128715E-2</v>
      </c>
      <c r="Y362" s="31">
        <f t="shared" ca="1" si="53"/>
        <v>-0.14168758869119083</v>
      </c>
    </row>
    <row r="363" spans="2:25" x14ac:dyDescent="0.45">
      <c r="B363" vm="3038">
        <f ca="1"/>
        <v>44687</v>
      </c>
      <c r="C363" vm="3039">
        <f ca="1"/>
        <v>274.73</v>
      </c>
      <c r="D363" vm="3038">
        <f ca="1"/>
        <v>44687</v>
      </c>
      <c r="E363" vm="3040">
        <f ca="1"/>
        <v>20.03</v>
      </c>
      <c r="F363" vm="3038">
        <f ca="1"/>
        <v>44687</v>
      </c>
      <c r="G363" vm="3041">
        <f ca="1"/>
        <v>202.82</v>
      </c>
      <c r="H363" vm="3038">
        <f ca="1"/>
        <v>44687</v>
      </c>
      <c r="I363" vm="3042">
        <f ca="1"/>
        <v>121.08</v>
      </c>
      <c r="J363" vm="3038">
        <f ca="1"/>
        <v>44687</v>
      </c>
      <c r="K363" vm="3043">
        <f ca="1"/>
        <v>27.22</v>
      </c>
      <c r="L363" vm="3038">
        <f ca="1"/>
        <v>44687</v>
      </c>
      <c r="M363" vm="3044">
        <f ca="1"/>
        <v>104.68</v>
      </c>
      <c r="N363" vm="3038">
        <f ca="1"/>
        <v>44687</v>
      </c>
      <c r="O363" vm="1735">
        <f ca="1"/>
        <v>433.12</v>
      </c>
      <c r="P363" vm="3038">
        <f ca="1"/>
        <v>44687</v>
      </c>
      <c r="Q363" vm="3045">
        <f ca="1"/>
        <v>29.423999999999999</v>
      </c>
      <c r="R363" s="29">
        <f t="shared" ca="1" si="47"/>
        <v>-9.4465476834325011E-3</v>
      </c>
      <c r="S363" s="30">
        <f t="shared" ca="1" si="48"/>
        <v>4.0100250626567344E-3</v>
      </c>
      <c r="T363" s="30">
        <f t="shared" ca="1" si="49"/>
        <v>-1.1791073864743791E-2</v>
      </c>
      <c r="U363" s="30">
        <f t="shared" ca="1" si="50"/>
        <v>-8.7597216537045226E-3</v>
      </c>
      <c r="V363" s="30">
        <f t="shared" ca="1" si="51"/>
        <v>-2.2621184919210145E-2</v>
      </c>
      <c r="W363" s="30">
        <f t="shared" ca="1" si="54"/>
        <v>-8.6182403636707698E-3</v>
      </c>
      <c r="X363" s="30">
        <f t="shared" ca="1" si="52"/>
        <v>2.5925925925926029E-3</v>
      </c>
      <c r="Y363" s="31">
        <f t="shared" ca="1" si="53"/>
        <v>-6.4479206409767328E-2</v>
      </c>
    </row>
    <row r="364" spans="2:25" x14ac:dyDescent="0.45">
      <c r="B364" vm="3046">
        <f ca="1"/>
        <v>44690</v>
      </c>
      <c r="C364" vm="3047">
        <f ca="1"/>
        <v>264.58</v>
      </c>
      <c r="D364" vm="3046">
        <f ca="1"/>
        <v>44690</v>
      </c>
      <c r="E364" vm="3048">
        <f ca="1"/>
        <v>19.55</v>
      </c>
      <c r="F364" vm="3046">
        <f ca="1"/>
        <v>44690</v>
      </c>
      <c r="G364" vm="3049">
        <f ca="1"/>
        <v>193</v>
      </c>
      <c r="H364" vm="3046">
        <f ca="1"/>
        <v>44690</v>
      </c>
      <c r="I364" vm="3050">
        <f ca="1"/>
        <v>113.11</v>
      </c>
      <c r="J364" vm="3046">
        <f ca="1"/>
        <v>44690</v>
      </c>
      <c r="K364" vm="3051">
        <f ca="1"/>
        <v>25.9</v>
      </c>
      <c r="L364" vm="3046">
        <f ca="1"/>
        <v>44690</v>
      </c>
      <c r="M364" vm="3052">
        <f ca="1"/>
        <v>94.44</v>
      </c>
      <c r="N364" vm="3046">
        <f ca="1"/>
        <v>44690</v>
      </c>
      <c r="O364" vm="1479">
        <f ca="1"/>
        <v>448.16</v>
      </c>
      <c r="P364" vm="3046">
        <f ca="1"/>
        <v>44690</v>
      </c>
      <c r="Q364" vm="3053">
        <f ca="1"/>
        <v>21.905000000000001</v>
      </c>
      <c r="R364" s="29">
        <f t="shared" ca="1" si="47"/>
        <v>-3.694536453973004E-2</v>
      </c>
      <c r="S364" s="30">
        <f t="shared" ca="1" si="48"/>
        <v>-2.3964053919121337E-2</v>
      </c>
      <c r="T364" s="30">
        <f t="shared" ca="1" si="49"/>
        <v>-4.8417315846563426E-2</v>
      </c>
      <c r="U364" s="30">
        <f t="shared" ca="1" si="50"/>
        <v>-6.5824248430789559E-2</v>
      </c>
      <c r="V364" s="30">
        <f t="shared" ca="1" si="51"/>
        <v>-4.849375459221162E-2</v>
      </c>
      <c r="W364" s="30">
        <f t="shared" ca="1" si="54"/>
        <v>-9.7821933511654649E-2</v>
      </c>
      <c r="X364" s="30">
        <f t="shared" ca="1" si="52"/>
        <v>3.4724787587735548E-2</v>
      </c>
      <c r="Y364" s="31">
        <f t="shared" ca="1" si="53"/>
        <v>-0.25553969548667749</v>
      </c>
    </row>
    <row r="365" spans="2:25" x14ac:dyDescent="0.45">
      <c r="B365" vm="3054">
        <f ca="1"/>
        <v>44691</v>
      </c>
      <c r="C365" vm="3055">
        <f ca="1"/>
        <v>269.5</v>
      </c>
      <c r="D365" vm="3054">
        <f ca="1"/>
        <v>44691</v>
      </c>
      <c r="E365" vm="3056">
        <f ca="1"/>
        <v>19.36</v>
      </c>
      <c r="F365" vm="3054">
        <f ca="1"/>
        <v>44691</v>
      </c>
      <c r="G365" vm="3057">
        <f ca="1"/>
        <v>193.58</v>
      </c>
      <c r="H365" vm="3054">
        <f ca="1"/>
        <v>44691</v>
      </c>
      <c r="I365" vm="3058">
        <f ca="1"/>
        <v>116.64</v>
      </c>
      <c r="J365" vm="3054">
        <f ca="1"/>
        <v>44691</v>
      </c>
      <c r="K365" vm="3059">
        <f ca="1"/>
        <v>25.54</v>
      </c>
      <c r="L365" vm="3054">
        <f ca="1"/>
        <v>44691</v>
      </c>
      <c r="M365" vm="3060">
        <f ca="1"/>
        <v>99.17</v>
      </c>
      <c r="N365" vm="3054">
        <f ca="1"/>
        <v>44691</v>
      </c>
      <c r="O365" vm="3061">
        <f ca="1"/>
        <v>432.88</v>
      </c>
      <c r="P365" vm="3054">
        <f ca="1"/>
        <v>44691</v>
      </c>
      <c r="Q365" vm="3062">
        <f ca="1"/>
        <v>22.552</v>
      </c>
      <c r="R365" s="29">
        <f t="shared" ca="1" si="47"/>
        <v>1.859550986469127E-2</v>
      </c>
      <c r="S365" s="30">
        <f t="shared" ca="1" si="48"/>
        <v>-9.7186700767264069E-3</v>
      </c>
      <c r="T365" s="30">
        <f t="shared" ca="1" si="49"/>
        <v>3.0051813471503237E-3</v>
      </c>
      <c r="U365" s="30">
        <f t="shared" ca="1" si="50"/>
        <v>3.1208558040845207E-2</v>
      </c>
      <c r="V365" s="30">
        <f t="shared" ca="1" si="51"/>
        <v>-1.3899613899613878E-2</v>
      </c>
      <c r="W365" s="30">
        <f t="shared" ca="1" si="54"/>
        <v>5.0084709868699749E-2</v>
      </c>
      <c r="X365" s="30">
        <f t="shared" ca="1" si="52"/>
        <v>-3.4094966083541657E-2</v>
      </c>
      <c r="Y365" s="31">
        <f t="shared" ca="1" si="53"/>
        <v>2.95366354713535E-2</v>
      </c>
    </row>
    <row r="366" spans="2:25" x14ac:dyDescent="0.45">
      <c r="B366" vm="3063">
        <f ca="1"/>
        <v>44692</v>
      </c>
      <c r="C366" vm="3064">
        <f ca="1"/>
        <v>260.55</v>
      </c>
      <c r="D366" vm="3063">
        <f ca="1"/>
        <v>44692</v>
      </c>
      <c r="E366" vm="2940">
        <f ca="1"/>
        <v>19.43</v>
      </c>
      <c r="F366" vm="3063">
        <f ca="1"/>
        <v>44692</v>
      </c>
      <c r="G366" vm="3065">
        <f ca="1"/>
        <v>196.72</v>
      </c>
      <c r="H366" vm="3063">
        <f ca="1"/>
        <v>44692</v>
      </c>
      <c r="I366" vm="3066">
        <f ca="1"/>
        <v>113.99</v>
      </c>
      <c r="J366" vm="3063">
        <f ca="1"/>
        <v>44692</v>
      </c>
      <c r="K366" vm="3067">
        <f ca="1"/>
        <v>24.72</v>
      </c>
      <c r="L366" vm="3063">
        <f ca="1"/>
        <v>44692</v>
      </c>
      <c r="M366" vm="3068">
        <f ca="1"/>
        <v>91.94</v>
      </c>
      <c r="N366" vm="3063">
        <f ca="1"/>
        <v>44692</v>
      </c>
      <c r="O366" vm="3069">
        <f ca="1"/>
        <v>436.48</v>
      </c>
      <c r="P366" vm="3063">
        <f ca="1"/>
        <v>44692</v>
      </c>
      <c r="Q366" vm="3070">
        <f ca="1"/>
        <v>16.82</v>
      </c>
      <c r="R366" s="29">
        <f t="shared" ca="1" si="47"/>
        <v>-3.320964749536174E-2</v>
      </c>
      <c r="S366" s="30">
        <f t="shared" ca="1" si="48"/>
        <v>3.6157024793388578E-3</v>
      </c>
      <c r="T366" s="30">
        <f t="shared" ca="1" si="49"/>
        <v>1.6220683954953952E-2</v>
      </c>
      <c r="U366" s="30">
        <f t="shared" ca="1" si="50"/>
        <v>-2.2719478737997303E-2</v>
      </c>
      <c r="V366" s="30">
        <f t="shared" ca="1" si="51"/>
        <v>-3.2106499608457337E-2</v>
      </c>
      <c r="W366" s="30">
        <f t="shared" ca="1" si="54"/>
        <v>-7.2905112433195557E-2</v>
      </c>
      <c r="X366" s="30">
        <f t="shared" ca="1" si="52"/>
        <v>8.3163925337276443E-3</v>
      </c>
      <c r="Y366" s="31">
        <f t="shared" ca="1" si="53"/>
        <v>-0.25416814473217453</v>
      </c>
    </row>
    <row r="367" spans="2:25" x14ac:dyDescent="0.45">
      <c r="B367" vm="3071">
        <f ca="1"/>
        <v>44693</v>
      </c>
      <c r="C367" vm="3072">
        <f ca="1"/>
        <v>255.35</v>
      </c>
      <c r="D367" vm="3071">
        <f ca="1"/>
        <v>44693</v>
      </c>
      <c r="E367" vm="3073">
        <f ca="1"/>
        <v>19.72</v>
      </c>
      <c r="F367" vm="3071">
        <f ca="1"/>
        <v>44693</v>
      </c>
      <c r="G367" vm="3074">
        <f ca="1"/>
        <v>193.97</v>
      </c>
      <c r="H367" vm="3071">
        <f ca="1"/>
        <v>44693</v>
      </c>
      <c r="I367" vm="3075">
        <f ca="1"/>
        <v>116.13</v>
      </c>
      <c r="J367" vm="3071">
        <f ca="1"/>
        <v>44693</v>
      </c>
      <c r="K367" vm="1313">
        <f ca="1"/>
        <v>24.22</v>
      </c>
      <c r="L367" vm="3071">
        <f ca="1"/>
        <v>44693</v>
      </c>
      <c r="M367" vm="3076">
        <f ca="1"/>
        <v>97.08</v>
      </c>
      <c r="N367" vm="3071">
        <f ca="1"/>
        <v>44693</v>
      </c>
      <c r="O367" vm="3077">
        <f ca="1"/>
        <v>430.88</v>
      </c>
      <c r="P367" vm="3071">
        <f ca="1"/>
        <v>44693</v>
      </c>
      <c r="Q367" vm="3078">
        <f ca="1"/>
        <v>17.117999999999999</v>
      </c>
      <c r="R367" s="29">
        <f t="shared" ca="1" si="47"/>
        <v>-1.995778161581277E-2</v>
      </c>
      <c r="S367" s="30">
        <f t="shared" ca="1" si="48"/>
        <v>1.4925373134328315E-2</v>
      </c>
      <c r="T367" s="30">
        <f t="shared" ca="1" si="49"/>
        <v>-1.3979259861732412E-2</v>
      </c>
      <c r="U367" s="30">
        <f t="shared" ca="1" si="50"/>
        <v>1.8773576629528912E-2</v>
      </c>
      <c r="V367" s="30">
        <f t="shared" ca="1" si="51"/>
        <v>-2.0226537216828482E-2</v>
      </c>
      <c r="W367" s="30">
        <f t="shared" ca="1" si="54"/>
        <v>5.5906025668914519E-2</v>
      </c>
      <c r="X367" s="30">
        <f t="shared" ca="1" si="52"/>
        <v>-1.2829912023460462E-2</v>
      </c>
      <c r="Y367" s="31">
        <f t="shared" ca="1" si="53"/>
        <v>1.7717003567181824E-2</v>
      </c>
    </row>
    <row r="368" spans="2:25" x14ac:dyDescent="0.45">
      <c r="B368" vm="3079">
        <f ca="1"/>
        <v>44694</v>
      </c>
      <c r="C368" vm="3080">
        <f ca="1"/>
        <v>261.12</v>
      </c>
      <c r="D368" vm="3079">
        <f ca="1"/>
        <v>44694</v>
      </c>
      <c r="E368" vm="3081">
        <f ca="1"/>
        <v>19.84</v>
      </c>
      <c r="F368" vm="3079">
        <f ca="1"/>
        <v>44694</v>
      </c>
      <c r="G368" vm="3082">
        <f ca="1"/>
        <v>199.23</v>
      </c>
      <c r="H368" vm="3079">
        <f ca="1"/>
        <v>44694</v>
      </c>
      <c r="I368" vm="3083">
        <f ca="1"/>
        <v>119.38</v>
      </c>
      <c r="J368" vm="3079">
        <f ca="1"/>
        <v>44694</v>
      </c>
      <c r="K368" vm="3084">
        <f ca="1"/>
        <v>24.4</v>
      </c>
      <c r="L368" vm="3079">
        <f ca="1"/>
        <v>44694</v>
      </c>
      <c r="M368" vm="3085">
        <f ca="1"/>
        <v>106.09</v>
      </c>
      <c r="N368" vm="3079">
        <f ca="1"/>
        <v>44694</v>
      </c>
      <c r="O368" vm="3086">
        <f ca="1"/>
        <v>415.52</v>
      </c>
      <c r="P368" vm="3079">
        <f ca="1"/>
        <v>44694</v>
      </c>
      <c r="Q368" vm="3087">
        <f ca="1"/>
        <v>20.457000000000001</v>
      </c>
      <c r="R368" s="29">
        <f t="shared" ca="1" si="47"/>
        <v>2.259643626395148E-2</v>
      </c>
      <c r="S368" s="30">
        <f t="shared" ca="1" si="48"/>
        <v>6.0851926977688138E-3</v>
      </c>
      <c r="T368" s="30">
        <f t="shared" ca="1" si="49"/>
        <v>2.7117595504459406E-2</v>
      </c>
      <c r="U368" s="30">
        <f t="shared" ca="1" si="50"/>
        <v>2.7985877895461982E-2</v>
      </c>
      <c r="V368" s="30">
        <f t="shared" ca="1" si="51"/>
        <v>7.4318744838975936E-3</v>
      </c>
      <c r="W368" s="30">
        <f t="shared" ca="1" si="54"/>
        <v>9.2810053564070918E-2</v>
      </c>
      <c r="X368" s="30">
        <f t="shared" ca="1" si="52"/>
        <v>-3.5647976234682542E-2</v>
      </c>
      <c r="Y368" s="31">
        <f t="shared" ca="1" si="53"/>
        <v>0.19505783385909584</v>
      </c>
    </row>
    <row r="369" spans="2:25" x14ac:dyDescent="0.45">
      <c r="B369" vm="3088">
        <f ca="1"/>
        <v>44697</v>
      </c>
      <c r="C369" vm="3089">
        <f ca="1"/>
        <v>261.5</v>
      </c>
      <c r="D369" vm="3088">
        <f ca="1"/>
        <v>44697</v>
      </c>
      <c r="E369" vm="3090">
        <f ca="1"/>
        <v>20.28</v>
      </c>
      <c r="F369" vm="3088">
        <f ca="1"/>
        <v>44697</v>
      </c>
      <c r="G369" vm="3091">
        <f ca="1"/>
        <v>197.81</v>
      </c>
      <c r="H369" vm="3088">
        <f ca="1"/>
        <v>44697</v>
      </c>
      <c r="I369" vm="3092">
        <f ca="1"/>
        <v>120.3</v>
      </c>
      <c r="J369" vm="3088">
        <f ca="1"/>
        <v>44697</v>
      </c>
      <c r="K369" vm="3093">
        <f ca="1"/>
        <v>24.3</v>
      </c>
      <c r="L369" vm="3088">
        <f ca="1"/>
        <v>44697</v>
      </c>
      <c r="M369" vm="3094">
        <f ca="1"/>
        <v>101.05</v>
      </c>
      <c r="N369" vm="3088">
        <f ca="1"/>
        <v>44697</v>
      </c>
      <c r="O369" vm="3095">
        <f ca="1"/>
        <v>395.04</v>
      </c>
      <c r="P369" vm="3088">
        <f ca="1"/>
        <v>44697</v>
      </c>
      <c r="Q369" vm="3096">
        <f ca="1"/>
        <v>20.151</v>
      </c>
      <c r="R369" s="29">
        <f t="shared" ca="1" si="47"/>
        <v>1.4552696078431197E-3</v>
      </c>
      <c r="S369" s="30">
        <f t="shared" ca="1" si="48"/>
        <v>2.2177419354838773E-2</v>
      </c>
      <c r="T369" s="30">
        <f t="shared" ca="1" si="49"/>
        <v>-7.1274406464889202E-3</v>
      </c>
      <c r="U369" s="30">
        <f t="shared" ca="1" si="50"/>
        <v>7.7064834980733934E-3</v>
      </c>
      <c r="V369" s="30">
        <f t="shared" ca="1" si="51"/>
        <v>-4.0983606557376175E-3</v>
      </c>
      <c r="W369" s="30">
        <f t="shared" ca="1" si="54"/>
        <v>-4.7506833820341279E-2</v>
      </c>
      <c r="X369" s="30">
        <f t="shared" ca="1" si="52"/>
        <v>-4.9287639584135449E-2</v>
      </c>
      <c r="Y369" s="31">
        <f t="shared" ca="1" si="53"/>
        <v>-1.4958205015398197E-2</v>
      </c>
    </row>
    <row r="370" spans="2:25" x14ac:dyDescent="0.45">
      <c r="B370" vm="3097">
        <f ca="1"/>
        <v>44698</v>
      </c>
      <c r="C370" vm="3098">
        <f ca="1"/>
        <v>266.82</v>
      </c>
      <c r="D370" vm="3097">
        <f ca="1"/>
        <v>44698</v>
      </c>
      <c r="E370" vm="3099">
        <f ca="1"/>
        <v>20.57</v>
      </c>
      <c r="F370" vm="3097">
        <f ca="1"/>
        <v>44698</v>
      </c>
      <c r="G370" vm="3100">
        <f ca="1"/>
        <v>204</v>
      </c>
      <c r="H370" vm="3097">
        <f ca="1"/>
        <v>44698</v>
      </c>
      <c r="I370" vm="3101">
        <f ca="1"/>
        <v>123.08</v>
      </c>
      <c r="J370" vm="3097">
        <f ca="1"/>
        <v>44698</v>
      </c>
      <c r="K370" vm="2027">
        <f ca="1"/>
        <v>25.23</v>
      </c>
      <c r="L370" vm="3097">
        <f ca="1"/>
        <v>44698</v>
      </c>
      <c r="M370" vm="3102">
        <f ca="1"/>
        <v>105.06</v>
      </c>
      <c r="N370" vm="3097">
        <f ca="1"/>
        <v>44698</v>
      </c>
      <c r="O370" vm="1835">
        <f ca="1"/>
        <v>396.64</v>
      </c>
      <c r="P370" vm="3097">
        <f ca="1"/>
        <v>44698</v>
      </c>
      <c r="Q370" vm="3103">
        <f ca="1"/>
        <v>22.486999999999998</v>
      </c>
      <c r="R370" s="29">
        <f t="shared" ca="1" si="47"/>
        <v>2.0344168260038216E-2</v>
      </c>
      <c r="S370" s="30">
        <f t="shared" ca="1" si="48"/>
        <v>1.429980276134118E-2</v>
      </c>
      <c r="T370" s="30">
        <f t="shared" ca="1" si="49"/>
        <v>3.1292654567514268E-2</v>
      </c>
      <c r="U370" s="30">
        <f t="shared" ca="1" si="50"/>
        <v>2.31088944305902E-2</v>
      </c>
      <c r="V370" s="30">
        <f t="shared" ca="1" si="51"/>
        <v>3.8271604938271593E-2</v>
      </c>
      <c r="W370" s="30">
        <f t="shared" ca="1" si="54"/>
        <v>3.9683325086590851E-2</v>
      </c>
      <c r="X370" s="30">
        <f t="shared" ca="1" si="52"/>
        <v>4.0502227622518372E-3</v>
      </c>
      <c r="Y370" s="31">
        <f t="shared" ca="1" si="53"/>
        <v>0.11592476800158794</v>
      </c>
    </row>
    <row r="371" spans="2:25" x14ac:dyDescent="0.45">
      <c r="B371" vm="3104">
        <f ca="1"/>
        <v>44699</v>
      </c>
      <c r="C371" vm="3105">
        <f ca="1"/>
        <v>254.08</v>
      </c>
      <c r="D371" vm="3104">
        <f ca="1"/>
        <v>44699</v>
      </c>
      <c r="E371" vm="3106">
        <f ca="1"/>
        <v>20.23</v>
      </c>
      <c r="F371" vm="3104">
        <f ca="1"/>
        <v>44699</v>
      </c>
      <c r="G371" vm="3107">
        <f ca="1"/>
        <v>199.99</v>
      </c>
      <c r="H371" vm="3104">
        <f ca="1"/>
        <v>44699</v>
      </c>
      <c r="I371" vm="3108">
        <f ca="1"/>
        <v>120.79</v>
      </c>
      <c r="J371" vm="3104">
        <f ca="1"/>
        <v>44699</v>
      </c>
      <c r="K371" vm="3109">
        <f ca="1"/>
        <v>23.99</v>
      </c>
      <c r="L371" vm="3104">
        <f ca="1"/>
        <v>44699</v>
      </c>
      <c r="M371" vm="3110">
        <f ca="1"/>
        <v>104.4</v>
      </c>
      <c r="N371" vm="3104">
        <f ca="1"/>
        <v>44699</v>
      </c>
      <c r="O371" vm="1680">
        <f ca="1"/>
        <v>417.44</v>
      </c>
      <c r="P371" vm="3104">
        <f ca="1"/>
        <v>44699</v>
      </c>
      <c r="Q371" vm="3111">
        <f ca="1"/>
        <v>19.744</v>
      </c>
      <c r="R371" s="29">
        <f t="shared" ca="1" si="47"/>
        <v>-4.7747545161532047E-2</v>
      </c>
      <c r="S371" s="30">
        <f t="shared" ca="1" si="48"/>
        <v>-1.6528925619834704E-2</v>
      </c>
      <c r="T371" s="30">
        <f t="shared" ca="1" si="49"/>
        <v>-1.9656862745097994E-2</v>
      </c>
      <c r="U371" s="30">
        <f t="shared" ca="1" si="50"/>
        <v>-1.8605784855378549E-2</v>
      </c>
      <c r="V371" s="30">
        <f t="shared" ca="1" si="51"/>
        <v>-4.914783987316694E-2</v>
      </c>
      <c r="W371" s="30">
        <f t="shared" ca="1" si="54"/>
        <v>-6.2821245002855188E-3</v>
      </c>
      <c r="X371" s="30">
        <f t="shared" ca="1" si="52"/>
        <v>5.244050020169426E-2</v>
      </c>
      <c r="Y371" s="31">
        <f t="shared" ca="1" si="53"/>
        <v>-0.12198158936274286</v>
      </c>
    </row>
    <row r="372" spans="2:25" x14ac:dyDescent="0.45">
      <c r="B372" vm="3112">
        <f ca="1"/>
        <v>44700</v>
      </c>
      <c r="C372" vm="3113">
        <f ca="1"/>
        <v>253.14</v>
      </c>
      <c r="D372" vm="3112">
        <f ca="1"/>
        <v>44700</v>
      </c>
      <c r="E372" vm="2949">
        <f ca="1"/>
        <v>20.21</v>
      </c>
      <c r="F372" vm="3112">
        <f ca="1"/>
        <v>44700</v>
      </c>
      <c r="G372" vm="3114">
        <f ca="1"/>
        <v>197.37</v>
      </c>
      <c r="H372" vm="3112">
        <f ca="1"/>
        <v>44700</v>
      </c>
      <c r="I372" vm="3019">
        <f ca="1"/>
        <v>122.4</v>
      </c>
      <c r="J372" vm="3112">
        <f ca="1"/>
        <v>44700</v>
      </c>
      <c r="K372" vm="3115">
        <f ca="1"/>
        <v>24.25</v>
      </c>
      <c r="L372" vm="3112">
        <f ca="1"/>
        <v>44700</v>
      </c>
      <c r="M372" vm="3116">
        <f ca="1"/>
        <v>105.77</v>
      </c>
      <c r="N372" vm="3112">
        <f ca="1"/>
        <v>44700</v>
      </c>
      <c r="O372" vm="3117">
        <f ca="1"/>
        <v>405.68</v>
      </c>
      <c r="P372" vm="3112">
        <f ca="1"/>
        <v>44700</v>
      </c>
      <c r="Q372" vm="3118">
        <f ca="1"/>
        <v>21.077000000000002</v>
      </c>
      <c r="R372" s="29">
        <f t="shared" ca="1" si="47"/>
        <v>-3.6996221662469542E-3</v>
      </c>
      <c r="S372" s="30">
        <f t="shared" ca="1" si="48"/>
        <v>-9.8863074641619242E-4</v>
      </c>
      <c r="T372" s="30">
        <f t="shared" ca="1" si="49"/>
        <v>-1.310065503275166E-2</v>
      </c>
      <c r="U372" s="30">
        <f t="shared" ca="1" si="50"/>
        <v>1.3328917956784496E-2</v>
      </c>
      <c r="V372" s="30">
        <f t="shared" ca="1" si="51"/>
        <v>1.0837849103793313E-2</v>
      </c>
      <c r="W372" s="30">
        <f t="shared" ca="1" si="54"/>
        <v>1.3122605363984581E-2</v>
      </c>
      <c r="X372" s="30">
        <f t="shared" ca="1" si="52"/>
        <v>-2.8171713300114965E-2</v>
      </c>
      <c r="Y372" s="31">
        <f t="shared" ca="1" si="53"/>
        <v>6.7514181523500916E-2</v>
      </c>
    </row>
    <row r="373" spans="2:25" x14ac:dyDescent="0.45">
      <c r="B373" vm="3119">
        <f ca="1"/>
        <v>44701</v>
      </c>
      <c r="C373" vm="3120">
        <f ca="1"/>
        <v>252.56</v>
      </c>
      <c r="D373" vm="3119">
        <f ca="1"/>
        <v>44701</v>
      </c>
      <c r="E373" vm="3121">
        <f ca="1"/>
        <v>20.399999999999999</v>
      </c>
      <c r="F373" vm="3119">
        <f ca="1"/>
        <v>44701</v>
      </c>
      <c r="G373" vm="3122">
        <f ca="1"/>
        <v>199.03</v>
      </c>
      <c r="H373" vm="3119">
        <f ca="1"/>
        <v>44701</v>
      </c>
      <c r="I373" vm="3123">
        <f ca="1"/>
        <v>125.13</v>
      </c>
      <c r="J373" vm="3119">
        <f ca="1"/>
        <v>44701</v>
      </c>
      <c r="K373" vm="3124">
        <f ca="1"/>
        <v>23.79</v>
      </c>
      <c r="L373" vm="3119">
        <f ca="1"/>
        <v>44701</v>
      </c>
      <c r="M373" vm="3125">
        <f ca="1"/>
        <v>107.27</v>
      </c>
      <c r="N373" vm="3119">
        <f ca="1"/>
        <v>44701</v>
      </c>
      <c r="O373" vm="3126">
        <f ca="1"/>
        <v>400.8</v>
      </c>
      <c r="P373" vm="3119">
        <f ca="1"/>
        <v>44701</v>
      </c>
      <c r="Q373" vm="3127">
        <f ca="1"/>
        <v>20.274999999999999</v>
      </c>
      <c r="R373" s="29">
        <f t="shared" ca="1" si="47"/>
        <v>-2.2912222485580473E-3</v>
      </c>
      <c r="S373" s="30">
        <f t="shared" ca="1" si="48"/>
        <v>9.4012864918356122E-3</v>
      </c>
      <c r="T373" s="30">
        <f t="shared" ca="1" si="49"/>
        <v>8.4105993818715946E-3</v>
      </c>
      <c r="U373" s="30">
        <f t="shared" ca="1" si="50"/>
        <v>2.2303921568627365E-2</v>
      </c>
      <c r="V373" s="30">
        <f t="shared" ca="1" si="51"/>
        <v>-1.8969072164948489E-2</v>
      </c>
      <c r="W373" s="30">
        <f t="shared" ca="1" si="54"/>
        <v>1.4181715042072421E-2</v>
      </c>
      <c r="X373" s="30">
        <f t="shared" ca="1" si="52"/>
        <v>-1.2029185564977311E-2</v>
      </c>
      <c r="Y373" s="31">
        <f t="shared" ca="1" si="53"/>
        <v>-3.8050956018408841E-2</v>
      </c>
    </row>
    <row r="374" spans="2:25" x14ac:dyDescent="0.45">
      <c r="B374" vm="3128">
        <f ca="1"/>
        <v>44704</v>
      </c>
      <c r="C374" vm="3129">
        <f ca="1"/>
        <v>260.64999999999998</v>
      </c>
      <c r="D374" vm="3128">
        <f ca="1"/>
        <v>44704</v>
      </c>
      <c r="E374" vm="3130">
        <f ca="1"/>
        <v>20.74</v>
      </c>
      <c r="F374" vm="3128">
        <f ca="1"/>
        <v>44704</v>
      </c>
      <c r="G374" vm="3131">
        <f ca="1"/>
        <v>207.56</v>
      </c>
      <c r="H374" vm="3128">
        <f ca="1"/>
        <v>44704</v>
      </c>
      <c r="I374" vm="3132">
        <f ca="1"/>
        <v>125.98</v>
      </c>
      <c r="J374" vm="3128">
        <f ca="1"/>
        <v>44704</v>
      </c>
      <c r="K374" vm="3133">
        <f ca="1"/>
        <v>25.06</v>
      </c>
      <c r="L374" vm="3128">
        <f ca="1"/>
        <v>44704</v>
      </c>
      <c r="M374" vm="3134">
        <f ca="1"/>
        <v>109.07</v>
      </c>
      <c r="N374" vm="3128">
        <f ca="1"/>
        <v>44704</v>
      </c>
      <c r="O374" vm="3135">
        <f ca="1"/>
        <v>384.96</v>
      </c>
      <c r="P374" vm="3128">
        <f ca="1"/>
        <v>44704</v>
      </c>
      <c r="Q374" vm="3136">
        <f ca="1"/>
        <v>20.437000000000001</v>
      </c>
      <c r="R374" s="29">
        <f t="shared" ca="1" si="47"/>
        <v>3.203199239784596E-2</v>
      </c>
      <c r="S374" s="30">
        <f t="shared" ca="1" si="48"/>
        <v>1.6666666666666659E-2</v>
      </c>
      <c r="T374" s="30">
        <f t="shared" ca="1" si="49"/>
        <v>4.2857860624026536E-2</v>
      </c>
      <c r="U374" s="30">
        <f t="shared" ca="1" si="50"/>
        <v>6.7929353472389398E-3</v>
      </c>
      <c r="V374" s="30">
        <f t="shared" ca="1" si="51"/>
        <v>5.3383774695250089E-2</v>
      </c>
      <c r="W374" s="30">
        <f t="shared" ca="1" si="54"/>
        <v>1.6780087629346484E-2</v>
      </c>
      <c r="X374" s="30">
        <f t="shared" ca="1" si="52"/>
        <v>-3.9520958083832415E-2</v>
      </c>
      <c r="Y374" s="31">
        <f t="shared" ca="1" si="53"/>
        <v>7.9901356350186234E-3</v>
      </c>
    </row>
    <row r="375" spans="2:25" x14ac:dyDescent="0.45">
      <c r="B375" vm="3137">
        <f ca="1"/>
        <v>44705</v>
      </c>
      <c r="C375" vm="3138">
        <f ca="1"/>
        <v>259.62</v>
      </c>
      <c r="D375" vm="3137">
        <f ca="1"/>
        <v>44705</v>
      </c>
      <c r="E375" vm="3139">
        <f ca="1"/>
        <v>21.16</v>
      </c>
      <c r="F375" vm="3137">
        <f ca="1"/>
        <v>44705</v>
      </c>
      <c r="G375" vm="3140">
        <f ca="1"/>
        <v>202.63</v>
      </c>
      <c r="H375" vm="3137">
        <f ca="1"/>
        <v>44705</v>
      </c>
      <c r="I375" vm="3141">
        <f ca="1"/>
        <v>124.41</v>
      </c>
      <c r="J375" vm="3137">
        <f ca="1"/>
        <v>44705</v>
      </c>
      <c r="K375" vm="1006">
        <f ca="1"/>
        <v>24.32</v>
      </c>
      <c r="L375" vm="3137">
        <f ca="1"/>
        <v>44705</v>
      </c>
      <c r="M375" vm="3142">
        <f ca="1"/>
        <v>103.5</v>
      </c>
      <c r="N375" vm="3137">
        <f ca="1"/>
        <v>44705</v>
      </c>
      <c r="O375" vm="3143">
        <f ca="1"/>
        <v>384.48</v>
      </c>
      <c r="P375" vm="3137">
        <f ca="1"/>
        <v>44705</v>
      </c>
      <c r="Q375" vm="3144">
        <f ca="1"/>
        <v>19.300999999999998</v>
      </c>
      <c r="R375" s="29">
        <f t="shared" ca="1" si="47"/>
        <v>-3.9516593132552192E-3</v>
      </c>
      <c r="S375" s="30">
        <f t="shared" ca="1" si="48"/>
        <v>2.02507232401158E-2</v>
      </c>
      <c r="T375" s="30">
        <f t="shared" ca="1" si="49"/>
        <v>-2.3752168047793443E-2</v>
      </c>
      <c r="U375" s="30">
        <f t="shared" ca="1" si="50"/>
        <v>-1.2462295602476641E-2</v>
      </c>
      <c r="V375" s="30">
        <f t="shared" ca="1" si="51"/>
        <v>-2.9529130087789245E-2</v>
      </c>
      <c r="W375" s="30">
        <f t="shared" ca="1" si="54"/>
        <v>-5.1068121389933011E-2</v>
      </c>
      <c r="X375" s="30">
        <f t="shared" ca="1" si="52"/>
        <v>-1.2468827930173559E-3</v>
      </c>
      <c r="Y375" s="31">
        <f t="shared" ca="1" si="53"/>
        <v>-5.5585457748201922E-2</v>
      </c>
    </row>
    <row r="376" spans="2:25" x14ac:dyDescent="0.45">
      <c r="B376" vm="3145">
        <f ca="1"/>
        <v>44706</v>
      </c>
      <c r="C376" vm="3146">
        <f ca="1"/>
        <v>262.52</v>
      </c>
      <c r="D376" vm="3145">
        <f ca="1"/>
        <v>44706</v>
      </c>
      <c r="E376" vm="2426">
        <f ca="1"/>
        <v>21.3</v>
      </c>
      <c r="F376" vm="3145">
        <f ca="1"/>
        <v>44706</v>
      </c>
      <c r="G376" vm="3147">
        <f ca="1"/>
        <v>203.84</v>
      </c>
      <c r="H376" vm="3145">
        <f ca="1"/>
        <v>44706</v>
      </c>
      <c r="I376" vm="3148">
        <f ca="1"/>
        <v>120.38</v>
      </c>
      <c r="J376" vm="3145">
        <f ca="1"/>
        <v>44706</v>
      </c>
      <c r="K376" vm="729">
        <f ca="1"/>
        <v>24.63</v>
      </c>
      <c r="L376" vm="3145">
        <f ca="1"/>
        <v>44706</v>
      </c>
      <c r="M376" vm="3149">
        <f ca="1"/>
        <v>108.79</v>
      </c>
      <c r="N376" vm="3145">
        <f ca="1"/>
        <v>44706</v>
      </c>
      <c r="O376" vm="3150">
        <f ca="1"/>
        <v>378.4</v>
      </c>
      <c r="P376" vm="3145">
        <f ca="1"/>
        <v>44706</v>
      </c>
      <c r="Q376" vm="3151">
        <f ca="1"/>
        <v>19.812000000000001</v>
      </c>
      <c r="R376" s="29">
        <f t="shared" ca="1" si="47"/>
        <v>1.1170171789538469E-2</v>
      </c>
      <c r="S376" s="30">
        <f t="shared" ca="1" si="48"/>
        <v>6.6162570888469076E-3</v>
      </c>
      <c r="T376" s="30">
        <f t="shared" ca="1" si="49"/>
        <v>5.9714751024034351E-3</v>
      </c>
      <c r="U376" s="30">
        <f t="shared" ca="1" si="50"/>
        <v>-3.2392894461859986E-2</v>
      </c>
      <c r="V376" s="30">
        <f t="shared" ca="1" si="51"/>
        <v>1.2746710526315737E-2</v>
      </c>
      <c r="W376" s="30">
        <f t="shared" ca="1" si="54"/>
        <v>5.111111111111117E-2</v>
      </c>
      <c r="X376" s="30">
        <f t="shared" ca="1" si="52"/>
        <v>-1.5813566375364234E-2</v>
      </c>
      <c r="Y376" s="31">
        <f t="shared" ca="1" si="53"/>
        <v>2.6475312159991857E-2</v>
      </c>
    </row>
    <row r="377" spans="2:25" x14ac:dyDescent="0.45">
      <c r="B377" vm="3152">
        <f ca="1"/>
        <v>44707</v>
      </c>
      <c r="C377" vm="3153">
        <f ca="1"/>
        <v>265.89999999999998</v>
      </c>
      <c r="D377" vm="3152">
        <f ca="1"/>
        <v>44707</v>
      </c>
      <c r="E377" vm="221">
        <f ca="1"/>
        <v>21.32</v>
      </c>
      <c r="F377" vm="3152">
        <f ca="1"/>
        <v>44707</v>
      </c>
      <c r="G377" vm="3154">
        <f ca="1"/>
        <v>208.55</v>
      </c>
      <c r="H377" vm="3152">
        <f ca="1"/>
        <v>44707</v>
      </c>
      <c r="I377" vm="3155">
        <f ca="1"/>
        <v>123.85</v>
      </c>
      <c r="J377" vm="3152">
        <f ca="1"/>
        <v>44707</v>
      </c>
      <c r="K377" vm="3156">
        <f ca="1"/>
        <v>25.69</v>
      </c>
      <c r="L377" vm="3152">
        <f ca="1"/>
        <v>44707</v>
      </c>
      <c r="M377" vm="3157">
        <f ca="1"/>
        <v>108.62</v>
      </c>
      <c r="N377" vm="3152">
        <f ca="1"/>
        <v>44707</v>
      </c>
      <c r="O377" vm="3158">
        <f ca="1"/>
        <v>372.16</v>
      </c>
      <c r="P377" vm="3152">
        <f ca="1"/>
        <v>44707</v>
      </c>
      <c r="Q377" vm="3159">
        <f ca="1"/>
        <v>21.61</v>
      </c>
      <c r="R377" s="29">
        <f t="shared" ca="1" si="47"/>
        <v>1.2875209507847004E-2</v>
      </c>
      <c r="S377" s="30">
        <f t="shared" ca="1" si="48"/>
        <v>9.3896713615021466E-4</v>
      </c>
      <c r="T377" s="30">
        <f t="shared" ca="1" si="49"/>
        <v>2.310635792778654E-2</v>
      </c>
      <c r="U377" s="30">
        <f t="shared" ca="1" si="50"/>
        <v>2.8825386276790155E-2</v>
      </c>
      <c r="V377" s="30">
        <f t="shared" ca="1" si="51"/>
        <v>4.3036946812829976E-2</v>
      </c>
      <c r="W377" s="30">
        <f t="shared" ca="1" si="54"/>
        <v>-1.5626436253332265E-3</v>
      </c>
      <c r="X377" s="30">
        <f t="shared" ca="1" si="52"/>
        <v>-1.6490486257927994E-2</v>
      </c>
      <c r="Y377" s="31">
        <f t="shared" ca="1" si="53"/>
        <v>9.0753078942055226E-2</v>
      </c>
    </row>
    <row r="378" spans="2:25" x14ac:dyDescent="0.45">
      <c r="B378" vm="3160">
        <f ca="1"/>
        <v>44708</v>
      </c>
      <c r="C378" vm="3161">
        <f ca="1"/>
        <v>273.24</v>
      </c>
      <c r="D378" vm="3160">
        <f ca="1"/>
        <v>44708</v>
      </c>
      <c r="E378" vm="3162">
        <f ca="1"/>
        <v>21.29</v>
      </c>
      <c r="F378" vm="3160">
        <f ca="1"/>
        <v>44708</v>
      </c>
      <c r="G378" vm="3163">
        <f ca="1"/>
        <v>212.88</v>
      </c>
      <c r="H378" vm="3160">
        <f ca="1"/>
        <v>44708</v>
      </c>
      <c r="I378" vm="3164">
        <f ca="1"/>
        <v>130.55000000000001</v>
      </c>
      <c r="J378" vm="3160">
        <f ca="1"/>
        <v>44708</v>
      </c>
      <c r="K378" vm="3165">
        <f ca="1"/>
        <v>26.58</v>
      </c>
      <c r="L378" vm="3160">
        <f ca="1"/>
        <v>44708</v>
      </c>
      <c r="M378" vm="3166">
        <f ca="1"/>
        <v>112.97</v>
      </c>
      <c r="N378" vm="3160">
        <f ca="1"/>
        <v>44708</v>
      </c>
      <c r="O378" vm="3167">
        <f ca="1"/>
        <v>359.36</v>
      </c>
      <c r="P378" vm="3160">
        <f ca="1"/>
        <v>44708</v>
      </c>
      <c r="Q378" vm="3168">
        <f ca="1"/>
        <v>21.939</v>
      </c>
      <c r="R378" s="29">
        <f t="shared" ca="1" si="47"/>
        <v>2.760436254230926E-2</v>
      </c>
      <c r="S378" s="30">
        <f t="shared" ca="1" si="48"/>
        <v>-1.4071294559099971E-3</v>
      </c>
      <c r="T378" s="30">
        <f t="shared" ca="1" si="49"/>
        <v>2.0762407096619438E-2</v>
      </c>
      <c r="U378" s="30">
        <f t="shared" ca="1" si="50"/>
        <v>5.4097698829229046E-2</v>
      </c>
      <c r="V378" s="30">
        <f t="shared" ca="1" si="51"/>
        <v>3.4643830284157143E-2</v>
      </c>
      <c r="W378" s="30">
        <f t="shared" ca="1" si="54"/>
        <v>4.0047873319830549E-2</v>
      </c>
      <c r="X378" s="30">
        <f t="shared" ca="1" si="52"/>
        <v>-3.4393809114359443E-2</v>
      </c>
      <c r="Y378" s="31">
        <f t="shared" ca="1" si="53"/>
        <v>1.5224433132808914E-2</v>
      </c>
    </row>
    <row r="379" spans="2:25" x14ac:dyDescent="0.45">
      <c r="B379" vm="3169">
        <f ca="1"/>
        <v>44712</v>
      </c>
      <c r="C379" vm="3170">
        <f ca="1"/>
        <v>271.87</v>
      </c>
      <c r="D379" vm="3169">
        <f ca="1"/>
        <v>44712</v>
      </c>
      <c r="E379" vm="3162">
        <f ca="1"/>
        <v>21.29</v>
      </c>
      <c r="F379" vm="3169">
        <f ca="1"/>
        <v>44712</v>
      </c>
      <c r="G379" vm="3171">
        <f ca="1"/>
        <v>212.17</v>
      </c>
      <c r="H379" vm="3169">
        <f ca="1"/>
        <v>44712</v>
      </c>
      <c r="I379" vm="3172">
        <f ca="1"/>
        <v>127.56</v>
      </c>
      <c r="J379" vm="3169">
        <f ca="1"/>
        <v>44712</v>
      </c>
      <c r="K379" vm="1435">
        <f ca="1"/>
        <v>25.07</v>
      </c>
      <c r="L379" vm="3169">
        <f ca="1"/>
        <v>44712</v>
      </c>
      <c r="M379" vm="3173">
        <f ca="1"/>
        <v>112.77</v>
      </c>
      <c r="N379" vm="3169">
        <f ca="1"/>
        <v>44712</v>
      </c>
      <c r="O379" vm="3174">
        <f ca="1"/>
        <v>360.96</v>
      </c>
      <c r="P379" vm="3169">
        <f ca="1"/>
        <v>44712</v>
      </c>
      <c r="Q379" vm="3175">
        <f ca="1"/>
        <v>26.469000000000001</v>
      </c>
      <c r="R379" s="29">
        <f t="shared" ca="1" si="47"/>
        <v>-5.0139071878202478E-3</v>
      </c>
      <c r="S379" s="30">
        <f t="shared" ca="1" si="48"/>
        <v>0</v>
      </c>
      <c r="T379" s="30">
        <f t="shared" ca="1" si="49"/>
        <v>-3.335212326193198E-3</v>
      </c>
      <c r="U379" s="30">
        <f t="shared" ca="1" si="50"/>
        <v>-2.2903102259670693E-2</v>
      </c>
      <c r="V379" s="30">
        <f t="shared" ca="1" si="51"/>
        <v>-5.6809631301730557E-2</v>
      </c>
      <c r="W379" s="30">
        <f t="shared" ca="1" si="54"/>
        <v>-1.7703815172169855E-3</v>
      </c>
      <c r="X379" s="30">
        <f t="shared" ca="1" si="52"/>
        <v>4.4523597506677592E-3</v>
      </c>
      <c r="Y379" s="31">
        <f t="shared" ca="1" si="53"/>
        <v>0.20648160809517302</v>
      </c>
    </row>
    <row r="380" spans="2:25" x14ac:dyDescent="0.45">
      <c r="B380" vm="3176">
        <f ca="1"/>
        <v>44713</v>
      </c>
      <c r="C380" vm="3177">
        <f ca="1"/>
        <v>272.42</v>
      </c>
      <c r="D380" vm="3176">
        <f ca="1"/>
        <v>44713</v>
      </c>
      <c r="E380" vm="3178">
        <f ca="1"/>
        <v>21.22</v>
      </c>
      <c r="F380" vm="3176">
        <f ca="1"/>
        <v>44713</v>
      </c>
      <c r="G380" vm="3179">
        <f ca="1"/>
        <v>209.93</v>
      </c>
      <c r="H380" vm="3176">
        <f ca="1"/>
        <v>44713</v>
      </c>
      <c r="I380" vm="3180">
        <f ca="1"/>
        <v>123.09</v>
      </c>
      <c r="J380" vm="3176">
        <f ca="1"/>
        <v>44713</v>
      </c>
      <c r="K380" vm="720">
        <f ca="1"/>
        <v>25</v>
      </c>
      <c r="L380" vm="3176">
        <f ca="1"/>
        <v>44713</v>
      </c>
      <c r="M380" vm="3181">
        <f ca="1"/>
        <v>110</v>
      </c>
      <c r="N380" vm="3176">
        <f ca="1"/>
        <v>44713</v>
      </c>
      <c r="O380" vm="3182">
        <f ca="1"/>
        <v>356.16</v>
      </c>
      <c r="P380" vm="3176">
        <f ca="1"/>
        <v>44713</v>
      </c>
      <c r="Q380" vm="3183">
        <f ca="1"/>
        <v>23.814</v>
      </c>
      <c r="R380" s="29">
        <f t="shared" ca="1" si="47"/>
        <v>2.0230257108177119E-3</v>
      </c>
      <c r="S380" s="30">
        <f t="shared" ca="1" si="48"/>
        <v>-3.2879286049788767E-3</v>
      </c>
      <c r="T380" s="30">
        <f t="shared" ca="1" si="49"/>
        <v>-1.0557571758495456E-2</v>
      </c>
      <c r="U380" s="30">
        <f t="shared" ca="1" si="50"/>
        <v>-3.5042333019755401E-2</v>
      </c>
      <c r="V380" s="30">
        <f t="shared" ca="1" si="51"/>
        <v>-2.7921818907060345E-3</v>
      </c>
      <c r="W380" s="30">
        <f t="shared" ca="1" si="54"/>
        <v>-2.4563270373326205E-2</v>
      </c>
      <c r="X380" s="30">
        <f t="shared" ca="1" si="52"/>
        <v>-1.3297872340425407E-2</v>
      </c>
      <c r="Y380" s="31">
        <f t="shared" ca="1" si="53"/>
        <v>-0.1003060183611017</v>
      </c>
    </row>
    <row r="381" spans="2:25" x14ac:dyDescent="0.45">
      <c r="B381" vm="3184">
        <f ca="1"/>
        <v>44714</v>
      </c>
      <c r="C381" vm="3185">
        <f ca="1"/>
        <v>274.58</v>
      </c>
      <c r="D381" vm="3184">
        <f ca="1"/>
        <v>44714</v>
      </c>
      <c r="E381" vm="3186">
        <f ca="1"/>
        <v>21.19</v>
      </c>
      <c r="F381" vm="3184">
        <f ca="1"/>
        <v>44714</v>
      </c>
      <c r="G381" vm="3187">
        <f ca="1"/>
        <v>215.05</v>
      </c>
      <c r="H381" vm="3184">
        <f ca="1"/>
        <v>44714</v>
      </c>
      <c r="I381" vm="3188">
        <f ca="1"/>
        <v>129.1</v>
      </c>
      <c r="J381" vm="3184">
        <f ca="1"/>
        <v>44714</v>
      </c>
      <c r="K381" vm="3189">
        <f ca="1"/>
        <v>25.16</v>
      </c>
      <c r="L381" vm="3184">
        <f ca="1"/>
        <v>44714</v>
      </c>
      <c r="M381" vm="3190">
        <f ca="1"/>
        <v>116.5</v>
      </c>
      <c r="N381" vm="3184">
        <f ca="1"/>
        <v>44714</v>
      </c>
      <c r="O381" vm="1919">
        <f ca="1"/>
        <v>347.2</v>
      </c>
      <c r="P381" vm="3184">
        <f ca="1"/>
        <v>44714</v>
      </c>
      <c r="Q381" vm="3191">
        <f ca="1"/>
        <v>24.446000000000002</v>
      </c>
      <c r="R381" s="29">
        <f t="shared" ca="1" si="47"/>
        <v>7.9289332648115711E-3</v>
      </c>
      <c r="S381" s="30">
        <f t="shared" ca="1" si="48"/>
        <v>-1.4137606032044103E-3</v>
      </c>
      <c r="T381" s="30">
        <f t="shared" ca="1" si="49"/>
        <v>2.4389082074977395E-2</v>
      </c>
      <c r="U381" s="30">
        <f t="shared" ca="1" si="50"/>
        <v>4.8826062230887896E-2</v>
      </c>
      <c r="V381" s="30">
        <f t="shared" ca="1" si="51"/>
        <v>6.4000000000000055E-3</v>
      </c>
      <c r="W381" s="30">
        <f t="shared" ca="1" si="54"/>
        <v>5.909090909090909E-2</v>
      </c>
      <c r="X381" s="30">
        <f t="shared" ca="1" si="52"/>
        <v>-2.5157232704402618E-2</v>
      </c>
      <c r="Y381" s="31">
        <f t="shared" ca="1" si="53"/>
        <v>2.6539010665994855E-2</v>
      </c>
    </row>
    <row r="382" spans="2:25" x14ac:dyDescent="0.45">
      <c r="B382" vm="3192">
        <f ca="1"/>
        <v>44715</v>
      </c>
      <c r="C382" vm="3193">
        <f ca="1"/>
        <v>270.02</v>
      </c>
      <c r="D382" vm="3192">
        <f ca="1"/>
        <v>44715</v>
      </c>
      <c r="E382" vm="3194">
        <f ca="1"/>
        <v>20.9</v>
      </c>
      <c r="F382" vm="3192">
        <f ca="1"/>
        <v>44715</v>
      </c>
      <c r="G382" vm="40">
        <f ca="1"/>
        <v>212.65</v>
      </c>
      <c r="H382" vm="3192">
        <f ca="1"/>
        <v>44715</v>
      </c>
      <c r="I382" vm="3195">
        <f ca="1"/>
        <v>128.49</v>
      </c>
      <c r="J382" vm="3192">
        <f ca="1"/>
        <v>44715</v>
      </c>
      <c r="K382" vm="3196">
        <f ca="1"/>
        <v>24.94</v>
      </c>
      <c r="L382" vm="3192">
        <f ca="1"/>
        <v>44715</v>
      </c>
      <c r="M382" vm="3197">
        <f ca="1"/>
        <v>112.23</v>
      </c>
      <c r="N382" vm="3192">
        <f ca="1"/>
        <v>44715</v>
      </c>
      <c r="O382" vm="3198">
        <f ca="1"/>
        <v>350.24</v>
      </c>
      <c r="P382" vm="3192">
        <f ca="1"/>
        <v>44715</v>
      </c>
      <c r="Q382" vm="3199">
        <f ca="1"/>
        <v>22.722000000000001</v>
      </c>
      <c r="R382" s="29">
        <f t="shared" ca="1" si="47"/>
        <v>-1.6607181877776978E-2</v>
      </c>
      <c r="S382" s="30">
        <f t="shared" ca="1" si="48"/>
        <v>-1.3685700802265346E-2</v>
      </c>
      <c r="T382" s="30">
        <f t="shared" ca="1" si="49"/>
        <v>-1.1160195303417835E-2</v>
      </c>
      <c r="U382" s="30">
        <f t="shared" ca="1" si="50"/>
        <v>-4.725019364833348E-3</v>
      </c>
      <c r="V382" s="30">
        <f t="shared" ca="1" si="51"/>
        <v>-8.7440381558028159E-3</v>
      </c>
      <c r="W382" s="30">
        <f t="shared" ca="1" si="54"/>
        <v>-3.6652360515021423E-2</v>
      </c>
      <c r="X382" s="30">
        <f t="shared" ca="1" si="52"/>
        <v>8.755760368663653E-3</v>
      </c>
      <c r="Y382" s="31">
        <f t="shared" ca="1" si="53"/>
        <v>-7.0522784913687311E-2</v>
      </c>
    </row>
    <row r="383" spans="2:25" x14ac:dyDescent="0.45">
      <c r="B383" vm="3200">
        <f ca="1"/>
        <v>44718</v>
      </c>
      <c r="C383" vm="3201">
        <f ca="1"/>
        <v>268.75</v>
      </c>
      <c r="D383" vm="3200">
        <f ca="1"/>
        <v>44718</v>
      </c>
      <c r="E383" vm="3202">
        <f ca="1"/>
        <v>20.94</v>
      </c>
      <c r="F383" vm="3200">
        <f ca="1"/>
        <v>44718</v>
      </c>
      <c r="G383" vm="3203">
        <f ca="1"/>
        <v>212.94</v>
      </c>
      <c r="H383" vm="3200">
        <f ca="1"/>
        <v>44718</v>
      </c>
      <c r="I383" vm="3204">
        <f ca="1"/>
        <v>127.63</v>
      </c>
      <c r="J383" vm="3200">
        <f ca="1"/>
        <v>44718</v>
      </c>
      <c r="K383" vm="980">
        <f ca="1"/>
        <v>25.5</v>
      </c>
      <c r="L383" vm="3200">
        <f ca="1"/>
        <v>44718</v>
      </c>
      <c r="M383" vm="3205">
        <f ca="1"/>
        <v>111.04</v>
      </c>
      <c r="N383" vm="3200">
        <f ca="1"/>
        <v>44718</v>
      </c>
      <c r="O383" vm="3206">
        <f ca="1"/>
        <v>352.48</v>
      </c>
      <c r="P383" vm="3200">
        <f ca="1"/>
        <v>44718</v>
      </c>
      <c r="Q383" vm="3207">
        <f ca="1"/>
        <v>23.544</v>
      </c>
      <c r="R383" s="29">
        <f t="shared" ca="1" si="47"/>
        <v>-4.7033553070142285E-3</v>
      </c>
      <c r="S383" s="30">
        <f t="shared" ca="1" si="48"/>
        <v>1.9138755980862537E-3</v>
      </c>
      <c r="T383" s="30">
        <f t="shared" ca="1" si="49"/>
        <v>1.3637432400657983E-3</v>
      </c>
      <c r="U383" s="30">
        <f t="shared" ca="1" si="50"/>
        <v>-6.6931278698732473E-3</v>
      </c>
      <c r="V383" s="30">
        <f t="shared" ca="1" si="51"/>
        <v>2.2453889334402514E-2</v>
      </c>
      <c r="W383" s="30">
        <f t="shared" ca="1" si="54"/>
        <v>-1.0603225519023414E-2</v>
      </c>
      <c r="X383" s="30">
        <f t="shared" ca="1" si="52"/>
        <v>6.395614435815467E-3</v>
      </c>
      <c r="Y383" s="31">
        <f t="shared" ca="1" si="53"/>
        <v>3.6176392923158135E-2</v>
      </c>
    </row>
    <row r="384" spans="2:25" x14ac:dyDescent="0.45">
      <c r="B384" vm="3208">
        <f ca="1"/>
        <v>44719</v>
      </c>
      <c r="C384" vm="3209">
        <f ca="1"/>
        <v>272.5</v>
      </c>
      <c r="D384" vm="3208">
        <f ca="1"/>
        <v>44719</v>
      </c>
      <c r="E384" vm="3210">
        <f ca="1"/>
        <v>21.14</v>
      </c>
      <c r="F384" vm="3208">
        <f ca="1"/>
        <v>44719</v>
      </c>
      <c r="G384" vm="3211">
        <f ca="1"/>
        <v>214.5</v>
      </c>
      <c r="H384" vm="3208">
        <f ca="1"/>
        <v>44719</v>
      </c>
      <c r="I384" vm="3212">
        <f ca="1"/>
        <v>128.9</v>
      </c>
      <c r="J384" vm="3208">
        <f ca="1"/>
        <v>44719</v>
      </c>
      <c r="K384" vm="1164">
        <f ca="1"/>
        <v>25.8</v>
      </c>
      <c r="L384" vm="3208">
        <f ca="1"/>
        <v>44719</v>
      </c>
      <c r="M384" vm="3213">
        <f ca="1"/>
        <v>109.43</v>
      </c>
      <c r="N384" vm="3208">
        <f ca="1"/>
        <v>44719</v>
      </c>
      <c r="O384" vm="3214">
        <f ca="1"/>
        <v>346.72</v>
      </c>
      <c r="P384" vm="3208">
        <f ca="1"/>
        <v>44719</v>
      </c>
      <c r="Q384" vm="1247">
        <f ca="1"/>
        <v>24</v>
      </c>
      <c r="R384" s="29">
        <f t="shared" ca="1" si="47"/>
        <v>1.3953488372093023E-2</v>
      </c>
      <c r="S384" s="30">
        <f t="shared" ca="1" si="48"/>
        <v>9.5510983763132419E-3</v>
      </c>
      <c r="T384" s="30">
        <f t="shared" ca="1" si="49"/>
        <v>7.3260073260073364E-3</v>
      </c>
      <c r="U384" s="30">
        <f t="shared" ca="1" si="50"/>
        <v>9.9506385646008794E-3</v>
      </c>
      <c r="V384" s="30">
        <f t="shared" ca="1" si="51"/>
        <v>1.1764705882352969E-2</v>
      </c>
      <c r="W384" s="30">
        <f t="shared" ca="1" si="54"/>
        <v>-1.4499279538904893E-2</v>
      </c>
      <c r="X384" s="30">
        <f t="shared" ca="1" si="52"/>
        <v>-1.6341352700862434E-2</v>
      </c>
      <c r="Y384" s="31">
        <f t="shared" ca="1" si="53"/>
        <v>1.9367991845056044E-2</v>
      </c>
    </row>
    <row r="385" spans="2:25" x14ac:dyDescent="0.45">
      <c r="B385" vm="3215">
        <f ca="1"/>
        <v>44720</v>
      </c>
      <c r="C385" vm="3216">
        <f ca="1"/>
        <v>270.41000000000003</v>
      </c>
      <c r="D385" vm="3215">
        <f ca="1"/>
        <v>44720</v>
      </c>
      <c r="E385" vm="3217">
        <f ca="1"/>
        <v>21.05</v>
      </c>
      <c r="F385" vm="3215">
        <f ca="1"/>
        <v>44720</v>
      </c>
      <c r="G385" vm="3218">
        <f ca="1"/>
        <v>213.5</v>
      </c>
      <c r="H385" vm="3215">
        <f ca="1"/>
        <v>44720</v>
      </c>
      <c r="I385" vm="3219">
        <f ca="1"/>
        <v>126.84</v>
      </c>
      <c r="J385" vm="3215">
        <f ca="1"/>
        <v>44720</v>
      </c>
      <c r="K385" vm="3220">
        <f ca="1"/>
        <v>24.31</v>
      </c>
      <c r="L385" vm="3215">
        <f ca="1"/>
        <v>44720</v>
      </c>
      <c r="M385" vm="3221">
        <f ca="1"/>
        <v>116.03</v>
      </c>
      <c r="N385" vm="3215">
        <f ca="1"/>
        <v>44720</v>
      </c>
      <c r="O385" vm="3222">
        <f ca="1"/>
        <v>348.8</v>
      </c>
      <c r="P385" vm="3215">
        <f ca="1"/>
        <v>44720</v>
      </c>
      <c r="Q385" vm="3223">
        <f ca="1"/>
        <v>23.289000000000001</v>
      </c>
      <c r="R385" s="29">
        <f t="shared" ca="1" si="47"/>
        <v>-7.6697247706421102E-3</v>
      </c>
      <c r="S385" s="30">
        <f t="shared" ca="1" si="48"/>
        <v>-4.2573320719016018E-3</v>
      </c>
      <c r="T385" s="30">
        <f t="shared" ca="1" si="49"/>
        <v>-4.662004662004662E-3</v>
      </c>
      <c r="U385" s="30">
        <f t="shared" ca="1" si="50"/>
        <v>-1.598138091543834E-2</v>
      </c>
      <c r="V385" s="30">
        <f t="shared" ca="1" si="51"/>
        <v>-5.7751937984496196E-2</v>
      </c>
      <c r="W385" s="30">
        <f t="shared" ca="1" si="54"/>
        <v>6.0312528557068389E-2</v>
      </c>
      <c r="X385" s="30">
        <f t="shared" ca="1" si="52"/>
        <v>5.9990770650668662E-3</v>
      </c>
      <c r="Y385" s="31">
        <f t="shared" ca="1" si="53"/>
        <v>-2.962499999999994E-2</v>
      </c>
    </row>
    <row r="386" spans="2:25" x14ac:dyDescent="0.45">
      <c r="B386" vm="3224">
        <f ca="1"/>
        <v>44721</v>
      </c>
      <c r="C386" vm="3225">
        <f ca="1"/>
        <v>264.79000000000002</v>
      </c>
      <c r="D386" vm="3224">
        <f ca="1"/>
        <v>44721</v>
      </c>
      <c r="E386" vm="282">
        <f ca="1"/>
        <v>20.88</v>
      </c>
      <c r="F386" vm="3224">
        <f ca="1"/>
        <v>44721</v>
      </c>
      <c r="G386" vm="3226">
        <f ca="1"/>
        <v>206.11</v>
      </c>
      <c r="H386" vm="3224">
        <f ca="1"/>
        <v>44721</v>
      </c>
      <c r="I386" vm="3227">
        <f ca="1"/>
        <v>124.14</v>
      </c>
      <c r="J386" vm="3224">
        <f ca="1"/>
        <v>44721</v>
      </c>
      <c r="K386" vm="3228">
        <f ca="1"/>
        <v>22.68</v>
      </c>
      <c r="L386" vm="3224">
        <f ca="1"/>
        <v>44721</v>
      </c>
      <c r="M386" vm="3229">
        <f ca="1"/>
        <v>111.93</v>
      </c>
      <c r="N386" vm="3224">
        <f ca="1"/>
        <v>44721</v>
      </c>
      <c r="O386" vm="3230">
        <f ca="1"/>
        <v>370.08</v>
      </c>
      <c r="P386" vm="3224">
        <f ca="1"/>
        <v>44721</v>
      </c>
      <c r="Q386" vm="3231">
        <f ca="1"/>
        <v>21.776</v>
      </c>
      <c r="R386" s="29">
        <f t="shared" ca="1" si="47"/>
        <v>-2.0783255057135477E-2</v>
      </c>
      <c r="S386" s="30">
        <f t="shared" ca="1" si="48"/>
        <v>-8.0760095011877288E-3</v>
      </c>
      <c r="T386" s="30">
        <f t="shared" ca="1" si="49"/>
        <v>-3.461358313817324E-2</v>
      </c>
      <c r="U386" s="30">
        <f t="shared" ca="1" si="50"/>
        <v>-2.1286660359508065E-2</v>
      </c>
      <c r="V386" s="30">
        <f t="shared" ca="1" si="51"/>
        <v>-6.7050596462361126E-2</v>
      </c>
      <c r="W386" s="30">
        <f t="shared" ca="1" si="54"/>
        <v>-3.5335689045936348E-2</v>
      </c>
      <c r="X386" s="30">
        <f t="shared" ca="1" si="52"/>
        <v>6.1009174311926526E-2</v>
      </c>
      <c r="Y386" s="31">
        <f t="shared" ca="1" si="53"/>
        <v>-6.4966293099746733E-2</v>
      </c>
    </row>
    <row r="387" spans="2:25" x14ac:dyDescent="0.45">
      <c r="B387" vm="3232">
        <f ca="1"/>
        <v>44722</v>
      </c>
      <c r="C387" vm="3233">
        <f ca="1"/>
        <v>252.99</v>
      </c>
      <c r="D387" vm="3232">
        <f ca="1"/>
        <v>44722</v>
      </c>
      <c r="E387" vm="3234">
        <f ca="1"/>
        <v>20.69</v>
      </c>
      <c r="F387" vm="3232">
        <f ca="1"/>
        <v>44722</v>
      </c>
      <c r="G387" vm="3235">
        <f ca="1"/>
        <v>199.51</v>
      </c>
      <c r="H387" vm="3232">
        <f ca="1"/>
        <v>44722</v>
      </c>
      <c r="I387" vm="3236">
        <f ca="1"/>
        <v>120.57</v>
      </c>
      <c r="J387" vm="3232">
        <f ca="1"/>
        <v>44722</v>
      </c>
      <c r="K387" vm="795">
        <f ca="1"/>
        <v>22.15</v>
      </c>
      <c r="L387" vm="3232">
        <f ca="1"/>
        <v>44722</v>
      </c>
      <c r="M387" vm="3237">
        <f ca="1"/>
        <v>102.23</v>
      </c>
      <c r="N387" vm="3232">
        <f ca="1"/>
        <v>44722</v>
      </c>
      <c r="O387" vm="3238">
        <f ca="1"/>
        <v>373.28</v>
      </c>
      <c r="P387" vm="3232">
        <f ca="1"/>
        <v>44722</v>
      </c>
      <c r="Q387" vm="3239">
        <f ca="1"/>
        <v>20.335999999999999</v>
      </c>
      <c r="R387" s="29">
        <f ca="1">(C387-C386)/C386</f>
        <v>-4.456361645077235E-2</v>
      </c>
      <c r="S387" s="30">
        <f t="shared" ca="1" si="48"/>
        <v>-9.0996168582374391E-3</v>
      </c>
      <c r="T387" s="30">
        <f t="shared" ca="1" si="49"/>
        <v>-3.2021735966231729E-2</v>
      </c>
      <c r="U387" s="30">
        <f t="shared" ca="1" si="50"/>
        <v>-2.8757854035766129E-2</v>
      </c>
      <c r="V387" s="30">
        <f t="shared" ca="1" si="51"/>
        <v>-2.3368606701940086E-2</v>
      </c>
      <c r="W387" s="30">
        <f t="shared" ca="1" si="54"/>
        <v>-8.6661306173501318E-2</v>
      </c>
      <c r="X387" s="30">
        <f t="shared" ca="1" si="52"/>
        <v>8.6467790747946083E-3</v>
      </c>
      <c r="Y387" s="31">
        <f t="shared" ca="1" si="53"/>
        <v>-6.6127847171197712E-2</v>
      </c>
    </row>
    <row r="388" spans="2:25" x14ac:dyDescent="0.45">
      <c r="B388" vm="3240">
        <f ca="1"/>
        <v>44725</v>
      </c>
      <c r="C388" vm="3241">
        <f ca="1"/>
        <v>242.26</v>
      </c>
      <c r="D388" vm="3240">
        <f ca="1"/>
        <v>44725</v>
      </c>
      <c r="E388" vm="3242">
        <f ca="1"/>
        <v>19.760000000000002</v>
      </c>
      <c r="F388" vm="3240">
        <f ca="1"/>
        <v>44725</v>
      </c>
      <c r="G388" vm="3243">
        <f ca="1"/>
        <v>192.26</v>
      </c>
      <c r="H388" vm="3240">
        <f ca="1"/>
        <v>44725</v>
      </c>
      <c r="I388" vm="3244">
        <f ca="1"/>
        <v>116.28</v>
      </c>
      <c r="J388" vm="3240">
        <f ca="1"/>
        <v>44725</v>
      </c>
      <c r="K388" vm="3245">
        <f ca="1"/>
        <v>20.239999999999998</v>
      </c>
      <c r="L388" vm="3240">
        <f ca="1"/>
        <v>44725</v>
      </c>
      <c r="M388" vm="3246">
        <f ca="1"/>
        <v>98.61</v>
      </c>
      <c r="N388" vm="3240">
        <f ca="1"/>
        <v>44725</v>
      </c>
      <c r="O388" vm="3247">
        <f ca="1"/>
        <v>413.44</v>
      </c>
      <c r="P388" vm="3240">
        <f ca="1"/>
        <v>44725</v>
      </c>
      <c r="Q388" vm="3248">
        <f ca="1"/>
        <v>15.215</v>
      </c>
      <c r="R388" s="29">
        <f t="shared" ca="1" si="47"/>
        <v>-4.2412743586703106E-2</v>
      </c>
      <c r="S388" s="30">
        <f t="shared" ca="1" si="48"/>
        <v>-4.4949250845819216E-2</v>
      </c>
      <c r="T388" s="30">
        <f t="shared" ca="1" si="49"/>
        <v>-3.6339030625031327E-2</v>
      </c>
      <c r="U388" s="30">
        <f t="shared" ca="1" si="50"/>
        <v>-3.558099029609349E-2</v>
      </c>
      <c r="V388" s="30">
        <f t="shared" ca="1" si="51"/>
        <v>-8.6230248306997756E-2</v>
      </c>
      <c r="W388" s="30">
        <f t="shared" ca="1" si="54"/>
        <v>-3.5410349212559956E-2</v>
      </c>
      <c r="X388" s="30">
        <f t="shared" ca="1" si="52"/>
        <v>0.10758679811401636</v>
      </c>
      <c r="Y388" s="31">
        <f t="shared" ca="1" si="53"/>
        <v>-0.25181943351691577</v>
      </c>
    </row>
    <row r="389" spans="2:25" x14ac:dyDescent="0.45">
      <c r="B389" vm="3249">
        <f ca="1"/>
        <v>44726</v>
      </c>
      <c r="C389" vm="431">
        <f ca="1"/>
        <v>244.49</v>
      </c>
      <c r="D389" vm="3249">
        <f ca="1"/>
        <v>44726</v>
      </c>
      <c r="E389" vm="3250">
        <f ca="1"/>
        <v>19.45</v>
      </c>
      <c r="F389" vm="3249">
        <f ca="1"/>
        <v>44726</v>
      </c>
      <c r="G389" vm="3251">
        <f ca="1"/>
        <v>193.52</v>
      </c>
      <c r="H389" vm="3249">
        <f ca="1"/>
        <v>44726</v>
      </c>
      <c r="I389" vm="3252">
        <f ca="1"/>
        <v>116.01</v>
      </c>
      <c r="J389" vm="3249">
        <f ca="1"/>
        <v>44726</v>
      </c>
      <c r="K389" vm="3253">
        <f ca="1"/>
        <v>20.059999999999999</v>
      </c>
      <c r="L389" vm="3249">
        <f ca="1"/>
        <v>44726</v>
      </c>
      <c r="M389" vm="3254">
        <f ca="1"/>
        <v>98.05</v>
      </c>
      <c r="N389" vm="3249">
        <f ca="1"/>
        <v>44726</v>
      </c>
      <c r="O389" vm="3255">
        <f ca="1"/>
        <v>405.28</v>
      </c>
      <c r="P389" vm="3249">
        <f ca="1"/>
        <v>44726</v>
      </c>
      <c r="Q389" vm="3256">
        <f ca="1"/>
        <v>15.686999999999999</v>
      </c>
      <c r="R389" s="29">
        <f t="shared" ref="R389:R452" ca="1" si="55">(C389-C388)/C388</f>
        <v>9.2049863782713535E-3</v>
      </c>
      <c r="S389" s="30">
        <f t="shared" ref="S389:S452" ca="1" si="56">(E389-E388)/E388</f>
        <v>-1.5688259109311854E-2</v>
      </c>
      <c r="T389" s="30">
        <f t="shared" ref="T389:T452" ca="1" si="57">(G389-G388)/G388</f>
        <v>6.553625299074271E-3</v>
      </c>
      <c r="U389" s="30">
        <f t="shared" ref="U389:U452" ca="1" si="58">(I389-I388)/I388</f>
        <v>-2.3219814241485725E-3</v>
      </c>
      <c r="V389" s="30">
        <f t="shared" ref="V389:V452" ca="1" si="59">(K389-K388)/K388</f>
        <v>-8.893280632411054E-3</v>
      </c>
      <c r="W389" s="30">
        <f t="shared" ca="1" si="54"/>
        <v>-5.6789372274617406E-3</v>
      </c>
      <c r="X389" s="30">
        <f t="shared" ref="X389:X452" ca="1" si="60">(O389-O388)/O388</f>
        <v>-1.9736842105263219E-2</v>
      </c>
      <c r="Y389" s="31">
        <f t="shared" ref="Y389:Y452" ca="1" si="61">(Q389-Q388)/Q388</f>
        <v>3.1022017745645714E-2</v>
      </c>
    </row>
    <row r="390" spans="2:25" x14ac:dyDescent="0.45">
      <c r="B390" vm="3257">
        <f ca="1"/>
        <v>44727</v>
      </c>
      <c r="C390" vm="3258">
        <f ca="1"/>
        <v>251.76</v>
      </c>
      <c r="D390" vm="3257">
        <f ca="1"/>
        <v>44727</v>
      </c>
      <c r="E390" vm="3259">
        <f ca="1"/>
        <v>19.440000000000001</v>
      </c>
      <c r="F390" vm="3257">
        <f ca="1"/>
        <v>44727</v>
      </c>
      <c r="G390" vm="3260">
        <f ca="1"/>
        <v>196.16</v>
      </c>
      <c r="H390" vm="3257">
        <f ca="1"/>
        <v>44727</v>
      </c>
      <c r="I390" vm="3261">
        <f ca="1"/>
        <v>116.47</v>
      </c>
      <c r="J390" vm="3257">
        <f ca="1"/>
        <v>44727</v>
      </c>
      <c r="K390" vm="3262">
        <f ca="1"/>
        <v>20.58</v>
      </c>
      <c r="L390" vm="3257">
        <f ca="1"/>
        <v>44727</v>
      </c>
      <c r="M390" vm="3263">
        <f ca="1"/>
        <v>105.35</v>
      </c>
      <c r="N390" vm="3257">
        <f ca="1"/>
        <v>44727</v>
      </c>
      <c r="O390" vm="3264">
        <f ca="1"/>
        <v>383.52</v>
      </c>
      <c r="P390" vm="3257">
        <f ca="1"/>
        <v>44727</v>
      </c>
      <c r="Q390" vm="3265">
        <f ca="1"/>
        <v>17.134</v>
      </c>
      <c r="R390" s="29">
        <f t="shared" ca="1" si="55"/>
        <v>2.9735367499693164E-2</v>
      </c>
      <c r="S390" s="30">
        <f t="shared" ca="1" si="56"/>
        <v>-5.1413881748061752E-4</v>
      </c>
      <c r="T390" s="30">
        <f t="shared" ca="1" si="57"/>
        <v>1.3642000826787858E-2</v>
      </c>
      <c r="U390" s="30">
        <f t="shared" ca="1" si="58"/>
        <v>3.9651754159123675E-3</v>
      </c>
      <c r="V390" s="30">
        <f t="shared" ca="1" si="59"/>
        <v>2.5922233300099681E-2</v>
      </c>
      <c r="W390" s="30">
        <f t="shared" ref="W390:W453" ca="1" si="62">(M390-M389)/M389</f>
        <v>7.445181030086688E-2</v>
      </c>
      <c r="X390" s="30">
        <f t="shared" ca="1" si="60"/>
        <v>-5.3691275167785213E-2</v>
      </c>
      <c r="Y390" s="31">
        <f t="shared" ca="1" si="61"/>
        <v>9.224198380824894E-2</v>
      </c>
    </row>
    <row r="391" spans="2:25" x14ac:dyDescent="0.45">
      <c r="B391" vm="3266">
        <f ca="1"/>
        <v>44728</v>
      </c>
      <c r="C391" vm="3267">
        <f ca="1"/>
        <v>244.97</v>
      </c>
      <c r="D391" vm="3266">
        <f ca="1"/>
        <v>44728</v>
      </c>
      <c r="E391" vm="3268">
        <f ca="1"/>
        <v>18.96</v>
      </c>
      <c r="F391" vm="3266">
        <f ca="1"/>
        <v>44728</v>
      </c>
      <c r="G391" vm="3269">
        <f ca="1"/>
        <v>189.05</v>
      </c>
      <c r="H391" vm="3266">
        <f ca="1"/>
        <v>44728</v>
      </c>
      <c r="I391" vm="3270">
        <f ca="1"/>
        <v>114.96</v>
      </c>
      <c r="J391" vm="3266">
        <f ca="1"/>
        <v>44728</v>
      </c>
      <c r="K391" vm="3271">
        <f ca="1"/>
        <v>19.579999999999998</v>
      </c>
      <c r="L391" vm="3266">
        <f ca="1"/>
        <v>44728</v>
      </c>
      <c r="M391" vm="3272">
        <f ca="1"/>
        <v>97.85</v>
      </c>
      <c r="N391" vm="3266">
        <f ca="1"/>
        <v>44728</v>
      </c>
      <c r="O391" vm="3273">
        <f ca="1"/>
        <v>406.4</v>
      </c>
      <c r="P391" vm="3266">
        <f ca="1"/>
        <v>44728</v>
      </c>
      <c r="Q391" vm="3274">
        <f ca="1"/>
        <v>16.134</v>
      </c>
      <c r="R391" s="29">
        <f t="shared" ca="1" si="55"/>
        <v>-2.6970130282808993E-2</v>
      </c>
      <c r="S391" s="30">
        <f t="shared" ca="1" si="56"/>
        <v>-2.4691358024691377E-2</v>
      </c>
      <c r="T391" s="30">
        <f t="shared" ca="1" si="57"/>
        <v>-3.6245921696574153E-2</v>
      </c>
      <c r="U391" s="30">
        <f t="shared" ca="1" si="58"/>
        <v>-1.2964711942989655E-2</v>
      </c>
      <c r="V391" s="30">
        <f t="shared" ca="1" si="59"/>
        <v>-4.8590864917395532E-2</v>
      </c>
      <c r="W391" s="30">
        <f t="shared" ca="1" si="62"/>
        <v>-7.1191267204556249E-2</v>
      </c>
      <c r="X391" s="30">
        <f t="shared" ca="1" si="60"/>
        <v>5.9657905715477674E-2</v>
      </c>
      <c r="Y391" s="31">
        <f t="shared" ca="1" si="61"/>
        <v>-5.8363487802031051E-2</v>
      </c>
    </row>
    <row r="392" spans="2:25" x14ac:dyDescent="0.45">
      <c r="B392" vm="3275">
        <f ca="1"/>
        <v>44729</v>
      </c>
      <c r="C392" vm="3276">
        <f ca="1"/>
        <v>247.65</v>
      </c>
      <c r="D392" vm="3275">
        <f ca="1"/>
        <v>44729</v>
      </c>
      <c r="E392" vm="3277">
        <f ca="1"/>
        <v>19.38</v>
      </c>
      <c r="F392" vm="3275">
        <f ca="1"/>
        <v>44729</v>
      </c>
      <c r="G392" vm="3278">
        <f ca="1"/>
        <v>190.01</v>
      </c>
      <c r="H392" vm="3275">
        <f ca="1"/>
        <v>44729</v>
      </c>
      <c r="I392" vm="3279">
        <f ca="1"/>
        <v>112.71</v>
      </c>
      <c r="J392" vm="3275">
        <f ca="1"/>
        <v>44729</v>
      </c>
      <c r="K392" vm="3280">
        <f ca="1"/>
        <v>19.89</v>
      </c>
      <c r="L392" vm="3275">
        <f ca="1"/>
        <v>44729</v>
      </c>
      <c r="M392" vm="3281">
        <f ca="1"/>
        <v>99.27</v>
      </c>
      <c r="N392" vm="3275">
        <f ca="1"/>
        <v>44729</v>
      </c>
      <c r="O392" vm="3282">
        <f ca="1"/>
        <v>394.56</v>
      </c>
      <c r="P392" vm="3275">
        <f ca="1"/>
        <v>44729</v>
      </c>
      <c r="Q392" vm="3283">
        <f ca="1"/>
        <v>16.760000000000002</v>
      </c>
      <c r="R392" s="29">
        <f t="shared" ca="1" si="55"/>
        <v>1.0940115116136698E-2</v>
      </c>
      <c r="S392" s="30">
        <f t="shared" ca="1" si="56"/>
        <v>2.2151898734177118E-2</v>
      </c>
      <c r="T392" s="30">
        <f t="shared" ca="1" si="57"/>
        <v>5.0780216873841811E-3</v>
      </c>
      <c r="U392" s="30">
        <f t="shared" ca="1" si="58"/>
        <v>-1.9572025052192066E-2</v>
      </c>
      <c r="V392" s="30">
        <f t="shared" ca="1" si="59"/>
        <v>1.5832482124617072E-2</v>
      </c>
      <c r="W392" s="30">
        <f t="shared" ca="1" si="62"/>
        <v>1.4512008175779273E-2</v>
      </c>
      <c r="X392" s="30">
        <f t="shared" ca="1" si="60"/>
        <v>-2.9133858267716476E-2</v>
      </c>
      <c r="Y392" s="31">
        <f t="shared" ca="1" si="61"/>
        <v>3.8800049584727977E-2</v>
      </c>
    </row>
    <row r="393" spans="2:25" x14ac:dyDescent="0.45">
      <c r="B393" vm="3284">
        <f ca="1"/>
        <v>44733</v>
      </c>
      <c r="C393" vm="3285">
        <f ca="1"/>
        <v>253.74</v>
      </c>
      <c r="D393" vm="3284">
        <f ca="1"/>
        <v>44733</v>
      </c>
      <c r="E393" vm="3286">
        <f ca="1"/>
        <v>19.96</v>
      </c>
      <c r="F393" vm="3284">
        <f ca="1"/>
        <v>44733</v>
      </c>
      <c r="G393" vm="3287">
        <f ca="1"/>
        <v>194.39</v>
      </c>
      <c r="H393" vm="3284">
        <f ca="1"/>
        <v>44733</v>
      </c>
      <c r="I393" vm="3288">
        <f ca="1"/>
        <v>113.88</v>
      </c>
      <c r="J393" vm="3284">
        <f ca="1"/>
        <v>44733</v>
      </c>
      <c r="K393" vm="3289">
        <f ca="1"/>
        <v>19.600000000000001</v>
      </c>
      <c r="L393" vm="3284">
        <f ca="1"/>
        <v>44733</v>
      </c>
      <c r="M393" vm="3290">
        <f ca="1"/>
        <v>101.4</v>
      </c>
      <c r="N393" vm="3284">
        <f ca="1"/>
        <v>44733</v>
      </c>
      <c r="O393" vm="3291">
        <f ca="1"/>
        <v>392</v>
      </c>
      <c r="P393" vm="3284">
        <f ca="1"/>
        <v>44733</v>
      </c>
      <c r="Q393" vm="3292">
        <f ca="1"/>
        <v>17.896000000000001</v>
      </c>
      <c r="R393" s="29">
        <f t="shared" ca="1" si="55"/>
        <v>2.4591156874621455E-2</v>
      </c>
      <c r="S393" s="30">
        <f t="shared" ca="1" si="56"/>
        <v>2.9927760577915474E-2</v>
      </c>
      <c r="T393" s="30">
        <f t="shared" ca="1" si="57"/>
        <v>2.3051418346402799E-2</v>
      </c>
      <c r="U393" s="30">
        <f t="shared" ca="1" si="58"/>
        <v>1.0380622837370257E-2</v>
      </c>
      <c r="V393" s="30">
        <f t="shared" ca="1" si="59"/>
        <v>-1.4580191050779243E-2</v>
      </c>
      <c r="W393" s="30">
        <f t="shared" ca="1" si="62"/>
        <v>2.1456633423995262E-2</v>
      </c>
      <c r="X393" s="30">
        <f t="shared" ca="1" si="60"/>
        <v>-6.488240064882406E-3</v>
      </c>
      <c r="Y393" s="31">
        <f t="shared" ca="1" si="61"/>
        <v>6.7780429594272024E-2</v>
      </c>
    </row>
    <row r="394" spans="2:25" x14ac:dyDescent="0.45">
      <c r="B394" vm="3293">
        <f ca="1"/>
        <v>44734</v>
      </c>
      <c r="C394" vm="3294">
        <f ca="1"/>
        <v>253.13</v>
      </c>
      <c r="D394" vm="3293">
        <f ca="1"/>
        <v>44734</v>
      </c>
      <c r="E394" vm="3295">
        <f ca="1"/>
        <v>20.32</v>
      </c>
      <c r="F394" vm="3293">
        <f ca="1"/>
        <v>44734</v>
      </c>
      <c r="G394" vm="3296">
        <f ca="1"/>
        <v>193.82</v>
      </c>
      <c r="H394" vm="3293">
        <f ca="1"/>
        <v>44734</v>
      </c>
      <c r="I394" vm="3297">
        <f ca="1"/>
        <v>113.8</v>
      </c>
      <c r="J394" vm="3293">
        <f ca="1"/>
        <v>44734</v>
      </c>
      <c r="K394" vm="2984">
        <f ca="1"/>
        <v>19.07</v>
      </c>
      <c r="L394" vm="3293">
        <f ca="1"/>
        <v>44734</v>
      </c>
      <c r="M394" vm="3298">
        <f ca="1"/>
        <v>99.33</v>
      </c>
      <c r="N394" vm="3293">
        <f ca="1"/>
        <v>44734</v>
      </c>
      <c r="O394" vm="3299">
        <f ca="1"/>
        <v>381.44</v>
      </c>
      <c r="P394" vm="3293">
        <f ca="1"/>
        <v>44734</v>
      </c>
      <c r="Q394" vm="3300">
        <f ca="1"/>
        <v>17.091000000000001</v>
      </c>
      <c r="R394" s="29">
        <f t="shared" ca="1" si="55"/>
        <v>-2.4040356270198376E-3</v>
      </c>
      <c r="S394" s="30">
        <f t="shared" ca="1" si="56"/>
        <v>1.8036072144288547E-2</v>
      </c>
      <c r="T394" s="30">
        <f t="shared" ca="1" si="57"/>
        <v>-2.9322496013169052E-3</v>
      </c>
      <c r="U394" s="30">
        <f t="shared" ca="1" si="58"/>
        <v>-7.0249385317876971E-4</v>
      </c>
      <c r="V394" s="30">
        <f t="shared" ca="1" si="59"/>
        <v>-2.7040816326530669E-2</v>
      </c>
      <c r="W394" s="30">
        <f t="shared" ca="1" si="62"/>
        <v>-2.0414201183432023E-2</v>
      </c>
      <c r="X394" s="30">
        <f t="shared" ca="1" si="60"/>
        <v>-2.6938775510204089E-2</v>
      </c>
      <c r="Y394" s="31">
        <f t="shared" ca="1" si="61"/>
        <v>-4.4982118909253445E-2</v>
      </c>
    </row>
    <row r="395" spans="2:25" x14ac:dyDescent="0.45">
      <c r="B395" vm="3301">
        <f ca="1"/>
        <v>44735</v>
      </c>
      <c r="C395" vm="3302">
        <f ca="1"/>
        <v>258.86</v>
      </c>
      <c r="D395" vm="3301">
        <f ca="1"/>
        <v>44735</v>
      </c>
      <c r="E395" vm="3303">
        <f ca="1"/>
        <v>20.61</v>
      </c>
      <c r="F395" vm="3301">
        <f ca="1"/>
        <v>44735</v>
      </c>
      <c r="G395" vm="3304">
        <f ca="1"/>
        <v>196.64</v>
      </c>
      <c r="H395" vm="3301">
        <f ca="1"/>
        <v>44735</v>
      </c>
      <c r="I395" vm="3305">
        <f ca="1"/>
        <v>118.6</v>
      </c>
      <c r="J395" vm="3301">
        <f ca="1"/>
        <v>44735</v>
      </c>
      <c r="K395" vm="3306">
        <f ca="1"/>
        <v>19.010000000000002</v>
      </c>
      <c r="L395" vm="3301">
        <f ca="1"/>
        <v>44735</v>
      </c>
      <c r="M395" vm="3307">
        <f ca="1"/>
        <v>102.19</v>
      </c>
      <c r="N395" vm="3301">
        <f ca="1"/>
        <v>44735</v>
      </c>
      <c r="O395" vm="3308">
        <f ca="1"/>
        <v>374.4</v>
      </c>
      <c r="P395" vm="3301">
        <f ca="1"/>
        <v>44735</v>
      </c>
      <c r="Q395" vm="3309">
        <f ca="1"/>
        <v>18.831</v>
      </c>
      <c r="R395" s="29">
        <f t="shared" ca="1" si="55"/>
        <v>2.2636589894520675E-2</v>
      </c>
      <c r="S395" s="30">
        <f t="shared" ca="1" si="56"/>
        <v>1.4271653543307044E-2</v>
      </c>
      <c r="T395" s="30">
        <f t="shared" ca="1" si="57"/>
        <v>1.454958208647195E-2</v>
      </c>
      <c r="U395" s="30">
        <f t="shared" ca="1" si="58"/>
        <v>4.2179261862917372E-2</v>
      </c>
      <c r="V395" s="30">
        <f t="shared" ca="1" si="59"/>
        <v>-3.1463030938646418E-3</v>
      </c>
      <c r="W395" s="30">
        <f t="shared" ca="1" si="62"/>
        <v>2.879291251384274E-2</v>
      </c>
      <c r="X395" s="30">
        <f t="shared" ca="1" si="60"/>
        <v>-1.8456375838926228E-2</v>
      </c>
      <c r="Y395" s="31">
        <f t="shared" ca="1" si="61"/>
        <v>0.10180796910654721</v>
      </c>
    </row>
    <row r="396" spans="2:25" x14ac:dyDescent="0.45">
      <c r="B396" vm="3310">
        <f ca="1"/>
        <v>44736</v>
      </c>
      <c r="C396" vm="3311">
        <f ca="1"/>
        <v>267.7</v>
      </c>
      <c r="D396" vm="3310">
        <f ca="1"/>
        <v>44736</v>
      </c>
      <c r="E396" vm="3312">
        <f ca="1"/>
        <v>20.99</v>
      </c>
      <c r="F396" vm="3310">
        <f ca="1"/>
        <v>44736</v>
      </c>
      <c r="G396" vm="3313">
        <f ca="1"/>
        <v>205.51</v>
      </c>
      <c r="H396" vm="3310">
        <f ca="1"/>
        <v>44736</v>
      </c>
      <c r="I396" vm="3314">
        <f ca="1"/>
        <v>121.29</v>
      </c>
      <c r="J396" vm="3310">
        <f ca="1"/>
        <v>44736</v>
      </c>
      <c r="K396" vm="3081">
        <f ca="1"/>
        <v>19.84</v>
      </c>
      <c r="L396" vm="3310">
        <f ca="1"/>
        <v>44736</v>
      </c>
      <c r="M396" vm="3315">
        <f ca="1"/>
        <v>107</v>
      </c>
      <c r="N396" vm="3310">
        <f ca="1"/>
        <v>44736</v>
      </c>
      <c r="O396" vm="3316">
        <f ca="1"/>
        <v>369.92</v>
      </c>
      <c r="P396" vm="3310">
        <f ca="1"/>
        <v>44736</v>
      </c>
      <c r="Q396" vm="3317">
        <f ca="1"/>
        <v>20.544</v>
      </c>
      <c r="R396" s="29">
        <f t="shared" ca="1" si="55"/>
        <v>3.41497334466506E-2</v>
      </c>
      <c r="S396" s="30">
        <f t="shared" ca="1" si="56"/>
        <v>1.8437651625424503E-2</v>
      </c>
      <c r="T396" s="30">
        <f t="shared" ca="1" si="57"/>
        <v>4.5107811228641201E-2</v>
      </c>
      <c r="U396" s="30">
        <f t="shared" ca="1" si="58"/>
        <v>2.2681281618887116E-2</v>
      </c>
      <c r="V396" s="30">
        <f t="shared" ca="1" si="59"/>
        <v>4.3661230931088806E-2</v>
      </c>
      <c r="W396" s="30">
        <f t="shared" ca="1" si="62"/>
        <v>4.706918485174677E-2</v>
      </c>
      <c r="X396" s="30">
        <f t="shared" ca="1" si="60"/>
        <v>-1.1965811965811863E-2</v>
      </c>
      <c r="Y396" s="31">
        <f t="shared" ca="1" si="61"/>
        <v>9.0967022462960068E-2</v>
      </c>
    </row>
    <row r="397" spans="2:25" x14ac:dyDescent="0.45">
      <c r="B397" vm="3318">
        <f ca="1"/>
        <v>44739</v>
      </c>
      <c r="C397" vm="3319">
        <f ca="1"/>
        <v>264.89</v>
      </c>
      <c r="D397" vm="3318">
        <f ca="1"/>
        <v>44739</v>
      </c>
      <c r="E397" vm="1825">
        <f ca="1"/>
        <v>20.78</v>
      </c>
      <c r="F397" vm="3318">
        <f ca="1"/>
        <v>44739</v>
      </c>
      <c r="G397" vm="3320">
        <f ca="1"/>
        <v>203.56</v>
      </c>
      <c r="H397" vm="3318">
        <f ca="1"/>
        <v>44739</v>
      </c>
      <c r="I397" vm="3236">
        <f ca="1"/>
        <v>120.57</v>
      </c>
      <c r="J397" vm="3318">
        <f ca="1"/>
        <v>44739</v>
      </c>
      <c r="K397" vm="3259">
        <f ca="1"/>
        <v>19.440000000000001</v>
      </c>
      <c r="L397" vm="3318">
        <f ca="1"/>
        <v>44739</v>
      </c>
      <c r="M397" vm="3321">
        <f ca="1"/>
        <v>106.27</v>
      </c>
      <c r="N397" vm="3318">
        <f ca="1"/>
        <v>44739</v>
      </c>
      <c r="O397" vm="3322">
        <f ca="1"/>
        <v>361.6</v>
      </c>
      <c r="P397" vm="3318">
        <f ca="1"/>
        <v>44739</v>
      </c>
      <c r="Q397" vm="3323">
        <f ca="1"/>
        <v>19.672999999999998</v>
      </c>
      <c r="R397" s="29">
        <f t="shared" ca="1" si="55"/>
        <v>-1.0496824803884955E-2</v>
      </c>
      <c r="S397" s="30">
        <f t="shared" ca="1" si="56"/>
        <v>-1.0004764173415785E-2</v>
      </c>
      <c r="T397" s="30">
        <f t="shared" ca="1" si="57"/>
        <v>-9.4885893630479723E-3</v>
      </c>
      <c r="U397" s="30">
        <f t="shared" ca="1" si="58"/>
        <v>-5.9361860004947895E-3</v>
      </c>
      <c r="V397" s="30">
        <f t="shared" ca="1" si="59"/>
        <v>-2.0161290322580575E-2</v>
      </c>
      <c r="W397" s="30">
        <f t="shared" ca="1" si="62"/>
        <v>-6.8224299065420936E-3</v>
      </c>
      <c r="X397" s="30">
        <f t="shared" ca="1" si="60"/>
        <v>-2.2491349480968838E-2</v>
      </c>
      <c r="Y397" s="31">
        <f t="shared" ca="1" si="61"/>
        <v>-4.2396806853582658E-2</v>
      </c>
    </row>
    <row r="398" spans="2:25" x14ac:dyDescent="0.45">
      <c r="B398" vm="3324">
        <f ca="1"/>
        <v>44740</v>
      </c>
      <c r="C398" vm="3325">
        <f ca="1"/>
        <v>256.48</v>
      </c>
      <c r="D398" vm="3324">
        <f ca="1"/>
        <v>44740</v>
      </c>
      <c r="E398" vm="3303">
        <f ca="1"/>
        <v>20.61</v>
      </c>
      <c r="F398" vm="3324">
        <f ca="1"/>
        <v>44740</v>
      </c>
      <c r="G398" vm="3326">
        <f ca="1"/>
        <v>198.12</v>
      </c>
      <c r="H398" vm="3324">
        <f ca="1"/>
        <v>44740</v>
      </c>
      <c r="I398" vm="3327">
        <f ca="1"/>
        <v>117.06</v>
      </c>
      <c r="J398" vm="3324">
        <f ca="1"/>
        <v>44740</v>
      </c>
      <c r="K398" vm="3328">
        <f ca="1"/>
        <v>19</v>
      </c>
      <c r="L398" vm="3324">
        <f ca="1"/>
        <v>44740</v>
      </c>
      <c r="M398" vm="3329">
        <f ca="1"/>
        <v>99</v>
      </c>
      <c r="N398" vm="3324">
        <f ca="1"/>
        <v>44740</v>
      </c>
      <c r="O398" vm="2260">
        <f ca="1"/>
        <v>364.48</v>
      </c>
      <c r="P398" vm="3324">
        <f ca="1"/>
        <v>44740</v>
      </c>
      <c r="Q398" vm="3330">
        <f ca="1"/>
        <v>18.611999999999998</v>
      </c>
      <c r="R398" s="29">
        <f t="shared" ca="1" si="55"/>
        <v>-3.1749027898372792E-2</v>
      </c>
      <c r="S398" s="30">
        <f t="shared" ca="1" si="56"/>
        <v>-8.1809432146295324E-3</v>
      </c>
      <c r="T398" s="30">
        <f t="shared" ca="1" si="57"/>
        <v>-2.6724307329534278E-2</v>
      </c>
      <c r="U398" s="30">
        <f t="shared" ca="1" si="58"/>
        <v>-2.911171933316738E-2</v>
      </c>
      <c r="V398" s="30">
        <f t="shared" ca="1" si="59"/>
        <v>-2.2633744855967142E-2</v>
      </c>
      <c r="W398" s="30">
        <f t="shared" ca="1" si="62"/>
        <v>-6.8410652112543491E-2</v>
      </c>
      <c r="X398" s="30">
        <f t="shared" ca="1" si="60"/>
        <v>7.9646017699114922E-3</v>
      </c>
      <c r="Y398" s="31">
        <f t="shared" ca="1" si="61"/>
        <v>-5.3931784679509993E-2</v>
      </c>
    </row>
    <row r="399" spans="2:25" x14ac:dyDescent="0.45">
      <c r="B399" vm="3331">
        <f ca="1"/>
        <v>44741</v>
      </c>
      <c r="C399" vm="3332">
        <f ca="1"/>
        <v>260.26</v>
      </c>
      <c r="D399" vm="3331">
        <f ca="1"/>
        <v>44741</v>
      </c>
      <c r="E399" vm="3333">
        <f ca="1"/>
        <v>20.95</v>
      </c>
      <c r="F399" vm="3331">
        <f ca="1"/>
        <v>44741</v>
      </c>
      <c r="G399" vm="3334">
        <f ca="1"/>
        <v>199.5</v>
      </c>
      <c r="H399" vm="3331">
        <f ca="1"/>
        <v>44741</v>
      </c>
      <c r="I399" vm="3335">
        <f ca="1"/>
        <v>117.9</v>
      </c>
      <c r="J399" vm="3331">
        <f ca="1"/>
        <v>44741</v>
      </c>
      <c r="K399" vm="3336">
        <f ca="1"/>
        <v>18.54</v>
      </c>
      <c r="L399" vm="3331">
        <f ca="1"/>
        <v>44741</v>
      </c>
      <c r="M399" vm="3337">
        <f ca="1"/>
        <v>97.96</v>
      </c>
      <c r="N399" vm="3331">
        <f ca="1"/>
        <v>44741</v>
      </c>
      <c r="O399" vm="3338">
        <f ca="1"/>
        <v>365.44</v>
      </c>
      <c r="P399" vm="3331">
        <f ca="1"/>
        <v>44741</v>
      </c>
      <c r="Q399" vm="3339">
        <f ca="1"/>
        <v>17.969000000000001</v>
      </c>
      <c r="R399" s="29">
        <f t="shared" ca="1" si="55"/>
        <v>1.4737991266375438E-2</v>
      </c>
      <c r="S399" s="30">
        <f t="shared" ca="1" si="56"/>
        <v>1.6496846191169329E-2</v>
      </c>
      <c r="T399" s="30">
        <f t="shared" ca="1" si="57"/>
        <v>6.9654754694124538E-3</v>
      </c>
      <c r="U399" s="30">
        <f t="shared" ca="1" si="58"/>
        <v>7.1758072783188395E-3</v>
      </c>
      <c r="V399" s="30">
        <f t="shared" ca="1" si="59"/>
        <v>-2.4210526315789519E-2</v>
      </c>
      <c r="W399" s="30">
        <f t="shared" ca="1" si="62"/>
        <v>-1.0505050505050567E-2</v>
      </c>
      <c r="X399" s="30">
        <f t="shared" ca="1" si="60"/>
        <v>2.6338893766461244E-3</v>
      </c>
      <c r="Y399" s="31">
        <f t="shared" ca="1" si="61"/>
        <v>-3.4547603696539718E-2</v>
      </c>
    </row>
    <row r="400" spans="2:25" x14ac:dyDescent="0.45">
      <c r="B400" vm="3340">
        <f ca="1"/>
        <v>44742</v>
      </c>
      <c r="C400" vm="3341">
        <f ca="1"/>
        <v>256.83</v>
      </c>
      <c r="D400" vm="3340">
        <f ca="1"/>
        <v>44742</v>
      </c>
      <c r="E400" vm="3342">
        <f ca="1"/>
        <v>20.96</v>
      </c>
      <c r="F400" vm="3340">
        <f ca="1"/>
        <v>44742</v>
      </c>
      <c r="G400" vm="3343">
        <f ca="1"/>
        <v>196.89</v>
      </c>
      <c r="H400" vm="3340">
        <f ca="1"/>
        <v>44742</v>
      </c>
      <c r="I400" vm="3344">
        <f ca="1"/>
        <v>118.77</v>
      </c>
      <c r="J400" vm="3340">
        <f ca="1"/>
        <v>44742</v>
      </c>
      <c r="K400" vm="3345">
        <f ca="1"/>
        <v>17.91</v>
      </c>
      <c r="L400" vm="3340">
        <f ca="1"/>
        <v>44742</v>
      </c>
      <c r="M400" vm="3346">
        <f ca="1"/>
        <v>93.83</v>
      </c>
      <c r="N400" vm="3340">
        <f ca="1"/>
        <v>44742</v>
      </c>
      <c r="O400" vm="3347">
        <f ca="1"/>
        <v>369.28</v>
      </c>
      <c r="P400" vm="3340">
        <f ca="1"/>
        <v>44742</v>
      </c>
      <c r="Q400" vm="3348">
        <f ca="1"/>
        <v>16.43</v>
      </c>
      <c r="R400" s="29">
        <f t="shared" ca="1" si="55"/>
        <v>-1.3179128563743975E-2</v>
      </c>
      <c r="S400" s="30">
        <f t="shared" ca="1" si="56"/>
        <v>4.7732696897382168E-4</v>
      </c>
      <c r="T400" s="30">
        <f t="shared" ca="1" si="57"/>
        <v>-1.3082706766917362E-2</v>
      </c>
      <c r="U400" s="30">
        <f t="shared" ca="1" si="58"/>
        <v>7.3791348600508082E-3</v>
      </c>
      <c r="V400" s="30">
        <f t="shared" ca="1" si="59"/>
        <v>-3.3980582524271795E-2</v>
      </c>
      <c r="W400" s="30">
        <f t="shared" ca="1" si="62"/>
        <v>-4.2160065332788849E-2</v>
      </c>
      <c r="X400" s="30">
        <f t="shared" ca="1" si="60"/>
        <v>1.0507880910682945E-2</v>
      </c>
      <c r="Y400" s="31">
        <f t="shared" ca="1" si="61"/>
        <v>-8.5647504034726554E-2</v>
      </c>
    </row>
    <row r="401" spans="2:25" x14ac:dyDescent="0.45">
      <c r="B401" vm="3349">
        <f ca="1"/>
        <v>44743</v>
      </c>
      <c r="C401" vm="3350">
        <f ca="1"/>
        <v>259.58</v>
      </c>
      <c r="D401" vm="3349">
        <f ca="1"/>
        <v>44743</v>
      </c>
      <c r="E401" vm="290">
        <f ca="1"/>
        <v>21.31</v>
      </c>
      <c r="F401" vm="3349">
        <f ca="1"/>
        <v>44743</v>
      </c>
      <c r="G401" vm="3351">
        <f ca="1"/>
        <v>199.18</v>
      </c>
      <c r="H401" vm="3349">
        <f ca="1"/>
        <v>44743</v>
      </c>
      <c r="I401" vm="3352">
        <f ca="1"/>
        <v>119.21</v>
      </c>
      <c r="J401" vm="3349">
        <f ca="1"/>
        <v>44743</v>
      </c>
      <c r="K401" vm="3345">
        <f ca="1"/>
        <v>17.91</v>
      </c>
      <c r="L401" vm="3349">
        <f ca="1"/>
        <v>44743</v>
      </c>
      <c r="M401" vm="3353">
        <f ca="1"/>
        <v>97.52</v>
      </c>
      <c r="N401" vm="3349">
        <f ca="1"/>
        <v>44743</v>
      </c>
      <c r="O401" vm="3354">
        <f ca="1"/>
        <v>360.64</v>
      </c>
      <c r="P401" vm="3349">
        <f ca="1"/>
        <v>44743</v>
      </c>
      <c r="Q401" vm="3355">
        <f ca="1"/>
        <v>16.677</v>
      </c>
      <c r="R401" s="29">
        <f t="shared" ca="1" si="55"/>
        <v>1.0707471868551182E-2</v>
      </c>
      <c r="S401" s="30">
        <f t="shared" ca="1" si="56"/>
        <v>1.6698473282442644E-2</v>
      </c>
      <c r="T401" s="30">
        <f t="shared" ca="1" si="57"/>
        <v>1.163085987099406E-2</v>
      </c>
      <c r="U401" s="30">
        <f t="shared" ca="1" si="58"/>
        <v>3.7046392186578913E-3</v>
      </c>
      <c r="V401" s="30">
        <f t="shared" ca="1" si="59"/>
        <v>0</v>
      </c>
      <c r="W401" s="30">
        <f t="shared" ca="1" si="62"/>
        <v>3.9326441436640706E-2</v>
      </c>
      <c r="X401" s="30">
        <f t="shared" ca="1" si="60"/>
        <v>-2.3396880415944506E-2</v>
      </c>
      <c r="Y401" s="31">
        <f t="shared" ca="1" si="61"/>
        <v>1.5033475349969561E-2</v>
      </c>
    </row>
    <row r="402" spans="2:25" x14ac:dyDescent="0.45">
      <c r="B402" vm="3356">
        <f ca="1"/>
        <v>44747</v>
      </c>
      <c r="C402" vm="3357">
        <f ca="1"/>
        <v>262.85000000000002</v>
      </c>
      <c r="D402" vm="3356">
        <f ca="1"/>
        <v>44747</v>
      </c>
      <c r="E402" vm="3358">
        <f ca="1"/>
        <v>21.17</v>
      </c>
      <c r="F402" vm="3356">
        <f ca="1"/>
        <v>44747</v>
      </c>
      <c r="G402" vm="3359">
        <f ca="1"/>
        <v>200.54</v>
      </c>
      <c r="H402" vm="3356">
        <f ca="1"/>
        <v>44747</v>
      </c>
      <c r="I402" vm="3360">
        <f ca="1"/>
        <v>120.56</v>
      </c>
      <c r="J402" vm="3356">
        <f ca="1"/>
        <v>44747</v>
      </c>
      <c r="K402" vm="3361">
        <f ca="1"/>
        <v>17.02</v>
      </c>
      <c r="L402" vm="3356">
        <f ca="1"/>
        <v>44747</v>
      </c>
      <c r="M402" vm="3362">
        <f ca="1"/>
        <v>104.83</v>
      </c>
      <c r="N402" vm="3356">
        <f ca="1"/>
        <v>44747</v>
      </c>
      <c r="O402" vm="3363">
        <f ca="1"/>
        <v>360.8</v>
      </c>
      <c r="P402" vm="3356">
        <f ca="1"/>
        <v>44747</v>
      </c>
      <c r="Q402" vm="3364">
        <f ca="1"/>
        <v>18.768000000000001</v>
      </c>
      <c r="R402" s="29">
        <f t="shared" ca="1" si="55"/>
        <v>1.2597272517143227E-2</v>
      </c>
      <c r="S402" s="30">
        <f t="shared" ca="1" si="56"/>
        <v>-6.5696855936178801E-3</v>
      </c>
      <c r="T402" s="30">
        <f t="shared" ca="1" si="57"/>
        <v>6.8279947785921538E-3</v>
      </c>
      <c r="U402" s="30">
        <f t="shared" ca="1" si="58"/>
        <v>1.1324553309286205E-2</v>
      </c>
      <c r="V402" s="30">
        <f t="shared" ca="1" si="59"/>
        <v>-4.9692908989391431E-2</v>
      </c>
      <c r="W402" s="30">
        <f t="shared" ca="1" si="62"/>
        <v>7.4958982772764582E-2</v>
      </c>
      <c r="X402" s="30">
        <f t="shared" ca="1" si="60"/>
        <v>4.436557231588981E-4</v>
      </c>
      <c r="Y402" s="31">
        <f t="shared" ca="1" si="61"/>
        <v>0.12538226299694197</v>
      </c>
    </row>
    <row r="403" spans="2:25" x14ac:dyDescent="0.45">
      <c r="B403" vm="3365">
        <f ca="1"/>
        <v>44748</v>
      </c>
      <c r="C403" vm="3366">
        <f ca="1"/>
        <v>266.20999999999998</v>
      </c>
      <c r="D403" vm="3365">
        <f ca="1"/>
        <v>44748</v>
      </c>
      <c r="E403" vm="3367">
        <f ca="1"/>
        <v>21.09</v>
      </c>
      <c r="F403" vm="3365">
        <f ca="1"/>
        <v>44748</v>
      </c>
      <c r="G403" vm="3368">
        <f ca="1"/>
        <v>201.12</v>
      </c>
      <c r="H403" vm="3365">
        <f ca="1"/>
        <v>44748</v>
      </c>
      <c r="I403" vm="3369">
        <f ca="1"/>
        <v>121.18</v>
      </c>
      <c r="J403" vm="3365">
        <f ca="1"/>
        <v>44748</v>
      </c>
      <c r="K403" vm="3370">
        <f ca="1"/>
        <v>17.05</v>
      </c>
      <c r="L403" vm="3365">
        <f ca="1"/>
        <v>44748</v>
      </c>
      <c r="M403" vm="3371">
        <f ca="1"/>
        <v>102.87</v>
      </c>
      <c r="N403" vm="3365">
        <f ca="1"/>
        <v>44748</v>
      </c>
      <c r="O403" vm="3372">
        <f ca="1"/>
        <v>354.56</v>
      </c>
      <c r="P403" vm="3365">
        <f ca="1"/>
        <v>44748</v>
      </c>
      <c r="Q403" vm="3373">
        <f ca="1"/>
        <v>18.829999999999998</v>
      </c>
      <c r="R403" s="29">
        <f t="shared" ca="1" si="55"/>
        <v>1.2782956058588384E-2</v>
      </c>
      <c r="S403" s="30">
        <f t="shared" ca="1" si="56"/>
        <v>-3.7789324515825149E-3</v>
      </c>
      <c r="T403" s="30">
        <f t="shared" ca="1" si="57"/>
        <v>2.8921910840730655E-3</v>
      </c>
      <c r="U403" s="30">
        <f t="shared" ca="1" si="58"/>
        <v>5.1426675514267134E-3</v>
      </c>
      <c r="V403" s="30">
        <f t="shared" ca="1" si="59"/>
        <v>1.7626321974148729E-3</v>
      </c>
      <c r="W403" s="30">
        <f t="shared" ca="1" si="62"/>
        <v>-1.8696937899456204E-2</v>
      </c>
      <c r="X403" s="30">
        <f t="shared" ca="1" si="60"/>
        <v>-1.7294900221729515E-2</v>
      </c>
      <c r="Y403" s="31">
        <f t="shared" ca="1" si="61"/>
        <v>3.3034953111678181E-3</v>
      </c>
    </row>
    <row r="404" spans="2:25" x14ac:dyDescent="0.45">
      <c r="B404" vm="3374">
        <f ca="1"/>
        <v>44749</v>
      </c>
      <c r="C404" vm="3375">
        <f ca="1"/>
        <v>268.39999999999998</v>
      </c>
      <c r="D404" vm="3374">
        <f ca="1"/>
        <v>44749</v>
      </c>
      <c r="E404" vm="3376">
        <f ca="1"/>
        <v>21.15</v>
      </c>
      <c r="F404" vm="3374">
        <f ca="1"/>
        <v>44749</v>
      </c>
      <c r="G404" vm="3377">
        <f ca="1"/>
        <v>202.8</v>
      </c>
      <c r="H404" vm="3374">
        <f ca="1"/>
        <v>44749</v>
      </c>
      <c r="I404" vm="3378">
        <f ca="1"/>
        <v>123.15</v>
      </c>
      <c r="J404" vm="3374">
        <f ca="1"/>
        <v>44749</v>
      </c>
      <c r="K404" vm="3379">
        <f ca="1"/>
        <v>17.850000000000001</v>
      </c>
      <c r="L404" vm="3374">
        <f ca="1"/>
        <v>44749</v>
      </c>
      <c r="M404" vm="3380">
        <f ca="1"/>
        <v>105.83</v>
      </c>
      <c r="N404" vm="3374">
        <f ca="1"/>
        <v>44749</v>
      </c>
      <c r="O404" vm="3381">
        <f ca="1"/>
        <v>357.28</v>
      </c>
      <c r="P404" vm="3374">
        <f ca="1"/>
        <v>44749</v>
      </c>
      <c r="Q404" vm="3382">
        <f ca="1"/>
        <v>21.951000000000001</v>
      </c>
      <c r="R404" s="29">
        <f t="shared" ca="1" si="55"/>
        <v>8.2265880320047998E-3</v>
      </c>
      <c r="S404" s="30">
        <f t="shared" ca="1" si="56"/>
        <v>2.8449502133712054E-3</v>
      </c>
      <c r="T404" s="30">
        <f t="shared" ca="1" si="57"/>
        <v>8.3532219570406057E-3</v>
      </c>
      <c r="U404" s="30">
        <f t="shared" ca="1" si="58"/>
        <v>1.6256808054134337E-2</v>
      </c>
      <c r="V404" s="30">
        <f t="shared" ca="1" si="59"/>
        <v>4.6920821114369543E-2</v>
      </c>
      <c r="W404" s="30">
        <f t="shared" ca="1" si="62"/>
        <v>2.8774181005152073E-2</v>
      </c>
      <c r="X404" s="30">
        <f t="shared" ca="1" si="60"/>
        <v>7.6714801444042486E-3</v>
      </c>
      <c r="Y404" s="31">
        <f t="shared" ca="1" si="61"/>
        <v>0.16574614976101978</v>
      </c>
    </row>
    <row r="405" spans="2:25" x14ac:dyDescent="0.45">
      <c r="B405" vm="3383">
        <f ca="1"/>
        <v>44750</v>
      </c>
      <c r="C405" vm="3384">
        <f ca="1"/>
        <v>267.66000000000003</v>
      </c>
      <c r="D405" vm="3383">
        <f ca="1"/>
        <v>44750</v>
      </c>
      <c r="E405" vm="3385">
        <f ca="1"/>
        <v>20.8</v>
      </c>
      <c r="F405" vm="3383">
        <f ca="1"/>
        <v>44750</v>
      </c>
      <c r="G405" vm="3386">
        <f ca="1"/>
        <v>203.57</v>
      </c>
      <c r="H405" vm="3383">
        <f ca="1"/>
        <v>44750</v>
      </c>
      <c r="I405" vm="3387">
        <f ca="1"/>
        <v>122.51</v>
      </c>
      <c r="J405" vm="3383">
        <f ca="1"/>
        <v>44750</v>
      </c>
      <c r="K405" vm="3388">
        <f ca="1"/>
        <v>17.62</v>
      </c>
      <c r="L405" vm="3383">
        <f ca="1"/>
        <v>44750</v>
      </c>
      <c r="M405" vm="3389">
        <f ca="1"/>
        <v>104.24</v>
      </c>
      <c r="N405" vm="3383">
        <f ca="1"/>
        <v>44750</v>
      </c>
      <c r="O405" vm="3390">
        <f ca="1"/>
        <v>351.84</v>
      </c>
      <c r="P405" vm="3383">
        <f ca="1"/>
        <v>44750</v>
      </c>
      <c r="Q405" vm="3391">
        <f ca="1"/>
        <v>22.128</v>
      </c>
      <c r="R405" s="29">
        <f t="shared" ca="1" si="55"/>
        <v>-2.7570789865870057E-3</v>
      </c>
      <c r="S405" s="30">
        <f t="shared" ca="1" si="56"/>
        <v>-1.6548463356973894E-2</v>
      </c>
      <c r="T405" s="30">
        <f t="shared" ca="1" si="57"/>
        <v>3.7968441814594761E-3</v>
      </c>
      <c r="U405" s="30">
        <f t="shared" ca="1" si="58"/>
        <v>-5.1969143321153113E-3</v>
      </c>
      <c r="V405" s="30">
        <f t="shared" ca="1" si="59"/>
        <v>-1.2885154061624673E-2</v>
      </c>
      <c r="W405" s="30">
        <f t="shared" ca="1" si="62"/>
        <v>-1.5024095247094429E-2</v>
      </c>
      <c r="X405" s="30">
        <f t="shared" ca="1" si="60"/>
        <v>-1.5226153157187635E-2</v>
      </c>
      <c r="Y405" s="31">
        <f t="shared" ca="1" si="61"/>
        <v>8.0634139674729891E-3</v>
      </c>
    </row>
    <row r="406" spans="2:25" x14ac:dyDescent="0.45">
      <c r="B406" vm="3392">
        <f ca="1"/>
        <v>44753</v>
      </c>
      <c r="C406" vm="3393">
        <f ca="1"/>
        <v>264.51</v>
      </c>
      <c r="D406" vm="3392">
        <f ca="1"/>
        <v>44753</v>
      </c>
      <c r="E406" vm="3394">
        <f ca="1"/>
        <v>20.66</v>
      </c>
      <c r="F406" vm="3392">
        <f ca="1"/>
        <v>44753</v>
      </c>
      <c r="G406" vm="2068">
        <f ca="1"/>
        <v>205.06</v>
      </c>
      <c r="H406" vm="3392">
        <f ca="1"/>
        <v>44753</v>
      </c>
      <c r="I406" vm="3395">
        <f ca="1"/>
        <v>123.12</v>
      </c>
      <c r="J406" vm="3392">
        <f ca="1"/>
        <v>44753</v>
      </c>
      <c r="K406" vm="3396">
        <f ca="1"/>
        <v>17.5</v>
      </c>
      <c r="L406" vm="3392">
        <f ca="1"/>
        <v>44753</v>
      </c>
      <c r="M406" vm="3397">
        <f ca="1"/>
        <v>99.15</v>
      </c>
      <c r="N406" vm="3392">
        <f ca="1"/>
        <v>44753</v>
      </c>
      <c r="O406" vm="3398">
        <f ca="1"/>
        <v>355.36</v>
      </c>
      <c r="P406" vm="3392">
        <f ca="1"/>
        <v>44753</v>
      </c>
      <c r="Q406" vm="3399">
        <f ca="1"/>
        <v>20.09</v>
      </c>
      <c r="R406" s="29">
        <f t="shared" ca="1" si="55"/>
        <v>-1.1768661735037114E-2</v>
      </c>
      <c r="S406" s="30">
        <f t="shared" ca="1" si="56"/>
        <v>-6.730769230769258E-3</v>
      </c>
      <c r="T406" s="30">
        <f t="shared" ca="1" si="57"/>
        <v>7.3193496094709886E-3</v>
      </c>
      <c r="U406" s="30">
        <f t="shared" ca="1" si="58"/>
        <v>4.9791853726226382E-3</v>
      </c>
      <c r="V406" s="30">
        <f t="shared" ca="1" si="59"/>
        <v>-6.8104426787741765E-3</v>
      </c>
      <c r="W406" s="30">
        <f t="shared" ca="1" si="62"/>
        <v>-4.88296239447428E-2</v>
      </c>
      <c r="X406" s="30">
        <f t="shared" ca="1" si="60"/>
        <v>1.0004547521600838E-2</v>
      </c>
      <c r="Y406" s="31">
        <f t="shared" ca="1" si="61"/>
        <v>-9.2100506146059302E-2</v>
      </c>
    </row>
    <row r="407" spans="2:25" x14ac:dyDescent="0.45">
      <c r="B407" vm="3400">
        <f ca="1"/>
        <v>44754</v>
      </c>
      <c r="C407" vm="3401">
        <f ca="1"/>
        <v>253.67</v>
      </c>
      <c r="D407" vm="3400">
        <f ca="1"/>
        <v>44754</v>
      </c>
      <c r="E407" vm="3402">
        <f ca="1"/>
        <v>20.6</v>
      </c>
      <c r="F407" vm="3400">
        <f ca="1"/>
        <v>44754</v>
      </c>
      <c r="G407" vm="3403">
        <f ca="1"/>
        <v>204.82</v>
      </c>
      <c r="H407" vm="3400">
        <f ca="1"/>
        <v>44754</v>
      </c>
      <c r="I407" vm="3404">
        <f ca="1"/>
        <v>119.24</v>
      </c>
      <c r="J407" vm="3400">
        <f ca="1"/>
        <v>44754</v>
      </c>
      <c r="K407" vm="3396">
        <f ca="1"/>
        <v>17.5</v>
      </c>
      <c r="L407" vm="3400">
        <f ca="1"/>
        <v>44754</v>
      </c>
      <c r="M407" vm="3405">
        <f ca="1"/>
        <v>99.58</v>
      </c>
      <c r="N407" vm="3400">
        <f ca="1"/>
        <v>44754</v>
      </c>
      <c r="O407" vm="3406">
        <f ca="1"/>
        <v>359.68</v>
      </c>
      <c r="P407" vm="3400">
        <f ca="1"/>
        <v>44754</v>
      </c>
      <c r="Q407" vm="3407">
        <f ca="1"/>
        <v>19.251999999999999</v>
      </c>
      <c r="R407" s="29">
        <f t="shared" ca="1" si="55"/>
        <v>-4.0981437374768455E-2</v>
      </c>
      <c r="S407" s="30">
        <f t="shared" ca="1" si="56"/>
        <v>-2.9041626331073921E-3</v>
      </c>
      <c r="T407" s="30">
        <f t="shared" ca="1" si="57"/>
        <v>-1.1703891543938803E-3</v>
      </c>
      <c r="U407" s="30">
        <f t="shared" ca="1" si="58"/>
        <v>-3.1513970110461413E-2</v>
      </c>
      <c r="V407" s="30">
        <f t="shared" ca="1" si="59"/>
        <v>0</v>
      </c>
      <c r="W407" s="30">
        <f t="shared" ca="1" si="62"/>
        <v>4.336863338376123E-3</v>
      </c>
      <c r="X407" s="30">
        <f t="shared" ca="1" si="60"/>
        <v>1.215668617739755E-2</v>
      </c>
      <c r="Y407" s="31">
        <f t="shared" ca="1" si="61"/>
        <v>-4.1712294673967198E-2</v>
      </c>
    </row>
    <row r="408" spans="2:25" x14ac:dyDescent="0.45">
      <c r="B408" vm="3408">
        <f ca="1"/>
        <v>44755</v>
      </c>
      <c r="C408" vm="3409">
        <f ca="1"/>
        <v>252.72</v>
      </c>
      <c r="D408" vm="3408">
        <f ca="1"/>
        <v>44755</v>
      </c>
      <c r="E408" vm="230">
        <f ca="1"/>
        <v>20.45</v>
      </c>
      <c r="F408" vm="3408">
        <f ca="1"/>
        <v>44755</v>
      </c>
      <c r="G408" vm="3410">
        <f ca="1"/>
        <v>204.15</v>
      </c>
      <c r="H408" vm="3408">
        <f ca="1"/>
        <v>44755</v>
      </c>
      <c r="I408" vm="3411">
        <f ca="1"/>
        <v>118.65</v>
      </c>
      <c r="J408" vm="3408">
        <f ca="1"/>
        <v>44755</v>
      </c>
      <c r="K408" vm="3412">
        <f ca="1"/>
        <v>18.07</v>
      </c>
      <c r="L408" vm="3408">
        <f ca="1"/>
        <v>44755</v>
      </c>
      <c r="M408" vm="3413">
        <f ca="1"/>
        <v>99.21</v>
      </c>
      <c r="N408" vm="3408">
        <f ca="1"/>
        <v>44755</v>
      </c>
      <c r="O408" vm="3414">
        <f ca="1"/>
        <v>358.56</v>
      </c>
      <c r="P408" vm="3408">
        <f ca="1"/>
        <v>44755</v>
      </c>
      <c r="Q408" vm="3415">
        <f ca="1"/>
        <v>19.555</v>
      </c>
      <c r="R408" s="29">
        <f t="shared" ca="1" si="55"/>
        <v>-3.7450230614577548E-3</v>
      </c>
      <c r="S408" s="30">
        <f t="shared" ca="1" si="56"/>
        <v>-7.281553398058355E-3</v>
      </c>
      <c r="T408" s="30">
        <f t="shared" ca="1" si="57"/>
        <v>-3.2711649253002028E-3</v>
      </c>
      <c r="U408" s="30">
        <f t="shared" ca="1" si="58"/>
        <v>-4.9480040254947103E-3</v>
      </c>
      <c r="V408" s="30">
        <f t="shared" ca="1" si="59"/>
        <v>3.2571428571428584E-2</v>
      </c>
      <c r="W408" s="30">
        <f t="shared" ca="1" si="62"/>
        <v>-3.7156055432818291E-3</v>
      </c>
      <c r="X408" s="30">
        <f t="shared" ca="1" si="60"/>
        <v>-3.1138790035587314E-3</v>
      </c>
      <c r="Y408" s="31">
        <f t="shared" ca="1" si="61"/>
        <v>1.5738624558487475E-2</v>
      </c>
    </row>
    <row r="409" spans="2:25" x14ac:dyDescent="0.45">
      <c r="B409" vm="3416">
        <f ca="1"/>
        <v>44756</v>
      </c>
      <c r="C409" vm="3105">
        <f ca="1"/>
        <v>254.08</v>
      </c>
      <c r="D409" vm="3416">
        <f ca="1"/>
        <v>44756</v>
      </c>
      <c r="E409" vm="3417">
        <f ca="1"/>
        <v>20.329999999999998</v>
      </c>
      <c r="F409" vm="3416">
        <f ca="1"/>
        <v>44756</v>
      </c>
      <c r="G409" vm="3418">
        <f ca="1"/>
        <v>205.91</v>
      </c>
      <c r="H409" vm="3416">
        <f ca="1"/>
        <v>44756</v>
      </c>
      <c r="I409" vm="3419">
        <f ca="1"/>
        <v>115.88</v>
      </c>
      <c r="J409" vm="3416">
        <f ca="1"/>
        <v>44756</v>
      </c>
      <c r="K409" vm="3420">
        <f ca="1"/>
        <v>17.34</v>
      </c>
      <c r="L409" vm="3416">
        <f ca="1"/>
        <v>44756</v>
      </c>
      <c r="M409" vm="3421">
        <f ca="1"/>
        <v>96.32</v>
      </c>
      <c r="N409" vm="3416">
        <f ca="1"/>
        <v>44756</v>
      </c>
      <c r="O409" vm="3422">
        <f ca="1"/>
        <v>357.12</v>
      </c>
      <c r="P409" vm="3416">
        <f ca="1"/>
        <v>44756</v>
      </c>
      <c r="Q409" vm="3423">
        <f ca="1"/>
        <v>20.459</v>
      </c>
      <c r="R409" s="29">
        <f t="shared" ca="1" si="55"/>
        <v>5.3814498258943242E-3</v>
      </c>
      <c r="S409" s="30">
        <f t="shared" ca="1" si="56"/>
        <v>-5.8679706601467482E-3</v>
      </c>
      <c r="T409" s="30">
        <f t="shared" ca="1" si="57"/>
        <v>8.6211119275042408E-3</v>
      </c>
      <c r="U409" s="30">
        <f t="shared" ca="1" si="58"/>
        <v>-2.3345975558365022E-2</v>
      </c>
      <c r="V409" s="30">
        <f t="shared" ca="1" si="59"/>
        <v>-4.0398450470392942E-2</v>
      </c>
      <c r="W409" s="30">
        <f t="shared" ca="1" si="62"/>
        <v>-2.9130128011289193E-2</v>
      </c>
      <c r="X409" s="30">
        <f t="shared" ca="1" si="60"/>
        <v>-4.016064257028106E-3</v>
      </c>
      <c r="Y409" s="31">
        <f t="shared" ca="1" si="61"/>
        <v>4.6228586039376116E-2</v>
      </c>
    </row>
    <row r="410" spans="2:25" x14ac:dyDescent="0.45">
      <c r="B410" vm="3424">
        <f ca="1"/>
        <v>44757</v>
      </c>
      <c r="C410" vm="3425">
        <f ca="1"/>
        <v>256.72000000000003</v>
      </c>
      <c r="D410" vm="3424">
        <f ca="1"/>
        <v>44757</v>
      </c>
      <c r="E410" vm="3099">
        <f ca="1"/>
        <v>20.57</v>
      </c>
      <c r="F410" vm="3424">
        <f ca="1"/>
        <v>44757</v>
      </c>
      <c r="G410" vm="3426">
        <f ca="1"/>
        <v>210.04</v>
      </c>
      <c r="H410" vm="3424">
        <f ca="1"/>
        <v>44757</v>
      </c>
      <c r="I410" vm="3427">
        <f ca="1"/>
        <v>118.83</v>
      </c>
      <c r="J410" vm="3424">
        <f ca="1"/>
        <v>44757</v>
      </c>
      <c r="K410" vm="3428">
        <f ca="1"/>
        <v>17.73</v>
      </c>
      <c r="L410" vm="3424">
        <f ca="1"/>
        <v>44757</v>
      </c>
      <c r="M410" vm="3429">
        <f ca="1"/>
        <v>102.33</v>
      </c>
      <c r="N410" vm="3424">
        <f ca="1"/>
        <v>44757</v>
      </c>
      <c r="O410" vm="3430">
        <f ca="1"/>
        <v>344.64</v>
      </c>
      <c r="P410" vm="3424">
        <f ca="1"/>
        <v>44757</v>
      </c>
      <c r="Q410" vm="3431">
        <f ca="1"/>
        <v>21.398</v>
      </c>
      <c r="R410" s="29">
        <f t="shared" ca="1" si="55"/>
        <v>1.039042821158696E-2</v>
      </c>
      <c r="S410" s="30">
        <f t="shared" ca="1" si="56"/>
        <v>1.1805213969503296E-2</v>
      </c>
      <c r="T410" s="30">
        <f t="shared" ca="1" si="57"/>
        <v>2.0057306590257857E-2</v>
      </c>
      <c r="U410" s="30">
        <f t="shared" ca="1" si="58"/>
        <v>2.5457369692785666E-2</v>
      </c>
      <c r="V410" s="30">
        <f t="shared" ca="1" si="59"/>
        <v>2.249134948096889E-2</v>
      </c>
      <c r="W410" s="30">
        <f t="shared" ca="1" si="62"/>
        <v>6.2396179401993414E-2</v>
      </c>
      <c r="X410" s="30">
        <f t="shared" ca="1" si="60"/>
        <v>-3.4946236559139837E-2</v>
      </c>
      <c r="Y410" s="31">
        <f t="shared" ca="1" si="61"/>
        <v>4.5896671391563622E-2</v>
      </c>
    </row>
    <row r="411" spans="2:25" x14ac:dyDescent="0.45">
      <c r="B411" vm="3432">
        <f ca="1"/>
        <v>44760</v>
      </c>
      <c r="C411" vm="3433">
        <f ca="1"/>
        <v>254.25</v>
      </c>
      <c r="D411" vm="3432">
        <f ca="1"/>
        <v>44760</v>
      </c>
      <c r="E411" vm="3434">
        <f ca="1"/>
        <v>20.53</v>
      </c>
      <c r="F411" vm="3432">
        <f ca="1"/>
        <v>44760</v>
      </c>
      <c r="G411" vm="3435">
        <f ca="1"/>
        <v>207.21</v>
      </c>
      <c r="H411" vm="3432">
        <f ca="1"/>
        <v>44760</v>
      </c>
      <c r="I411" vm="3436">
        <f ca="1"/>
        <v>115.11</v>
      </c>
      <c r="J411" vm="3432">
        <f ca="1"/>
        <v>44760</v>
      </c>
      <c r="K411" vm="3437">
        <f ca="1"/>
        <v>18.5</v>
      </c>
      <c r="L411" vm="3432">
        <f ca="1"/>
        <v>44760</v>
      </c>
      <c r="M411" vm="3438">
        <f ca="1"/>
        <v>103.57</v>
      </c>
      <c r="N411" vm="3432">
        <f ca="1"/>
        <v>44760</v>
      </c>
      <c r="O411" vm="3439">
        <f ca="1"/>
        <v>350.56</v>
      </c>
      <c r="P411" vm="3432">
        <f ca="1"/>
        <v>44760</v>
      </c>
      <c r="Q411" vm="3440">
        <f ca="1"/>
        <v>22.562999999999999</v>
      </c>
      <c r="R411" s="29">
        <f t="shared" ca="1" si="55"/>
        <v>-9.6213773761297406E-3</v>
      </c>
      <c r="S411" s="30">
        <f t="shared" ca="1" si="56"/>
        <v>-1.9445794846863951E-3</v>
      </c>
      <c r="T411" s="30">
        <f t="shared" ca="1" si="57"/>
        <v>-1.3473624071605333E-2</v>
      </c>
      <c r="U411" s="30">
        <f t="shared" ca="1" si="58"/>
        <v>-3.1305225953042151E-2</v>
      </c>
      <c r="V411" s="30">
        <f t="shared" ca="1" si="59"/>
        <v>4.3429216018048479E-2</v>
      </c>
      <c r="W411" s="30">
        <f t="shared" ca="1" si="62"/>
        <v>1.2117658555653228E-2</v>
      </c>
      <c r="X411" s="30">
        <f t="shared" ca="1" si="60"/>
        <v>1.7177344475394662E-2</v>
      </c>
      <c r="Y411" s="31">
        <f t="shared" ca="1" si="61"/>
        <v>5.4444340592578709E-2</v>
      </c>
    </row>
    <row r="412" spans="2:25" x14ac:dyDescent="0.45">
      <c r="B412" vm="3441">
        <f ca="1"/>
        <v>44761</v>
      </c>
      <c r="C412" vm="3442">
        <f ca="1"/>
        <v>259.52999999999997</v>
      </c>
      <c r="D412" vm="3441">
        <f ca="1"/>
        <v>44761</v>
      </c>
      <c r="E412" vm="3385">
        <f ca="1"/>
        <v>20.8</v>
      </c>
      <c r="F412" vm="3441">
        <f ca="1"/>
        <v>44761</v>
      </c>
      <c r="G412" vm="3443">
        <f ca="1"/>
        <v>213.66</v>
      </c>
      <c r="H412" vm="3441">
        <f ca="1"/>
        <v>44761</v>
      </c>
      <c r="I412" vm="3444">
        <f ca="1"/>
        <v>119.06</v>
      </c>
      <c r="J412" vm="3441">
        <f ca="1"/>
        <v>44761</v>
      </c>
      <c r="K412" vm="3445">
        <f ca="1"/>
        <v>19.28</v>
      </c>
      <c r="L412" vm="3441">
        <f ca="1"/>
        <v>44761</v>
      </c>
      <c r="M412" vm="3446">
        <f ca="1"/>
        <v>108.68</v>
      </c>
      <c r="N412" vm="3441">
        <f ca="1"/>
        <v>44761</v>
      </c>
      <c r="O412" vm="3447">
        <f ca="1"/>
        <v>349.6</v>
      </c>
      <c r="P412" vm="3441">
        <f ca="1"/>
        <v>44761</v>
      </c>
      <c r="Q412" vm="3448">
        <f ca="1"/>
        <v>26.716999999999999</v>
      </c>
      <c r="R412" s="29">
        <f t="shared" ca="1" si="55"/>
        <v>2.0766961651917298E-2</v>
      </c>
      <c r="S412" s="30">
        <f t="shared" ca="1" si="56"/>
        <v>1.3151485630784197E-2</v>
      </c>
      <c r="T412" s="30">
        <f t="shared" ca="1" si="57"/>
        <v>3.112784132039954E-2</v>
      </c>
      <c r="U412" s="30">
        <f t="shared" ca="1" si="58"/>
        <v>3.4315003040569912E-2</v>
      </c>
      <c r="V412" s="30">
        <f t="shared" ca="1" si="59"/>
        <v>4.2162162162162224E-2</v>
      </c>
      <c r="W412" s="30">
        <f t="shared" ca="1" si="62"/>
        <v>4.9338611567056233E-2</v>
      </c>
      <c r="X412" s="30">
        <f t="shared" ca="1" si="60"/>
        <v>-2.7384755819260028E-3</v>
      </c>
      <c r="Y412" s="31">
        <f t="shared" ca="1" si="61"/>
        <v>0.18410672339671144</v>
      </c>
    </row>
    <row r="413" spans="2:25" x14ac:dyDescent="0.45">
      <c r="B413" vm="3449">
        <f ca="1"/>
        <v>44762</v>
      </c>
      <c r="C413" vm="3450">
        <f ca="1"/>
        <v>262.27</v>
      </c>
      <c r="D413" vm="3449">
        <f ca="1"/>
        <v>44762</v>
      </c>
      <c r="E413" vm="3451">
        <f ca="1"/>
        <v>20.48</v>
      </c>
      <c r="F413" vm="3449">
        <f ca="1"/>
        <v>44762</v>
      </c>
      <c r="G413" vm="3452">
        <f ca="1"/>
        <v>213.37</v>
      </c>
      <c r="H413" vm="3449">
        <f ca="1"/>
        <v>44762</v>
      </c>
      <c r="I413" vm="3453">
        <f ca="1"/>
        <v>119.86</v>
      </c>
      <c r="J413" vm="3449">
        <f ca="1"/>
        <v>44762</v>
      </c>
      <c r="K413" vm="3454">
        <f ca="1"/>
        <v>19.75</v>
      </c>
      <c r="L413" vm="3449">
        <f ca="1"/>
        <v>44762</v>
      </c>
      <c r="M413" vm="3455">
        <f ca="1"/>
        <v>113.25</v>
      </c>
      <c r="N413" vm="3449">
        <f ca="1"/>
        <v>44762</v>
      </c>
      <c r="O413" vm="3456">
        <f ca="1"/>
        <v>345.12</v>
      </c>
      <c r="P413" vm="3449">
        <f ca="1"/>
        <v>44762</v>
      </c>
      <c r="Q413" vm="3457">
        <f ca="1"/>
        <v>28.876999999999999</v>
      </c>
      <c r="R413" s="29">
        <f t="shared" ca="1" si="55"/>
        <v>1.0557546333757212E-2</v>
      </c>
      <c r="S413" s="30">
        <f t="shared" ca="1" si="56"/>
        <v>-1.5384615384615398E-2</v>
      </c>
      <c r="T413" s="30">
        <f t="shared" ca="1" si="57"/>
        <v>-1.3572966395206966E-3</v>
      </c>
      <c r="U413" s="30">
        <f t="shared" ca="1" si="58"/>
        <v>6.7193011926759373E-3</v>
      </c>
      <c r="V413" s="30">
        <f t="shared" ca="1" si="59"/>
        <v>2.4377593360995792E-2</v>
      </c>
      <c r="W413" s="30">
        <f t="shared" ca="1" si="62"/>
        <v>4.2050055207949882E-2</v>
      </c>
      <c r="X413" s="30">
        <f t="shared" ca="1" si="60"/>
        <v>-1.2814645308924537E-2</v>
      </c>
      <c r="Y413" s="31">
        <f t="shared" ca="1" si="61"/>
        <v>8.0847400531496805E-2</v>
      </c>
    </row>
    <row r="414" spans="2:25" x14ac:dyDescent="0.45">
      <c r="B414" vm="3458">
        <f ca="1"/>
        <v>44763</v>
      </c>
      <c r="C414" vm="3459">
        <f ca="1"/>
        <v>264.83999999999997</v>
      </c>
      <c r="D414" vm="3458">
        <f ca="1"/>
        <v>44763</v>
      </c>
      <c r="E414" vm="3460">
        <f ca="1"/>
        <v>18.920000000000002</v>
      </c>
      <c r="F414" vm="3458">
        <f ca="1"/>
        <v>44763</v>
      </c>
      <c r="G414" vm="3461">
        <f ca="1"/>
        <v>216.19</v>
      </c>
      <c r="H414" vm="3458">
        <f ca="1"/>
        <v>44763</v>
      </c>
      <c r="I414" vm="3462">
        <f ca="1"/>
        <v>127.19</v>
      </c>
      <c r="J414" vm="3458">
        <f ca="1"/>
        <v>44763</v>
      </c>
      <c r="K414" vm="3463">
        <f ca="1"/>
        <v>20.36</v>
      </c>
      <c r="L414" vm="3458">
        <f ca="1"/>
        <v>44763</v>
      </c>
      <c r="M414" vm="3464">
        <f ca="1"/>
        <v>115.62</v>
      </c>
      <c r="N414" vm="3458">
        <f ca="1"/>
        <v>44763</v>
      </c>
      <c r="O414" vm="3465">
        <f ca="1"/>
        <v>339.2</v>
      </c>
      <c r="P414" vm="3458">
        <f ca="1"/>
        <v>44763</v>
      </c>
      <c r="Q414" vm="3466">
        <f ca="1"/>
        <v>28.971</v>
      </c>
      <c r="R414" s="29">
        <f t="shared" ca="1" si="55"/>
        <v>9.7990620353071017E-3</v>
      </c>
      <c r="S414" s="30">
        <f t="shared" ca="1" si="56"/>
        <v>-7.6171874999999931E-2</v>
      </c>
      <c r="T414" s="30">
        <f t="shared" ca="1" si="57"/>
        <v>1.3216478417771913E-2</v>
      </c>
      <c r="U414" s="30">
        <f t="shared" ca="1" si="58"/>
        <v>6.1154680460537278E-2</v>
      </c>
      <c r="V414" s="30">
        <f t="shared" ca="1" si="59"/>
        <v>3.088607594936706E-2</v>
      </c>
      <c r="W414" s="30">
        <f t="shared" ca="1" si="62"/>
        <v>2.0927152317880834E-2</v>
      </c>
      <c r="X414" s="30">
        <f t="shared" ca="1" si="60"/>
        <v>-1.7153453871117337E-2</v>
      </c>
      <c r="Y414" s="31">
        <f t="shared" ca="1" si="61"/>
        <v>3.2551857879974098E-3</v>
      </c>
    </row>
    <row r="415" spans="2:25" x14ac:dyDescent="0.45">
      <c r="B415" vm="3467">
        <f ca="1"/>
        <v>44764</v>
      </c>
      <c r="C415" vm="3468">
        <f ca="1"/>
        <v>260.36</v>
      </c>
      <c r="D415" vm="3467">
        <f ca="1"/>
        <v>44764</v>
      </c>
      <c r="E415" vm="3469">
        <f ca="1"/>
        <v>18.399999999999999</v>
      </c>
      <c r="F415" vm="3467">
        <f ca="1"/>
        <v>44764</v>
      </c>
      <c r="G415" vm="3470">
        <f ca="1"/>
        <v>213.7</v>
      </c>
      <c r="H415" vm="3467">
        <f ca="1"/>
        <v>44764</v>
      </c>
      <c r="I415" vm="3471">
        <f ca="1"/>
        <v>125.04</v>
      </c>
      <c r="J415" vm="3467">
        <f ca="1"/>
        <v>44764</v>
      </c>
      <c r="K415" vm="3242">
        <f ca="1"/>
        <v>19.760000000000002</v>
      </c>
      <c r="L415" vm="3467">
        <f ca="1"/>
        <v>44764</v>
      </c>
      <c r="M415" vm="3472">
        <f ca="1"/>
        <v>111.65</v>
      </c>
      <c r="N415" vm="3467">
        <f ca="1"/>
        <v>44764</v>
      </c>
      <c r="O415" vm="3473">
        <f ca="1"/>
        <v>342.4</v>
      </c>
      <c r="P415" vm="3467">
        <f ca="1"/>
        <v>44764</v>
      </c>
      <c r="Q415" vm="3474">
        <f ca="1"/>
        <v>28.192</v>
      </c>
      <c r="R415" s="29">
        <f t="shared" ca="1" si="55"/>
        <v>-1.6915873735085189E-2</v>
      </c>
      <c r="S415" s="30">
        <f t="shared" ca="1" si="56"/>
        <v>-2.7484143763213693E-2</v>
      </c>
      <c r="T415" s="30">
        <f t="shared" ca="1" si="57"/>
        <v>-1.1517646514639943E-2</v>
      </c>
      <c r="U415" s="30">
        <f t="shared" ca="1" si="58"/>
        <v>-1.6903844641874295E-2</v>
      </c>
      <c r="V415" s="30">
        <f t="shared" ca="1" si="59"/>
        <v>-2.9469548133595182E-2</v>
      </c>
      <c r="W415" s="30">
        <f t="shared" ca="1" si="62"/>
        <v>-3.4336619961944287E-2</v>
      </c>
      <c r="X415" s="30">
        <f t="shared" ca="1" si="60"/>
        <v>9.4339622641509101E-3</v>
      </c>
      <c r="Y415" s="31">
        <f t="shared" ca="1" si="61"/>
        <v>-2.688895792344068E-2</v>
      </c>
    </row>
    <row r="416" spans="2:25" x14ac:dyDescent="0.45">
      <c r="B416" vm="3475">
        <f ca="1"/>
        <v>44767</v>
      </c>
      <c r="C416" vm="3476">
        <f ca="1"/>
        <v>258.83</v>
      </c>
      <c r="D416" vm="3475">
        <f ca="1"/>
        <v>44767</v>
      </c>
      <c r="E416" vm="3477">
        <f ca="1"/>
        <v>18.53</v>
      </c>
      <c r="F416" vm="3475">
        <f ca="1"/>
        <v>44767</v>
      </c>
      <c r="G416" vm="3478">
        <f ca="1"/>
        <v>214.27</v>
      </c>
      <c r="H416" vm="3475">
        <f ca="1"/>
        <v>44767</v>
      </c>
      <c r="I416" vm="3479">
        <f ca="1"/>
        <v>124.26</v>
      </c>
      <c r="J416" vm="3475">
        <f ca="1"/>
        <v>44767</v>
      </c>
      <c r="K416" vm="3480">
        <f ca="1"/>
        <v>20.3</v>
      </c>
      <c r="L416" vm="3475">
        <f ca="1"/>
        <v>44767</v>
      </c>
      <c r="M416" vm="3481">
        <f ca="1"/>
        <v>110.42</v>
      </c>
      <c r="N416" vm="3475">
        <f ca="1"/>
        <v>44767</v>
      </c>
      <c r="O416" vm="3482">
        <f ca="1"/>
        <v>338.4</v>
      </c>
      <c r="P416" vm="3475">
        <f ca="1"/>
        <v>44767</v>
      </c>
      <c r="Q416" vm="3483">
        <f ca="1"/>
        <v>26.585999999999999</v>
      </c>
      <c r="R416" s="29">
        <f t="shared" ca="1" si="55"/>
        <v>-5.8764787217699703E-3</v>
      </c>
      <c r="S416" s="30">
        <f t="shared" ca="1" si="56"/>
        <v>7.0652173913044874E-3</v>
      </c>
      <c r="T416" s="30">
        <f t="shared" ca="1" si="57"/>
        <v>2.6672905942911633E-3</v>
      </c>
      <c r="U416" s="30">
        <f t="shared" ca="1" si="58"/>
        <v>-6.2380038387716023E-3</v>
      </c>
      <c r="V416" s="30">
        <f t="shared" ca="1" si="59"/>
        <v>2.7327935222672021E-2</v>
      </c>
      <c r="W416" s="30">
        <f t="shared" ca="1" si="62"/>
        <v>-1.1016569637259327E-2</v>
      </c>
      <c r="X416" s="30">
        <f t="shared" ca="1" si="60"/>
        <v>-1.1682242990654207E-2</v>
      </c>
      <c r="Y416" s="31">
        <f t="shared" ca="1" si="61"/>
        <v>-5.6966515323496086E-2</v>
      </c>
    </row>
    <row r="417" spans="2:25" x14ac:dyDescent="0.45">
      <c r="B417" vm="3484">
        <f ca="1"/>
        <v>44768</v>
      </c>
      <c r="C417" vm="3485">
        <f ca="1"/>
        <v>251.9</v>
      </c>
      <c r="D417" vm="3484">
        <f ca="1"/>
        <v>44768</v>
      </c>
      <c r="E417" vm="526">
        <f ca="1"/>
        <v>18.3</v>
      </c>
      <c r="F417" vm="3484">
        <f ca="1"/>
        <v>44768</v>
      </c>
      <c r="G417" vm="3486">
        <f ca="1"/>
        <v>212.49</v>
      </c>
      <c r="H417" vm="3484">
        <f ca="1"/>
        <v>44768</v>
      </c>
      <c r="I417" vm="3487">
        <f ca="1"/>
        <v>125.17</v>
      </c>
      <c r="J417" vm="3484">
        <f ca="1"/>
        <v>44768</v>
      </c>
      <c r="K417" vm="3121">
        <f ca="1"/>
        <v>20.399999999999999</v>
      </c>
      <c r="L417" vm="3484">
        <f ca="1"/>
        <v>44768</v>
      </c>
      <c r="M417" vm="3488">
        <f ca="1"/>
        <v>103.97</v>
      </c>
      <c r="N417" vm="3484">
        <f ca="1"/>
        <v>44768</v>
      </c>
      <c r="O417" vm="3214">
        <f ca="1"/>
        <v>346.72</v>
      </c>
      <c r="P417" vm="3484">
        <f ca="1"/>
        <v>44768</v>
      </c>
      <c r="Q417" vm="3489">
        <f ca="1"/>
        <v>23.763999999999999</v>
      </c>
      <c r="R417" s="29">
        <f t="shared" ca="1" si="55"/>
        <v>-2.6774330641733873E-2</v>
      </c>
      <c r="S417" s="30">
        <f t="shared" ca="1" si="56"/>
        <v>-1.2412304371289823E-2</v>
      </c>
      <c r="T417" s="30">
        <f t="shared" ca="1" si="57"/>
        <v>-8.3072758668969113E-3</v>
      </c>
      <c r="U417" s="30">
        <f t="shared" ca="1" si="58"/>
        <v>7.3233542572026123E-3</v>
      </c>
      <c r="V417" s="30">
        <f t="shared" ca="1" si="59"/>
        <v>4.9261083743841316E-3</v>
      </c>
      <c r="W417" s="30">
        <f t="shared" ca="1" si="62"/>
        <v>-5.8413330918311926E-2</v>
      </c>
      <c r="X417" s="30">
        <f t="shared" ca="1" si="60"/>
        <v>2.45862884160758E-2</v>
      </c>
      <c r="Y417" s="31">
        <f t="shared" ca="1" si="61"/>
        <v>-0.10614609192808243</v>
      </c>
    </row>
    <row r="418" spans="2:25" x14ac:dyDescent="0.45">
      <c r="B418" vm="3490">
        <f ca="1"/>
        <v>44769</v>
      </c>
      <c r="C418" vm="3491">
        <f ca="1"/>
        <v>268.74</v>
      </c>
      <c r="D418" vm="3490">
        <f ca="1"/>
        <v>44769</v>
      </c>
      <c r="E418" vm="3492">
        <f ca="1"/>
        <v>18.39</v>
      </c>
      <c r="F418" vm="3490">
        <f ca="1"/>
        <v>44769</v>
      </c>
      <c r="G418" vm="3493">
        <f ca="1"/>
        <v>210.47</v>
      </c>
      <c r="H418" vm="3490">
        <f ca="1"/>
        <v>44769</v>
      </c>
      <c r="I418" vm="3494">
        <f ca="1"/>
        <v>127.71</v>
      </c>
      <c r="J418" vm="3490">
        <f ca="1"/>
        <v>44769</v>
      </c>
      <c r="K418" vm="3495">
        <f ca="1"/>
        <v>21.24</v>
      </c>
      <c r="L418" vm="3490">
        <f ca="1"/>
        <v>44769</v>
      </c>
      <c r="M418" vm="3496">
        <f ca="1"/>
        <v>116.61</v>
      </c>
      <c r="N418" vm="3490">
        <f ca="1"/>
        <v>44769</v>
      </c>
      <c r="O418" vm="3497">
        <f ca="1"/>
        <v>340.96</v>
      </c>
      <c r="P418" vm="3490">
        <f ca="1"/>
        <v>44769</v>
      </c>
      <c r="Q418" vm="3498">
        <f ca="1"/>
        <v>26.24</v>
      </c>
      <c r="R418" s="29">
        <f t="shared" ca="1" si="55"/>
        <v>6.6851925367209228E-2</v>
      </c>
      <c r="S418" s="30">
        <f t="shared" ca="1" si="56"/>
        <v>4.9180327868852377E-3</v>
      </c>
      <c r="T418" s="30">
        <f t="shared" ca="1" si="57"/>
        <v>-9.5063297096334414E-3</v>
      </c>
      <c r="U418" s="30">
        <f t="shared" ca="1" si="58"/>
        <v>2.0292402332827291E-2</v>
      </c>
      <c r="V418" s="30">
        <f t="shared" ca="1" si="59"/>
        <v>4.1176470588235287E-2</v>
      </c>
      <c r="W418" s="30">
        <f t="shared" ca="1" si="62"/>
        <v>0.12157353082619987</v>
      </c>
      <c r="X418" s="30">
        <f t="shared" ca="1" si="60"/>
        <v>-1.661282879557005E-2</v>
      </c>
      <c r="Y418" s="31">
        <f t="shared" ca="1" si="61"/>
        <v>0.10419121360040394</v>
      </c>
    </row>
    <row r="419" spans="2:25" x14ac:dyDescent="0.45">
      <c r="B419" vm="3499">
        <f ca="1"/>
        <v>44770</v>
      </c>
      <c r="C419" vm="3500">
        <f ca="1"/>
        <v>276.41000000000003</v>
      </c>
      <c r="D419" vm="3499">
        <f ca="1"/>
        <v>44770</v>
      </c>
      <c r="E419" vm="3501">
        <f ca="1"/>
        <v>18.579999999999998</v>
      </c>
      <c r="F419" vm="3499">
        <f ca="1"/>
        <v>44770</v>
      </c>
      <c r="G419" vm="3502">
        <f ca="1"/>
        <v>211.35</v>
      </c>
      <c r="H419" vm="3499">
        <f ca="1"/>
        <v>44770</v>
      </c>
      <c r="I419" vm="3503">
        <f ca="1"/>
        <v>131.11000000000001</v>
      </c>
      <c r="J419" vm="3499">
        <f ca="1"/>
        <v>44770</v>
      </c>
      <c r="K419" vm="3504">
        <f ca="1"/>
        <v>21.7</v>
      </c>
      <c r="L419" vm="3499">
        <f ca="1"/>
        <v>44770</v>
      </c>
      <c r="M419" vm="3505">
        <f ca="1"/>
        <v>114.59</v>
      </c>
      <c r="N419" vm="3499">
        <f ca="1"/>
        <v>44770</v>
      </c>
      <c r="O419" vm="3506">
        <f ca="1"/>
        <v>333.12</v>
      </c>
      <c r="P419" vm="3499">
        <f ca="1"/>
        <v>44770</v>
      </c>
      <c r="Q419" vm="3507">
        <f ca="1"/>
        <v>27.571999999999999</v>
      </c>
      <c r="R419" s="29">
        <f t="shared" ca="1" si="55"/>
        <v>2.8540596859418083E-2</v>
      </c>
      <c r="S419" s="30">
        <f t="shared" ca="1" si="56"/>
        <v>1.0331702011962899E-2</v>
      </c>
      <c r="T419" s="30">
        <f t="shared" ca="1" si="57"/>
        <v>4.1811184491851354E-3</v>
      </c>
      <c r="U419" s="30">
        <f t="shared" ca="1" si="58"/>
        <v>2.6622817320491897E-2</v>
      </c>
      <c r="V419" s="30">
        <f t="shared" ca="1" si="59"/>
        <v>2.1657250470809835E-2</v>
      </c>
      <c r="W419" s="30">
        <f t="shared" ca="1" si="62"/>
        <v>-1.7322699596947055E-2</v>
      </c>
      <c r="X419" s="30">
        <f t="shared" ca="1" si="60"/>
        <v>-2.2993899577662995E-2</v>
      </c>
      <c r="Y419" s="31">
        <f t="shared" ca="1" si="61"/>
        <v>5.0762195121951251E-2</v>
      </c>
    </row>
    <row r="420" spans="2:25" x14ac:dyDescent="0.45">
      <c r="B420" vm="3508">
        <f ca="1"/>
        <v>44771</v>
      </c>
      <c r="C420" vm="3509">
        <f ca="1"/>
        <v>280.74</v>
      </c>
      <c r="D420" vm="3508">
        <f ca="1"/>
        <v>44771</v>
      </c>
      <c r="E420" vm="3510">
        <f ca="1"/>
        <v>18.78</v>
      </c>
      <c r="F420" vm="3508">
        <f ca="1"/>
        <v>44771</v>
      </c>
      <c r="G420" vm="491">
        <f ca="1"/>
        <v>212.11</v>
      </c>
      <c r="H420" vm="3508">
        <f ca="1"/>
        <v>44771</v>
      </c>
      <c r="I420" vm="3511">
        <f ca="1"/>
        <v>134.1</v>
      </c>
      <c r="J420" vm="3508">
        <f ca="1"/>
        <v>44771</v>
      </c>
      <c r="K420" vm="3512">
        <f ca="1"/>
        <v>23.65</v>
      </c>
      <c r="L420" vm="3508">
        <f ca="1"/>
        <v>44771</v>
      </c>
      <c r="M420" vm="3513">
        <f ca="1"/>
        <v>113.02</v>
      </c>
      <c r="N420" vm="3508">
        <f ca="1"/>
        <v>44771</v>
      </c>
      <c r="O420" vm="3514">
        <f ca="1"/>
        <v>335.04</v>
      </c>
      <c r="P420" vm="3508">
        <f ca="1"/>
        <v>44771</v>
      </c>
      <c r="Q420" vm="3515">
        <f ca="1"/>
        <v>28.606000000000002</v>
      </c>
      <c r="R420" s="29">
        <f t="shared" ca="1" si="55"/>
        <v>1.56651351253572E-2</v>
      </c>
      <c r="S420" s="30">
        <f t="shared" ca="1" si="56"/>
        <v>1.0764262648008765E-2</v>
      </c>
      <c r="T420" s="30">
        <f t="shared" ca="1" si="57"/>
        <v>3.5959309202745178E-3</v>
      </c>
      <c r="U420" s="30">
        <f t="shared" ca="1" si="58"/>
        <v>2.2805278010830449E-2</v>
      </c>
      <c r="V420" s="30">
        <f t="shared" ca="1" si="59"/>
        <v>8.9861751152073704E-2</v>
      </c>
      <c r="W420" s="30">
        <f t="shared" ca="1" si="62"/>
        <v>-1.3701021031503686E-2</v>
      </c>
      <c r="X420" s="30">
        <f t="shared" ca="1" si="60"/>
        <v>5.7636887608069638E-3</v>
      </c>
      <c r="Y420" s="31">
        <f t="shared" ca="1" si="61"/>
        <v>3.7501813433918556E-2</v>
      </c>
    </row>
    <row r="421" spans="2:25" x14ac:dyDescent="0.45">
      <c r="B421" vm="3516">
        <f ca="1"/>
        <v>44774</v>
      </c>
      <c r="C421" vm="3517">
        <f ca="1"/>
        <v>278.01</v>
      </c>
      <c r="D421" vm="3516">
        <f ca="1"/>
        <v>44774</v>
      </c>
      <c r="E421" vm="352">
        <f ca="1"/>
        <v>18.73</v>
      </c>
      <c r="F421" vm="3516">
        <f ca="1"/>
        <v>44774</v>
      </c>
      <c r="G421" vm="3518">
        <f ca="1"/>
        <v>211.36</v>
      </c>
      <c r="H421" vm="3516">
        <f ca="1"/>
        <v>44774</v>
      </c>
      <c r="I421" vm="3519">
        <f ca="1"/>
        <v>133.43</v>
      </c>
      <c r="J421" vm="3516">
        <f ca="1"/>
        <v>44774</v>
      </c>
      <c r="K421" vm="3520">
        <f ca="1"/>
        <v>23.8</v>
      </c>
      <c r="L421" vm="3516">
        <f ca="1"/>
        <v>44774</v>
      </c>
      <c r="M421" vm="3521">
        <f ca="1"/>
        <v>115.35</v>
      </c>
      <c r="N421" vm="3516">
        <f ca="1"/>
        <v>44774</v>
      </c>
      <c r="O421" vm="3222">
        <f ca="1"/>
        <v>348.8</v>
      </c>
      <c r="P421" vm="3516">
        <f ca="1"/>
        <v>44774</v>
      </c>
      <c r="Q421" vm="3522">
        <f ca="1"/>
        <v>27.574000000000002</v>
      </c>
      <c r="R421" s="29">
        <f t="shared" ca="1" si="55"/>
        <v>-9.7243000641163285E-3</v>
      </c>
      <c r="S421" s="30">
        <f t="shared" ca="1" si="56"/>
        <v>-2.6624068157614861E-3</v>
      </c>
      <c r="T421" s="30">
        <f t="shared" ca="1" si="57"/>
        <v>-3.5359011833482625E-3</v>
      </c>
      <c r="U421" s="30">
        <f t="shared" ca="1" si="58"/>
        <v>-4.9962714392243661E-3</v>
      </c>
      <c r="V421" s="30">
        <f t="shared" ca="1" si="59"/>
        <v>6.3424947145878287E-3</v>
      </c>
      <c r="W421" s="30">
        <f t="shared" ca="1" si="62"/>
        <v>2.0615820208812585E-2</v>
      </c>
      <c r="X421" s="30">
        <f t="shared" ca="1" si="60"/>
        <v>4.1069723018147056E-2</v>
      </c>
      <c r="Y421" s="31">
        <f t="shared" ca="1" si="61"/>
        <v>-3.6076347619380549E-2</v>
      </c>
    </row>
    <row r="422" spans="2:25" x14ac:dyDescent="0.45">
      <c r="B422" vm="3523">
        <f ca="1"/>
        <v>44775</v>
      </c>
      <c r="C422" vm="3524">
        <f ca="1"/>
        <v>274.82</v>
      </c>
      <c r="D422" vm="3523">
        <f ca="1"/>
        <v>44775</v>
      </c>
      <c r="E422" vm="3525">
        <f ca="1"/>
        <v>18.36</v>
      </c>
      <c r="F422" vm="3523">
        <f ca="1"/>
        <v>44775</v>
      </c>
      <c r="G422" vm="3526">
        <f ca="1"/>
        <v>206.26</v>
      </c>
      <c r="H422" vm="3523">
        <f ca="1"/>
        <v>44775</v>
      </c>
      <c r="I422" vm="3527">
        <f ca="1"/>
        <v>131.28</v>
      </c>
      <c r="J422" vm="3523">
        <f ca="1"/>
        <v>44775</v>
      </c>
      <c r="K422" vm="3528">
        <f ca="1"/>
        <v>22.99</v>
      </c>
      <c r="L422" vm="3523">
        <f ca="1"/>
        <v>44775</v>
      </c>
      <c r="M422" vm="3529">
        <f ca="1"/>
        <v>116</v>
      </c>
      <c r="N422" vm="3523">
        <f ca="1"/>
        <v>44775</v>
      </c>
      <c r="O422" vm="3530">
        <f ca="1"/>
        <v>346.4</v>
      </c>
      <c r="P422" vm="3523">
        <f ca="1"/>
        <v>44775</v>
      </c>
      <c r="Q422" vm="3531">
        <f ca="1"/>
        <v>27.826000000000001</v>
      </c>
      <c r="R422" s="29">
        <f t="shared" ca="1" si="55"/>
        <v>-1.1474407395417423E-2</v>
      </c>
      <c r="S422" s="30">
        <f t="shared" ca="1" si="56"/>
        <v>-1.9754404698344954E-2</v>
      </c>
      <c r="T422" s="30">
        <f t="shared" ca="1" si="57"/>
        <v>-2.412944738834227E-2</v>
      </c>
      <c r="U422" s="30">
        <f t="shared" ca="1" si="58"/>
        <v>-1.6113317844562734E-2</v>
      </c>
      <c r="V422" s="30">
        <f t="shared" ca="1" si="59"/>
        <v>-3.4033613445378245E-2</v>
      </c>
      <c r="W422" s="30">
        <f t="shared" ca="1" si="62"/>
        <v>5.6350238404855287E-3</v>
      </c>
      <c r="X422" s="30">
        <f t="shared" ca="1" si="60"/>
        <v>-6.880733944954226E-3</v>
      </c>
      <c r="Y422" s="31">
        <f t="shared" ca="1" si="61"/>
        <v>9.1390440269818983E-3</v>
      </c>
    </row>
    <row r="423" spans="2:25" x14ac:dyDescent="0.45">
      <c r="B423" vm="3532">
        <f ca="1"/>
        <v>44776</v>
      </c>
      <c r="C423" vm="3533">
        <f ca="1"/>
        <v>282.47000000000003</v>
      </c>
      <c r="D423" vm="3532">
        <f ca="1"/>
        <v>44776</v>
      </c>
      <c r="E423" vm="105">
        <f ca="1"/>
        <v>18.37</v>
      </c>
      <c r="F423" vm="3532">
        <f ca="1"/>
        <v>44776</v>
      </c>
      <c r="G423" vm="2656">
        <f ca="1"/>
        <v>208.48</v>
      </c>
      <c r="H423" vm="3532">
        <f ca="1"/>
        <v>44776</v>
      </c>
      <c r="I423" vm="3534">
        <f ca="1"/>
        <v>134.56</v>
      </c>
      <c r="J423" vm="3532">
        <f ca="1"/>
        <v>44776</v>
      </c>
      <c r="K423" vm="1181">
        <f ca="1"/>
        <v>22.71</v>
      </c>
      <c r="L423" vm="3532">
        <f ca="1"/>
        <v>44776</v>
      </c>
      <c r="M423" vm="3535">
        <f ca="1"/>
        <v>120.46</v>
      </c>
      <c r="N423" vm="3532">
        <f ca="1"/>
        <v>44776</v>
      </c>
      <c r="O423" vm="1902">
        <f ca="1"/>
        <v>351.2</v>
      </c>
      <c r="P423" vm="3532">
        <f ca="1"/>
        <v>44776</v>
      </c>
      <c r="Q423" vm="3536">
        <f ca="1"/>
        <v>31.367999999999999</v>
      </c>
      <c r="R423" s="29">
        <f t="shared" ca="1" si="55"/>
        <v>2.7836402008587564E-2</v>
      </c>
      <c r="S423" s="30">
        <f t="shared" ca="1" si="56"/>
        <v>5.4466230936827688E-4</v>
      </c>
      <c r="T423" s="30">
        <f t="shared" ca="1" si="57"/>
        <v>1.0763114515659842E-2</v>
      </c>
      <c r="U423" s="30">
        <f t="shared" ca="1" si="58"/>
        <v>2.4984765386959179E-2</v>
      </c>
      <c r="V423" s="30">
        <f t="shared" ca="1" si="59"/>
        <v>-1.2179208351457051E-2</v>
      </c>
      <c r="W423" s="30">
        <f t="shared" ca="1" si="62"/>
        <v>3.8448275862068913E-2</v>
      </c>
      <c r="X423" s="30">
        <f t="shared" ca="1" si="60"/>
        <v>1.3856812933025438E-2</v>
      </c>
      <c r="Y423" s="31">
        <f t="shared" ca="1" si="61"/>
        <v>0.12729102278444612</v>
      </c>
    </row>
    <row r="424" spans="2:25" x14ac:dyDescent="0.45">
      <c r="B424" vm="3537">
        <f ca="1"/>
        <v>44777</v>
      </c>
      <c r="C424" vm="3538">
        <f ca="1"/>
        <v>283.64999999999998</v>
      </c>
      <c r="D424" vm="3537">
        <f ca="1"/>
        <v>44777</v>
      </c>
      <c r="E424" vm="3539">
        <f ca="1"/>
        <v>18.27</v>
      </c>
      <c r="F424" vm="3537">
        <f ca="1"/>
        <v>44777</v>
      </c>
      <c r="G424" vm="3540">
        <f ca="1"/>
        <v>213.47</v>
      </c>
      <c r="H424" vm="3537">
        <f ca="1"/>
        <v>44777</v>
      </c>
      <c r="I424" vm="3541">
        <f ca="1"/>
        <v>133.77000000000001</v>
      </c>
      <c r="J424" vm="3537">
        <f ca="1"/>
        <v>44777</v>
      </c>
      <c r="K424" vm="3542">
        <f ca="1"/>
        <v>23.03</v>
      </c>
      <c r="L424" vm="3537">
        <f ca="1"/>
        <v>44777</v>
      </c>
      <c r="M424" vm="3019">
        <f ca="1"/>
        <v>122.4</v>
      </c>
      <c r="N424" vm="3537">
        <f ca="1"/>
        <v>44777</v>
      </c>
      <c r="O424" vm="3543">
        <f ca="1"/>
        <v>341.12</v>
      </c>
      <c r="P424" vm="3537">
        <f ca="1"/>
        <v>44777</v>
      </c>
      <c r="Q424" vm="3544">
        <f ca="1"/>
        <v>30.931000000000001</v>
      </c>
      <c r="R424" s="29">
        <f t="shared" ca="1" si="55"/>
        <v>4.1774347718339993E-3</v>
      </c>
      <c r="S424" s="30">
        <f t="shared" ca="1" si="56"/>
        <v>-5.443658138268994E-3</v>
      </c>
      <c r="T424" s="30">
        <f t="shared" ca="1" si="57"/>
        <v>2.3935149654643176E-2</v>
      </c>
      <c r="U424" s="30">
        <f t="shared" ca="1" si="58"/>
        <v>-5.8709869203328775E-3</v>
      </c>
      <c r="V424" s="30">
        <f t="shared" ca="1" si="59"/>
        <v>1.4090708938793495E-2</v>
      </c>
      <c r="W424" s="30">
        <f t="shared" ca="1" si="62"/>
        <v>1.6104931097459838E-2</v>
      </c>
      <c r="X424" s="30">
        <f t="shared" ca="1" si="60"/>
        <v>-2.8701594533029569E-2</v>
      </c>
      <c r="Y424" s="31">
        <f t="shared" ca="1" si="61"/>
        <v>-1.3931395052282506E-2</v>
      </c>
    </row>
    <row r="425" spans="2:25" x14ac:dyDescent="0.45">
      <c r="B425" vm="3545">
        <f ca="1"/>
        <v>44778</v>
      </c>
      <c r="C425" vm="3546">
        <f ca="1"/>
        <v>282.91000000000003</v>
      </c>
      <c r="D425" vm="3545">
        <f ca="1"/>
        <v>44778</v>
      </c>
      <c r="E425" vm="3547">
        <f ca="1"/>
        <v>18.350000000000001</v>
      </c>
      <c r="F425" vm="3545">
        <f ca="1"/>
        <v>44778</v>
      </c>
      <c r="G425" vm="3548">
        <f ca="1"/>
        <v>215.87</v>
      </c>
      <c r="H425" vm="3545">
        <f ca="1"/>
        <v>44778</v>
      </c>
      <c r="I425" vm="3549">
        <f ca="1"/>
        <v>133.61000000000001</v>
      </c>
      <c r="J425" vm="3545">
        <f ca="1"/>
        <v>44778</v>
      </c>
      <c r="K425" vm="1943">
        <f ca="1"/>
        <v>23.32</v>
      </c>
      <c r="L425" vm="3545">
        <f ca="1"/>
        <v>44778</v>
      </c>
      <c r="M425" vm="3550">
        <f ca="1"/>
        <v>118.73</v>
      </c>
      <c r="N425" vm="3545">
        <f ca="1"/>
        <v>44778</v>
      </c>
      <c r="O425" vm="3551">
        <f ca="1"/>
        <v>344</v>
      </c>
      <c r="P425" vm="3545">
        <f ca="1"/>
        <v>44778</v>
      </c>
      <c r="Q425" vm="3552">
        <f ca="1"/>
        <v>31.914999999999999</v>
      </c>
      <c r="R425" s="29">
        <f t="shared" ca="1" si="55"/>
        <v>-2.6088489335446934E-3</v>
      </c>
      <c r="S425" s="30">
        <f t="shared" ca="1" si="56"/>
        <v>4.3787629994527563E-3</v>
      </c>
      <c r="T425" s="30">
        <f t="shared" ca="1" si="57"/>
        <v>1.1242797582798546E-2</v>
      </c>
      <c r="U425" s="30">
        <f t="shared" ca="1" si="58"/>
        <v>-1.1960828287358644E-3</v>
      </c>
      <c r="V425" s="30">
        <f t="shared" ca="1" si="59"/>
        <v>1.2592270950933527E-2</v>
      </c>
      <c r="W425" s="30">
        <f t="shared" ca="1" si="62"/>
        <v>-2.9983660130718966E-2</v>
      </c>
      <c r="X425" s="30">
        <f t="shared" ca="1" si="60"/>
        <v>8.4427767354596488E-3</v>
      </c>
      <c r="Y425" s="31">
        <f t="shared" ca="1" si="61"/>
        <v>3.18127444958132E-2</v>
      </c>
    </row>
    <row r="426" spans="2:25" x14ac:dyDescent="0.45">
      <c r="B426" vm="3553">
        <f ca="1"/>
        <v>44781</v>
      </c>
      <c r="C426" vm="3554">
        <f ca="1"/>
        <v>280.32</v>
      </c>
      <c r="D426" vm="3553">
        <f ca="1"/>
        <v>44781</v>
      </c>
      <c r="E426" vm="3555">
        <f ca="1"/>
        <v>18</v>
      </c>
      <c r="F426" vm="3553">
        <f ca="1"/>
        <v>44781</v>
      </c>
      <c r="G426" vm="3556">
        <f ca="1"/>
        <v>213.32</v>
      </c>
      <c r="H426" vm="3553">
        <f ca="1"/>
        <v>44781</v>
      </c>
      <c r="I426" vm="3557">
        <f ca="1"/>
        <v>132.52000000000001</v>
      </c>
      <c r="J426" vm="3553">
        <f ca="1"/>
        <v>44781</v>
      </c>
      <c r="K426" vm="986">
        <f ca="1"/>
        <v>23.69</v>
      </c>
      <c r="L426" vm="3553">
        <f ca="1"/>
        <v>44781</v>
      </c>
      <c r="M426" vm="3558">
        <f ca="1"/>
        <v>119.7</v>
      </c>
      <c r="N426" vm="3553">
        <f ca="1"/>
        <v>44781</v>
      </c>
      <c r="O426" vm="3559">
        <f ca="1"/>
        <v>353.12</v>
      </c>
      <c r="P426" vm="3553">
        <f ca="1"/>
        <v>44781</v>
      </c>
      <c r="Q426" vm="3560">
        <f ca="1"/>
        <v>33.000999999999998</v>
      </c>
      <c r="R426" s="29">
        <f t="shared" ca="1" si="55"/>
        <v>-9.1548549008519733E-3</v>
      </c>
      <c r="S426" s="30">
        <f t="shared" ca="1" si="56"/>
        <v>-1.9073569482288905E-2</v>
      </c>
      <c r="T426" s="30">
        <f t="shared" ca="1" si="57"/>
        <v>-1.1812665029879146E-2</v>
      </c>
      <c r="U426" s="30">
        <f t="shared" ca="1" si="58"/>
        <v>-8.158072000598782E-3</v>
      </c>
      <c r="V426" s="30">
        <f t="shared" ca="1" si="59"/>
        <v>1.5866209262435722E-2</v>
      </c>
      <c r="W426" s="30">
        <f t="shared" ca="1" si="62"/>
        <v>8.1697970184452014E-3</v>
      </c>
      <c r="X426" s="30">
        <f t="shared" ca="1" si="60"/>
        <v>2.6511627906976757E-2</v>
      </c>
      <c r="Y426" s="31">
        <f t="shared" ca="1" si="61"/>
        <v>3.4027886573711377E-2</v>
      </c>
    </row>
    <row r="427" spans="2:25" x14ac:dyDescent="0.45">
      <c r="B427" vm="3561">
        <f ca="1"/>
        <v>44782</v>
      </c>
      <c r="C427" vm="3562">
        <f ca="1"/>
        <v>282.3</v>
      </c>
      <c r="D427" vm="3561">
        <f ca="1"/>
        <v>44782</v>
      </c>
      <c r="E427" vm="3563">
        <f ca="1"/>
        <v>18.100000000000001</v>
      </c>
      <c r="F427" vm="3561">
        <f ca="1"/>
        <v>44782</v>
      </c>
      <c r="G427" vm="3564">
        <f ca="1"/>
        <v>210.26</v>
      </c>
      <c r="H427" vm="3561">
        <f ca="1"/>
        <v>44782</v>
      </c>
      <c r="I427" vm="3565">
        <f ca="1"/>
        <v>128.88</v>
      </c>
      <c r="J427" vm="3561">
        <f ca="1"/>
        <v>44782</v>
      </c>
      <c r="K427" vm="3566">
        <f ca="1"/>
        <v>24.48</v>
      </c>
      <c r="L427" vm="3561">
        <f ca="1"/>
        <v>44782</v>
      </c>
      <c r="M427" vm="3567">
        <f ca="1"/>
        <v>115.56</v>
      </c>
      <c r="N427" vm="3561">
        <f ca="1"/>
        <v>44782</v>
      </c>
      <c r="O427" vm="3568">
        <f ca="1"/>
        <v>351.04</v>
      </c>
      <c r="P427" vm="3561">
        <f ca="1"/>
        <v>44782</v>
      </c>
      <c r="Q427" vm="3569">
        <f ca="1"/>
        <v>31.937999999999999</v>
      </c>
      <c r="R427" s="29">
        <f t="shared" ca="1" si="55"/>
        <v>7.0633561643836263E-3</v>
      </c>
      <c r="S427" s="30">
        <f t="shared" ca="1" si="56"/>
        <v>5.5555555555556347E-3</v>
      </c>
      <c r="T427" s="30">
        <f t="shared" ca="1" si="57"/>
        <v>-1.4344646540408786E-2</v>
      </c>
      <c r="U427" s="30">
        <f t="shared" ca="1" si="58"/>
        <v>-2.7467552067612547E-2</v>
      </c>
      <c r="V427" s="30">
        <f t="shared" ca="1" si="59"/>
        <v>3.3347403967918916E-2</v>
      </c>
      <c r="W427" s="30">
        <f t="shared" ca="1" si="62"/>
        <v>-3.458646616541354E-2</v>
      </c>
      <c r="X427" s="30">
        <f t="shared" ca="1" si="60"/>
        <v>-5.8903488898957414E-3</v>
      </c>
      <c r="Y427" s="31">
        <f t="shared" ca="1" si="61"/>
        <v>-3.221114511681461E-2</v>
      </c>
    </row>
    <row r="428" spans="2:25" x14ac:dyDescent="0.45">
      <c r="B428" vm="3570">
        <f ca="1"/>
        <v>44783</v>
      </c>
      <c r="C428" vm="3571">
        <f ca="1"/>
        <v>289.16000000000003</v>
      </c>
      <c r="D428" vm="3570">
        <f ca="1"/>
        <v>44783</v>
      </c>
      <c r="E428" vm="3572">
        <f ca="1"/>
        <v>18.010000000000002</v>
      </c>
      <c r="F428" vm="3570">
        <f ca="1"/>
        <v>44783</v>
      </c>
      <c r="G428" vm="3573">
        <f ca="1"/>
        <v>212.1</v>
      </c>
      <c r="H428" vm="3570">
        <f ca="1"/>
        <v>44783</v>
      </c>
      <c r="I428" vm="3574">
        <f ca="1"/>
        <v>132.58000000000001</v>
      </c>
      <c r="J428" vm="3570">
        <f ca="1"/>
        <v>44783</v>
      </c>
      <c r="K428" vm="3133">
        <f ca="1"/>
        <v>25.06</v>
      </c>
      <c r="L428" vm="3570">
        <f ca="1"/>
        <v>44783</v>
      </c>
      <c r="M428" vm="3575">
        <f ca="1"/>
        <v>120.09</v>
      </c>
      <c r="N428" vm="3570">
        <f ca="1"/>
        <v>44783</v>
      </c>
      <c r="O428" vm="1962">
        <f ca="1"/>
        <v>343.04</v>
      </c>
      <c r="P428" vm="3570">
        <f ca="1"/>
        <v>44783</v>
      </c>
      <c r="Q428" vm="3576">
        <f ca="1"/>
        <v>33.58</v>
      </c>
      <c r="R428" s="29">
        <f t="shared" ca="1" si="55"/>
        <v>2.4300389656393955E-2</v>
      </c>
      <c r="S428" s="30">
        <f t="shared" ca="1" si="56"/>
        <v>-4.9723756906077266E-3</v>
      </c>
      <c r="T428" s="30">
        <f t="shared" ca="1" si="57"/>
        <v>8.7510701036811727E-3</v>
      </c>
      <c r="U428" s="30">
        <f t="shared" ca="1" si="58"/>
        <v>2.8708876474239736E-2</v>
      </c>
      <c r="V428" s="30">
        <f t="shared" ca="1" si="59"/>
        <v>2.369281045751627E-2</v>
      </c>
      <c r="W428" s="30">
        <f t="shared" ca="1" si="62"/>
        <v>3.9200415368639677E-2</v>
      </c>
      <c r="X428" s="30">
        <f t="shared" ca="1" si="60"/>
        <v>-2.2789425706472195E-2</v>
      </c>
      <c r="Y428" s="31">
        <f t="shared" ca="1" si="61"/>
        <v>5.1412110964994664E-2</v>
      </c>
    </row>
    <row r="429" spans="2:25" x14ac:dyDescent="0.45">
      <c r="B429" vm="3577">
        <f ca="1"/>
        <v>44784</v>
      </c>
      <c r="C429" vm="3578">
        <f ca="1"/>
        <v>287.02</v>
      </c>
      <c r="D429" vm="3577">
        <f ca="1"/>
        <v>44784</v>
      </c>
      <c r="E429" vm="3579">
        <f ca="1"/>
        <v>18.04</v>
      </c>
      <c r="F429" vm="3577">
        <f ca="1"/>
        <v>44784</v>
      </c>
      <c r="G429" vm="3580">
        <f ca="1"/>
        <v>211.08</v>
      </c>
      <c r="H429" vm="3577">
        <f ca="1"/>
        <v>44784</v>
      </c>
      <c r="I429" vm="3581">
        <f ca="1"/>
        <v>131.94999999999999</v>
      </c>
      <c r="J429" vm="3577">
        <f ca="1"/>
        <v>44784</v>
      </c>
      <c r="K429" vm="3582">
        <f ca="1"/>
        <v>24.82</v>
      </c>
      <c r="L429" vm="3577">
        <f ca="1"/>
        <v>44784</v>
      </c>
      <c r="M429" vm="3583">
        <f ca="1"/>
        <v>122.73</v>
      </c>
      <c r="N429" vm="3577">
        <f ca="1"/>
        <v>44784</v>
      </c>
      <c r="O429" vm="3584">
        <f ca="1"/>
        <v>347.04</v>
      </c>
      <c r="P429" vm="3577">
        <f ca="1"/>
        <v>44784</v>
      </c>
      <c r="Q429" vm="3585">
        <f ca="1"/>
        <v>33.698999999999998</v>
      </c>
      <c r="R429" s="29">
        <f t="shared" ca="1" si="55"/>
        <v>-7.4007469912852506E-3</v>
      </c>
      <c r="S429" s="30">
        <f t="shared" ca="1" si="56"/>
        <v>1.6657412548582778E-3</v>
      </c>
      <c r="T429" s="30">
        <f t="shared" ca="1" si="57"/>
        <v>-4.8090523338047237E-3</v>
      </c>
      <c r="U429" s="30">
        <f t="shared" ca="1" si="58"/>
        <v>-4.7518479408660717E-3</v>
      </c>
      <c r="V429" s="30">
        <f t="shared" ca="1" si="59"/>
        <v>-9.57701516360728E-3</v>
      </c>
      <c r="W429" s="30">
        <f t="shared" ca="1" si="62"/>
        <v>2.198351236572571E-2</v>
      </c>
      <c r="X429" s="30">
        <f t="shared" ca="1" si="60"/>
        <v>1.1660447761194029E-2</v>
      </c>
      <c r="Y429" s="31">
        <f t="shared" ca="1" si="61"/>
        <v>3.5437760571768845E-3</v>
      </c>
    </row>
    <row r="430" spans="2:25" x14ac:dyDescent="0.45">
      <c r="B430" vm="3586">
        <f ca="1"/>
        <v>44785</v>
      </c>
      <c r="C430" vm="3587">
        <f ca="1"/>
        <v>291.91000000000003</v>
      </c>
      <c r="D430" vm="3586">
        <f ca="1"/>
        <v>44785</v>
      </c>
      <c r="E430" vm="3539">
        <f ca="1"/>
        <v>18.27</v>
      </c>
      <c r="F430" vm="3586">
        <f ca="1"/>
        <v>44785</v>
      </c>
      <c r="G430" vm="3588">
        <f ca="1"/>
        <v>211.33</v>
      </c>
      <c r="H430" vm="3586">
        <f ca="1"/>
        <v>44785</v>
      </c>
      <c r="I430" vm="3589">
        <f ca="1"/>
        <v>133.55000000000001</v>
      </c>
      <c r="J430" vm="3586">
        <f ca="1"/>
        <v>44785</v>
      </c>
      <c r="K430" vm="3590">
        <f ca="1"/>
        <v>25.25</v>
      </c>
      <c r="L430" vm="3586">
        <f ca="1"/>
        <v>44785</v>
      </c>
      <c r="M430" vm="3591">
        <f ca="1"/>
        <v>123.63</v>
      </c>
      <c r="N430" vm="3586">
        <f ca="1"/>
        <v>44785</v>
      </c>
      <c r="O430" vm="2131">
        <f ca="1"/>
        <v>352.8</v>
      </c>
      <c r="P430" vm="3586">
        <f ca="1"/>
        <v>44785</v>
      </c>
      <c r="Q430" vm="3592">
        <f ca="1"/>
        <v>35.283999999999999</v>
      </c>
      <c r="R430" s="29">
        <f t="shared" ca="1" si="55"/>
        <v>1.7037140268970956E-2</v>
      </c>
      <c r="S430" s="30">
        <f t="shared" ca="1" si="56"/>
        <v>1.2749445676274968E-2</v>
      </c>
      <c r="T430" s="30">
        <f t="shared" ca="1" si="57"/>
        <v>1.1843850672730717E-3</v>
      </c>
      <c r="U430" s="30">
        <f t="shared" ca="1" si="58"/>
        <v>1.2125805229253678E-2</v>
      </c>
      <c r="V430" s="30">
        <f t="shared" ca="1" si="59"/>
        <v>1.7324738114423841E-2</v>
      </c>
      <c r="W430" s="30">
        <f t="shared" ca="1" si="62"/>
        <v>7.3331703739916198E-3</v>
      </c>
      <c r="X430" s="30">
        <f t="shared" ca="1" si="60"/>
        <v>1.6597510373443956E-2</v>
      </c>
      <c r="Y430" s="31">
        <f t="shared" ca="1" si="61"/>
        <v>4.7034036618297304E-2</v>
      </c>
    </row>
    <row r="431" spans="2:25" x14ac:dyDescent="0.45">
      <c r="B431" vm="3593">
        <f ca="1"/>
        <v>44788</v>
      </c>
      <c r="C431" vm="3594">
        <f ca="1"/>
        <v>293.47000000000003</v>
      </c>
      <c r="D431" vm="3593">
        <f ca="1"/>
        <v>44788</v>
      </c>
      <c r="E431" vm="3492">
        <f ca="1"/>
        <v>18.39</v>
      </c>
      <c r="F431" vm="3593">
        <f ca="1"/>
        <v>44788</v>
      </c>
      <c r="G431" vm="3595">
        <f ca="1"/>
        <v>216.42</v>
      </c>
      <c r="H431" vm="3593">
        <f ca="1"/>
        <v>44788</v>
      </c>
      <c r="I431" vm="935">
        <f ca="1"/>
        <v>133.9</v>
      </c>
      <c r="J431" vm="3593">
        <f ca="1"/>
        <v>44788</v>
      </c>
      <c r="K431" vm="3596">
        <f ca="1"/>
        <v>24.41</v>
      </c>
      <c r="L431" vm="3593">
        <f ca="1"/>
        <v>44788</v>
      </c>
      <c r="M431" vm="3597">
        <f ca="1"/>
        <v>122.6</v>
      </c>
      <c r="N431" vm="3593">
        <f ca="1"/>
        <v>44788</v>
      </c>
      <c r="O431" vm="3598">
        <f ca="1"/>
        <v>343.84</v>
      </c>
      <c r="P431" vm="3593">
        <f ca="1"/>
        <v>44788</v>
      </c>
      <c r="Q431" vm="3599">
        <f ca="1"/>
        <v>34.908000000000001</v>
      </c>
      <c r="R431" s="29">
        <f t="shared" ca="1" si="55"/>
        <v>5.3441129115138304E-3</v>
      </c>
      <c r="S431" s="30">
        <f t="shared" ca="1" si="56"/>
        <v>6.5681444991790364E-3</v>
      </c>
      <c r="T431" s="30">
        <f t="shared" ca="1" si="57"/>
        <v>2.4085553399895779E-2</v>
      </c>
      <c r="U431" s="30">
        <f t="shared" ca="1" si="58"/>
        <v>2.6207412953949405E-3</v>
      </c>
      <c r="V431" s="30">
        <f t="shared" ca="1" si="59"/>
        <v>-3.3267326732673262E-2</v>
      </c>
      <c r="W431" s="30">
        <f t="shared" ca="1" si="62"/>
        <v>-8.3313111704278985E-3</v>
      </c>
      <c r="X431" s="30">
        <f t="shared" ca="1" si="60"/>
        <v>-2.5396825396825497E-2</v>
      </c>
      <c r="Y431" s="31">
        <f t="shared" ca="1" si="61"/>
        <v>-1.0656388164607122E-2</v>
      </c>
    </row>
    <row r="432" spans="2:25" x14ac:dyDescent="0.45">
      <c r="B432" vm="3600">
        <f ca="1"/>
        <v>44789</v>
      </c>
      <c r="C432" vm="3601">
        <f ca="1"/>
        <v>292.70999999999998</v>
      </c>
      <c r="D432" vm="3600">
        <f ca="1"/>
        <v>44789</v>
      </c>
      <c r="E432" vm="535">
        <f ca="1"/>
        <v>18.57</v>
      </c>
      <c r="F432" vm="3600">
        <f ca="1"/>
        <v>44789</v>
      </c>
      <c r="G432" vm="3602">
        <f ca="1"/>
        <v>217.14</v>
      </c>
      <c r="H432" vm="3600">
        <f ca="1"/>
        <v>44789</v>
      </c>
      <c r="I432" vm="3603">
        <f ca="1"/>
        <v>132.77000000000001</v>
      </c>
      <c r="J432" vm="3600">
        <f ca="1"/>
        <v>44789</v>
      </c>
      <c r="K432" vm="3604">
        <f ca="1"/>
        <v>24.89</v>
      </c>
      <c r="L432" vm="3600">
        <f ca="1"/>
        <v>44789</v>
      </c>
      <c r="M432" vm="3605">
        <f ca="1"/>
        <v>120.1</v>
      </c>
      <c r="N432" vm="3600">
        <f ca="1"/>
        <v>44789</v>
      </c>
      <c r="O432" vm="2243">
        <f ca="1"/>
        <v>340.64</v>
      </c>
      <c r="P432" vm="3600">
        <f ca="1"/>
        <v>44789</v>
      </c>
      <c r="Q432" vm="3606">
        <f ca="1"/>
        <v>34.264000000000003</v>
      </c>
      <c r="R432" s="29">
        <f t="shared" ca="1" si="55"/>
        <v>-2.5897025249601241E-3</v>
      </c>
      <c r="S432" s="30">
        <f t="shared" ca="1" si="56"/>
        <v>9.7879282218596899E-3</v>
      </c>
      <c r="T432" s="30">
        <f t="shared" ca="1" si="57"/>
        <v>3.3268644302744611E-3</v>
      </c>
      <c r="U432" s="30">
        <f t="shared" ca="1" si="58"/>
        <v>-8.4391336818520936E-3</v>
      </c>
      <c r="V432" s="30">
        <f t="shared" ca="1" si="59"/>
        <v>1.9664072101597724E-2</v>
      </c>
      <c r="W432" s="30">
        <f t="shared" ca="1" si="62"/>
        <v>-2.0391517128874388E-2</v>
      </c>
      <c r="X432" s="30">
        <f t="shared" ca="1" si="60"/>
        <v>-9.3066542577942904E-3</v>
      </c>
      <c r="Y432" s="31">
        <f t="shared" ca="1" si="61"/>
        <v>-1.844849318207856E-2</v>
      </c>
    </row>
    <row r="433" spans="2:25" x14ac:dyDescent="0.45">
      <c r="B433" vm="3607">
        <f ca="1"/>
        <v>44790</v>
      </c>
      <c r="C433" vm="3608">
        <f ca="1"/>
        <v>291.32</v>
      </c>
      <c r="D433" vm="3607">
        <f ca="1"/>
        <v>44790</v>
      </c>
      <c r="E433" vm="3609">
        <f ca="1"/>
        <v>18.420000000000002</v>
      </c>
      <c r="F433" vm="3607">
        <f ca="1"/>
        <v>44790</v>
      </c>
      <c r="G433" vm="3027">
        <f ca="1"/>
        <v>214.52</v>
      </c>
      <c r="H433" vm="3607">
        <f ca="1"/>
        <v>44790</v>
      </c>
      <c r="I433" vm="3610">
        <f ca="1"/>
        <v>142.29</v>
      </c>
      <c r="J433" vm="3607">
        <f ca="1"/>
        <v>44790</v>
      </c>
      <c r="K433" vm="1951">
        <f ca="1"/>
        <v>23.38</v>
      </c>
      <c r="L433" vm="3607">
        <f ca="1"/>
        <v>44790</v>
      </c>
      <c r="M433" vm="3611">
        <f ca="1"/>
        <v>114.15</v>
      </c>
      <c r="N433" vm="3607">
        <f ca="1"/>
        <v>44790</v>
      </c>
      <c r="O433" vm="1969">
        <f ca="1"/>
        <v>337.6</v>
      </c>
      <c r="P433" vm="3607">
        <f ca="1"/>
        <v>44790</v>
      </c>
      <c r="Q433" vm="3612">
        <f ca="1"/>
        <v>32.520000000000003</v>
      </c>
      <c r="R433" s="29">
        <f t="shared" ca="1" si="55"/>
        <v>-4.7487274093812523E-3</v>
      </c>
      <c r="S433" s="30">
        <f t="shared" ca="1" si="56"/>
        <v>-8.0775444264942695E-3</v>
      </c>
      <c r="T433" s="30">
        <f t="shared" ca="1" si="57"/>
        <v>-1.2065948236160893E-2</v>
      </c>
      <c r="U433" s="30">
        <f t="shared" ca="1" si="58"/>
        <v>7.1702944942381414E-2</v>
      </c>
      <c r="V433" s="30">
        <f t="shared" ca="1" si="59"/>
        <v>-6.0666934511852212E-2</v>
      </c>
      <c r="W433" s="30">
        <f t="shared" ca="1" si="62"/>
        <v>-4.9542048293089003E-2</v>
      </c>
      <c r="X433" s="30">
        <f t="shared" ca="1" si="60"/>
        <v>-8.9243776420853804E-3</v>
      </c>
      <c r="Y433" s="31">
        <f t="shared" ca="1" si="61"/>
        <v>-5.0898902638337601E-2</v>
      </c>
    </row>
    <row r="434" spans="2:25" x14ac:dyDescent="0.45">
      <c r="B434" vm="3613">
        <f ca="1"/>
        <v>44791</v>
      </c>
      <c r="C434" vm="3614">
        <f ca="1"/>
        <v>290.17</v>
      </c>
      <c r="D434" vm="3613">
        <f ca="1"/>
        <v>44791</v>
      </c>
      <c r="E434" vm="3615">
        <f ca="1"/>
        <v>18.43</v>
      </c>
      <c r="F434" vm="3613">
        <f ca="1"/>
        <v>44791</v>
      </c>
      <c r="G434" vm="3616">
        <f ca="1"/>
        <v>215.25</v>
      </c>
      <c r="H434" vm="3613">
        <f ca="1"/>
        <v>44791</v>
      </c>
      <c r="I434" vm="3617">
        <f ca="1"/>
        <v>139.97</v>
      </c>
      <c r="J434" vm="3613">
        <f ca="1"/>
        <v>44791</v>
      </c>
      <c r="K434" vm="3618">
        <f ca="1"/>
        <v>23.67</v>
      </c>
      <c r="L434" vm="3613">
        <f ca="1"/>
        <v>44791</v>
      </c>
      <c r="M434" vm="3619">
        <f ca="1"/>
        <v>114.39</v>
      </c>
      <c r="N434" vm="3613">
        <f ca="1"/>
        <v>44791</v>
      </c>
      <c r="O434" vm="2038">
        <f ca="1"/>
        <v>338.24</v>
      </c>
      <c r="P434" vm="3613">
        <f ca="1"/>
        <v>44791</v>
      </c>
      <c r="Q434" vm="3620">
        <f ca="1"/>
        <v>32.438000000000002</v>
      </c>
      <c r="R434" s="29">
        <f t="shared" ca="1" si="55"/>
        <v>-3.947549086914655E-3</v>
      </c>
      <c r="S434" s="30">
        <f t="shared" ca="1" si="56"/>
        <v>5.428881650378941E-4</v>
      </c>
      <c r="T434" s="30">
        <f t="shared" ca="1" si="57"/>
        <v>3.4029461122505582E-3</v>
      </c>
      <c r="U434" s="30">
        <f t="shared" ca="1" si="58"/>
        <v>-1.6304729777215497E-2</v>
      </c>
      <c r="V434" s="30">
        <f t="shared" ca="1" si="59"/>
        <v>1.2403763900770005E-2</v>
      </c>
      <c r="W434" s="30">
        <f t="shared" ca="1" si="62"/>
        <v>2.1024967148488382E-3</v>
      </c>
      <c r="X434" s="30">
        <f t="shared" ca="1" si="60"/>
        <v>1.8957345971563576E-3</v>
      </c>
      <c r="Y434" s="31">
        <f t="shared" ca="1" si="61"/>
        <v>-2.5215252152521752E-3</v>
      </c>
    </row>
    <row r="435" spans="2:25" x14ac:dyDescent="0.45">
      <c r="B435" vm="3621">
        <f ca="1"/>
        <v>44792</v>
      </c>
      <c r="C435" vm="3622">
        <f ca="1"/>
        <v>286.14999999999998</v>
      </c>
      <c r="D435" vm="3621">
        <f ca="1"/>
        <v>44792</v>
      </c>
      <c r="E435" vm="3615">
        <f ca="1"/>
        <v>18.43</v>
      </c>
      <c r="F435" vm="3621">
        <f ca="1"/>
        <v>44792</v>
      </c>
      <c r="G435" vm="3623">
        <f ca="1"/>
        <v>212.82</v>
      </c>
      <c r="H435" vm="3621">
        <f ca="1"/>
        <v>44792</v>
      </c>
      <c r="I435" vm="3624">
        <f ca="1"/>
        <v>137.62</v>
      </c>
      <c r="J435" vm="3621">
        <f ca="1"/>
        <v>44792</v>
      </c>
      <c r="K435" vm="609">
        <f ca="1"/>
        <v>23.14</v>
      </c>
      <c r="L435" vm="3621">
        <f ca="1"/>
        <v>44792</v>
      </c>
      <c r="M435" vm="3625">
        <f ca="1"/>
        <v>111.43</v>
      </c>
      <c r="N435" vm="3621">
        <f ca="1"/>
        <v>44792</v>
      </c>
      <c r="O435" vm="3626">
        <f ca="1"/>
        <v>338.56</v>
      </c>
      <c r="P435" vm="3621">
        <f ca="1"/>
        <v>44792</v>
      </c>
      <c r="Q435" vm="3627">
        <f ca="1"/>
        <v>28.3</v>
      </c>
      <c r="R435" s="29">
        <f t="shared" ca="1" si="55"/>
        <v>-1.3853947685839469E-2</v>
      </c>
      <c r="S435" s="30">
        <f t="shared" ca="1" si="56"/>
        <v>0</v>
      </c>
      <c r="T435" s="30">
        <f t="shared" ca="1" si="57"/>
        <v>-1.1289198606271809E-2</v>
      </c>
      <c r="U435" s="30">
        <f t="shared" ca="1" si="58"/>
        <v>-1.6789311995427551E-2</v>
      </c>
      <c r="V435" s="30">
        <f t="shared" ca="1" si="59"/>
        <v>-2.2391212505280991E-2</v>
      </c>
      <c r="W435" s="30">
        <f t="shared" ca="1" si="62"/>
        <v>-2.587638779613597E-2</v>
      </c>
      <c r="X435" s="30">
        <f t="shared" ca="1" si="60"/>
        <v>9.4607379375589279E-4</v>
      </c>
      <c r="Y435" s="31">
        <f t="shared" ca="1" si="61"/>
        <v>-0.12756643442875643</v>
      </c>
    </row>
    <row r="436" spans="2:25" x14ac:dyDescent="0.45">
      <c r="B436" vm="3628">
        <f ca="1"/>
        <v>44795</v>
      </c>
      <c r="C436" vm="3629">
        <f ca="1"/>
        <v>277.75</v>
      </c>
      <c r="D436" vm="3628">
        <f ca="1"/>
        <v>44795</v>
      </c>
      <c r="E436" vm="3630">
        <f ca="1"/>
        <v>18.13</v>
      </c>
      <c r="F436" vm="3628">
        <f ca="1"/>
        <v>44795</v>
      </c>
      <c r="G436" vm="3631">
        <f ca="1"/>
        <v>208.61</v>
      </c>
      <c r="H436" vm="3628">
        <f ca="1"/>
        <v>44795</v>
      </c>
      <c r="I436" vm="3632">
        <f ca="1"/>
        <v>133.94</v>
      </c>
      <c r="J436" vm="3628">
        <f ca="1"/>
        <v>44795</v>
      </c>
      <c r="K436" vm="2138">
        <f ca="1"/>
        <v>22.61</v>
      </c>
      <c r="L436" vm="3628">
        <f ca="1"/>
        <v>44795</v>
      </c>
      <c r="M436" vm="3633">
        <f ca="1"/>
        <v>109.6</v>
      </c>
      <c r="N436" vm="3628">
        <f ca="1"/>
        <v>44795</v>
      </c>
      <c r="O436" vm="1911">
        <f ca="1"/>
        <v>339.52</v>
      </c>
      <c r="P436" vm="3628">
        <f ca="1"/>
        <v>44795</v>
      </c>
      <c r="Q436" vm="3634">
        <f ca="1"/>
        <v>26.809000000000001</v>
      </c>
      <c r="R436" s="29">
        <f t="shared" ca="1" si="55"/>
        <v>-2.9355233269264296E-2</v>
      </c>
      <c r="S436" s="30">
        <f t="shared" ca="1" si="56"/>
        <v>-1.6277807921866561E-2</v>
      </c>
      <c r="T436" s="30">
        <f t="shared" ca="1" si="57"/>
        <v>-1.9781975378253828E-2</v>
      </c>
      <c r="U436" s="30">
        <f t="shared" ca="1" si="58"/>
        <v>-2.6740299375090877E-2</v>
      </c>
      <c r="V436" s="30">
        <f t="shared" ca="1" si="59"/>
        <v>-2.2904062229904976E-2</v>
      </c>
      <c r="W436" s="30">
        <f t="shared" ca="1" si="62"/>
        <v>-1.6422866373508142E-2</v>
      </c>
      <c r="X436" s="30">
        <f t="shared" ca="1" si="60"/>
        <v>2.8355387523628884E-3</v>
      </c>
      <c r="Y436" s="31">
        <f t="shared" ca="1" si="61"/>
        <v>-5.2685512367491152E-2</v>
      </c>
    </row>
    <row r="437" spans="2:25" x14ac:dyDescent="0.45">
      <c r="B437" vm="3635">
        <f ca="1"/>
        <v>44796</v>
      </c>
      <c r="C437" vm="2722">
        <f ca="1"/>
        <v>276.44</v>
      </c>
      <c r="D437" vm="3635">
        <f ca="1"/>
        <v>44796</v>
      </c>
      <c r="E437" vm="3636">
        <f ca="1"/>
        <v>18.059999999999999</v>
      </c>
      <c r="F437" vm="3635">
        <f ca="1"/>
        <v>44796</v>
      </c>
      <c r="G437" vm="3637">
        <f ca="1"/>
        <v>206.8</v>
      </c>
      <c r="H437" vm="3635">
        <f ca="1"/>
        <v>44796</v>
      </c>
      <c r="I437" vm="3638">
        <f ca="1"/>
        <v>132.63999999999999</v>
      </c>
      <c r="J437" vm="3635">
        <f ca="1"/>
        <v>44796</v>
      </c>
      <c r="K437" vm="1322">
        <f ca="1"/>
        <v>23.26</v>
      </c>
      <c r="L437" vm="3635">
        <f ca="1"/>
        <v>44796</v>
      </c>
      <c r="M437" vm="3639">
        <f ca="1"/>
        <v>108.03</v>
      </c>
      <c r="N437" vm="3635">
        <f ca="1"/>
        <v>44796</v>
      </c>
      <c r="O437" vm="3640">
        <f ca="1"/>
        <v>322.24</v>
      </c>
      <c r="P437" vm="3635">
        <f ca="1"/>
        <v>44796</v>
      </c>
      <c r="Q437" vm="3165">
        <f ca="1"/>
        <v>26.58</v>
      </c>
      <c r="R437" s="29">
        <f t="shared" ca="1" si="55"/>
        <v>-4.7164716471647244E-3</v>
      </c>
      <c r="S437" s="30">
        <f t="shared" ca="1" si="56"/>
        <v>-3.8610038610038767E-3</v>
      </c>
      <c r="T437" s="30">
        <f t="shared" ca="1" si="57"/>
        <v>-8.6764776376971487E-3</v>
      </c>
      <c r="U437" s="30">
        <f t="shared" ca="1" si="58"/>
        <v>-9.7058384351202884E-3</v>
      </c>
      <c r="V437" s="30">
        <f t="shared" ca="1" si="59"/>
        <v>2.8748341441839988E-2</v>
      </c>
      <c r="W437" s="30">
        <f t="shared" ca="1" si="62"/>
        <v>-1.4324817518248113E-2</v>
      </c>
      <c r="X437" s="30">
        <f t="shared" ca="1" si="60"/>
        <v>-5.0895381715362786E-2</v>
      </c>
      <c r="Y437" s="31">
        <f t="shared" ca="1" si="61"/>
        <v>-8.5419075683540128E-3</v>
      </c>
    </row>
    <row r="438" spans="2:25" x14ac:dyDescent="0.45">
      <c r="B438" vm="3641">
        <f ca="1"/>
        <v>44797</v>
      </c>
      <c r="C438" vm="3642">
        <f ca="1"/>
        <v>275.79000000000002</v>
      </c>
      <c r="D438" vm="3641">
        <f ca="1"/>
        <v>44797</v>
      </c>
      <c r="E438" vm="3572">
        <f ca="1"/>
        <v>18.010000000000002</v>
      </c>
      <c r="F438" vm="3641">
        <f ca="1"/>
        <v>44797</v>
      </c>
      <c r="G438" vm="3643">
        <f ca="1"/>
        <v>206.67</v>
      </c>
      <c r="H438" vm="3641">
        <f ca="1"/>
        <v>44797</v>
      </c>
      <c r="I438" vm="3644">
        <f ca="1"/>
        <v>133.66999999999999</v>
      </c>
      <c r="J438" vm="3641">
        <f ca="1"/>
        <v>44797</v>
      </c>
      <c r="K438" vm="3645">
        <f ca="1"/>
        <v>24.05</v>
      </c>
      <c r="L438" vm="3641">
        <f ca="1"/>
        <v>44797</v>
      </c>
      <c r="M438" vm="3646">
        <f ca="1"/>
        <v>110.05</v>
      </c>
      <c r="N438" vm="3641">
        <f ca="1"/>
        <v>44797</v>
      </c>
      <c r="O438" vm="3647">
        <f ca="1"/>
        <v>316.8</v>
      </c>
      <c r="P438" vm="3641">
        <f ca="1"/>
        <v>44797</v>
      </c>
      <c r="Q438" vm="3648">
        <f ca="1"/>
        <v>27.440999999999999</v>
      </c>
      <c r="R438" s="29">
        <f t="shared" ca="1" si="55"/>
        <v>-2.3513239762696326E-3</v>
      </c>
      <c r="S438" s="30">
        <f t="shared" ca="1" si="56"/>
        <v>-2.7685492801770299E-3</v>
      </c>
      <c r="T438" s="30">
        <f t="shared" ca="1" si="57"/>
        <v>-6.2862669245659507E-4</v>
      </c>
      <c r="U438" s="30">
        <f t="shared" ca="1" si="58"/>
        <v>7.7653799758745567E-3</v>
      </c>
      <c r="V438" s="30">
        <f t="shared" ca="1" si="59"/>
        <v>3.3963886500429884E-2</v>
      </c>
      <c r="W438" s="30">
        <f t="shared" ca="1" si="62"/>
        <v>1.8698509673238876E-2</v>
      </c>
      <c r="X438" s="30">
        <f t="shared" ca="1" si="60"/>
        <v>-1.6881827209533261E-2</v>
      </c>
      <c r="Y438" s="31">
        <f t="shared" ca="1" si="61"/>
        <v>3.2392776523702059E-2</v>
      </c>
    </row>
    <row r="439" spans="2:25" x14ac:dyDescent="0.45">
      <c r="B439" vm="3649">
        <f ca="1"/>
        <v>44798</v>
      </c>
      <c r="C439" vm="3650">
        <f ca="1"/>
        <v>278.85000000000002</v>
      </c>
      <c r="D439" vm="3649">
        <f ca="1"/>
        <v>44798</v>
      </c>
      <c r="E439" vm="3651">
        <f ca="1"/>
        <v>18.09</v>
      </c>
      <c r="F439" vm="3649">
        <f ca="1"/>
        <v>44798</v>
      </c>
      <c r="G439" vm="3652">
        <f ca="1"/>
        <v>209.82</v>
      </c>
      <c r="H439" vm="3649">
        <f ca="1"/>
        <v>44798</v>
      </c>
      <c r="I439" vm="3653">
        <f ca="1"/>
        <v>136.01</v>
      </c>
      <c r="J439" vm="3649">
        <f ca="1"/>
        <v>44798</v>
      </c>
      <c r="K439" vm="3654">
        <f ca="1"/>
        <v>25.84</v>
      </c>
      <c r="L439" vm="3649">
        <f ca="1"/>
        <v>44798</v>
      </c>
      <c r="M439" vm="3655">
        <f ca="1"/>
        <v>113.53</v>
      </c>
      <c r="N439" vm="3649">
        <f ca="1"/>
        <v>44798</v>
      </c>
      <c r="O439" vm="2290">
        <f ca="1"/>
        <v>315.2</v>
      </c>
      <c r="P439" vm="3649">
        <f ca="1"/>
        <v>44798</v>
      </c>
      <c r="Q439" vm="3656">
        <f ca="1"/>
        <v>27.280999999999999</v>
      </c>
      <c r="R439" s="29">
        <f t="shared" ca="1" si="55"/>
        <v>1.1095398672903304E-2</v>
      </c>
      <c r="S439" s="30">
        <f t="shared" ca="1" si="56"/>
        <v>4.441976679622337E-3</v>
      </c>
      <c r="T439" s="30">
        <f t="shared" ca="1" si="57"/>
        <v>1.5241689650166961E-2</v>
      </c>
      <c r="U439" s="30">
        <f t="shared" ca="1" si="58"/>
        <v>1.750579786040251E-2</v>
      </c>
      <c r="V439" s="30">
        <f t="shared" ca="1" si="59"/>
        <v>7.4428274428274391E-2</v>
      </c>
      <c r="W439" s="30">
        <f t="shared" ca="1" si="62"/>
        <v>3.1621990004543424E-2</v>
      </c>
      <c r="X439" s="30">
        <f t="shared" ca="1" si="60"/>
        <v>-5.0505050505051221E-3</v>
      </c>
      <c r="Y439" s="31">
        <f t="shared" ca="1" si="61"/>
        <v>-5.8306913013374201E-3</v>
      </c>
    </row>
    <row r="440" spans="2:25" x14ac:dyDescent="0.45">
      <c r="B440" vm="3657">
        <f ca="1"/>
        <v>44799</v>
      </c>
      <c r="C440" vm="3658">
        <f ca="1"/>
        <v>268.08999999999997</v>
      </c>
      <c r="D440" vm="3657">
        <f ca="1"/>
        <v>44799</v>
      </c>
      <c r="E440" vm="3659">
        <f ca="1"/>
        <v>17.89</v>
      </c>
      <c r="F440" vm="3657">
        <f ca="1"/>
        <v>44799</v>
      </c>
      <c r="G440" vm="3660">
        <f ca="1"/>
        <v>202.89</v>
      </c>
      <c r="H440" vm="3657">
        <f ca="1"/>
        <v>44799</v>
      </c>
      <c r="I440" vm="3661">
        <f ca="1"/>
        <v>129.87</v>
      </c>
      <c r="J440" vm="3657">
        <f ca="1"/>
        <v>44799</v>
      </c>
      <c r="K440" vm="3662">
        <f ca="1"/>
        <v>25.36</v>
      </c>
      <c r="L440" vm="3657">
        <f ca="1"/>
        <v>44799</v>
      </c>
      <c r="M440" vm="3663">
        <f ca="1"/>
        <v>109.31</v>
      </c>
      <c r="N440" vm="3657">
        <f ca="1"/>
        <v>44799</v>
      </c>
      <c r="O440" vm="3664">
        <f ca="1"/>
        <v>322.39999999999998</v>
      </c>
      <c r="P440" vm="3657">
        <f ca="1"/>
        <v>44799</v>
      </c>
      <c r="Q440" vm="3665">
        <f ca="1"/>
        <v>24.92</v>
      </c>
      <c r="R440" s="29">
        <f t="shared" ca="1" si="55"/>
        <v>-3.8587053971669526E-2</v>
      </c>
      <c r="S440" s="30">
        <f t="shared" ca="1" si="56"/>
        <v>-1.1055831951354299E-2</v>
      </c>
      <c r="T440" s="30">
        <f t="shared" ca="1" si="57"/>
        <v>-3.3028309979982878E-2</v>
      </c>
      <c r="U440" s="30">
        <f t="shared" ca="1" si="58"/>
        <v>-4.5143739430924097E-2</v>
      </c>
      <c r="V440" s="30">
        <f t="shared" ca="1" si="59"/>
        <v>-1.8575851393188871E-2</v>
      </c>
      <c r="W440" s="30">
        <f t="shared" ca="1" si="62"/>
        <v>-3.7170791861182058E-2</v>
      </c>
      <c r="X440" s="30">
        <f t="shared" ca="1" si="60"/>
        <v>2.2842639593908594E-2</v>
      </c>
      <c r="Y440" s="31">
        <f t="shared" ca="1" si="61"/>
        <v>-8.6543748396319675E-2</v>
      </c>
    </row>
    <row r="441" spans="2:25" x14ac:dyDescent="0.45">
      <c r="B441" vm="3666">
        <f ca="1"/>
        <v>44802</v>
      </c>
      <c r="C441" vm="3667">
        <f ca="1"/>
        <v>265.23</v>
      </c>
      <c r="D441" vm="3666">
        <f ca="1"/>
        <v>44802</v>
      </c>
      <c r="E441" vm="3668">
        <f ca="1"/>
        <v>17.78</v>
      </c>
      <c r="F441" vm="3666">
        <f ca="1"/>
        <v>44802</v>
      </c>
      <c r="G441" vm="3669">
        <f ca="1"/>
        <v>202.33</v>
      </c>
      <c r="H441" vm="3666">
        <f ca="1"/>
        <v>44802</v>
      </c>
      <c r="I441" vm="298">
        <f ca="1"/>
        <v>128.11000000000001</v>
      </c>
      <c r="J441" vm="3666">
        <f ca="1"/>
        <v>44802</v>
      </c>
      <c r="K441" vm="1703">
        <f ca="1"/>
        <v>25.39</v>
      </c>
      <c r="L441" vm="3666">
        <f ca="1"/>
        <v>44802</v>
      </c>
      <c r="M441" vm="3670">
        <f ca="1"/>
        <v>108.56</v>
      </c>
      <c r="N441" vm="3666">
        <f ca="1"/>
        <v>44802</v>
      </c>
      <c r="O441" vm="3671">
        <f ca="1"/>
        <v>315.36</v>
      </c>
      <c r="P441" vm="3666">
        <f ca="1"/>
        <v>44802</v>
      </c>
      <c r="Q441" vm="3672">
        <f ca="1"/>
        <v>24.495999999999999</v>
      </c>
      <c r="R441" s="29">
        <f t="shared" ca="1" si="55"/>
        <v>-1.0668059233839223E-2</v>
      </c>
      <c r="S441" s="30">
        <f t="shared" ca="1" si="56"/>
        <v>-6.1486864169927012E-3</v>
      </c>
      <c r="T441" s="30">
        <f t="shared" ca="1" si="57"/>
        <v>-2.7601163191876086E-3</v>
      </c>
      <c r="U441" s="30">
        <f t="shared" ca="1" si="58"/>
        <v>-1.3552013552013482E-2</v>
      </c>
      <c r="V441" s="30">
        <f t="shared" ca="1" si="59"/>
        <v>1.1829652996845875E-3</v>
      </c>
      <c r="W441" s="30">
        <f t="shared" ca="1" si="62"/>
        <v>-6.8612203823986825E-3</v>
      </c>
      <c r="X441" s="30">
        <f t="shared" ca="1" si="60"/>
        <v>-2.183622828784108E-2</v>
      </c>
      <c r="Y441" s="31">
        <f t="shared" ca="1" si="61"/>
        <v>-1.7014446227929494E-2</v>
      </c>
    </row>
    <row r="442" spans="2:25" x14ac:dyDescent="0.45">
      <c r="B442" vm="3673">
        <f ca="1"/>
        <v>44803</v>
      </c>
      <c r="C442" vm="3674">
        <f ca="1"/>
        <v>262.97000000000003</v>
      </c>
      <c r="D442" vm="3673">
        <f ca="1"/>
        <v>44803</v>
      </c>
      <c r="E442" vm="3675">
        <f ca="1"/>
        <v>17.82</v>
      </c>
      <c r="F442" vm="3673">
        <f ca="1"/>
        <v>44803</v>
      </c>
      <c r="G442" vm="3676">
        <f ca="1"/>
        <v>201.38</v>
      </c>
      <c r="H442" vm="3673">
        <f ca="1"/>
        <v>44803</v>
      </c>
      <c r="I442" vm="3677">
        <f ca="1"/>
        <v>128.28</v>
      </c>
      <c r="J442" vm="3673">
        <f ca="1"/>
        <v>44803</v>
      </c>
      <c r="K442" vm="3618">
        <f ca="1"/>
        <v>23.67</v>
      </c>
      <c r="L442" vm="3673">
        <f ca="1"/>
        <v>44803</v>
      </c>
      <c r="M442" vm="3678">
        <f ca="1"/>
        <v>107.23</v>
      </c>
      <c r="N442" vm="3673">
        <f ca="1"/>
        <v>44803</v>
      </c>
      <c r="O442" vm="3679">
        <f ca="1"/>
        <v>311.68</v>
      </c>
      <c r="P442" vm="3673">
        <f ca="1"/>
        <v>44803</v>
      </c>
      <c r="Q442" vm="3680">
        <f ca="1"/>
        <v>24.023</v>
      </c>
      <c r="R442" s="29">
        <f t="shared" ca="1" si="55"/>
        <v>-8.520906383139128E-3</v>
      </c>
      <c r="S442" s="30">
        <f t="shared" ca="1" si="56"/>
        <v>2.2497187851518081E-3</v>
      </c>
      <c r="T442" s="30">
        <f t="shared" ca="1" si="57"/>
        <v>-4.6952997578214653E-3</v>
      </c>
      <c r="U442" s="30">
        <f t="shared" ca="1" si="58"/>
        <v>1.326984622589864E-3</v>
      </c>
      <c r="V442" s="30">
        <f t="shared" ca="1" si="59"/>
        <v>-6.7743205986608851E-2</v>
      </c>
      <c r="W442" s="30">
        <f t="shared" ca="1" si="62"/>
        <v>-1.2251289609432555E-2</v>
      </c>
      <c r="X442" s="30">
        <f t="shared" ca="1" si="60"/>
        <v>-1.166920345002539E-2</v>
      </c>
      <c r="Y442" s="31">
        <f t="shared" ca="1" si="61"/>
        <v>-1.9309274983670764E-2</v>
      </c>
    </row>
    <row r="443" spans="2:25" x14ac:dyDescent="0.45">
      <c r="B443" vm="3681">
        <f ca="1"/>
        <v>44804</v>
      </c>
      <c r="C443" vm="3682">
        <f ca="1"/>
        <v>261.47000000000003</v>
      </c>
      <c r="D443" vm="3681">
        <f ca="1"/>
        <v>44804</v>
      </c>
      <c r="E443" vm="3683">
        <f ca="1"/>
        <v>17.54</v>
      </c>
      <c r="F443" vm="3681">
        <f ca="1"/>
        <v>44804</v>
      </c>
      <c r="G443" vm="3684">
        <f ca="1"/>
        <v>198.71</v>
      </c>
      <c r="H443" vm="3681">
        <f ca="1"/>
        <v>44804</v>
      </c>
      <c r="I443" vm="3685">
        <f ca="1"/>
        <v>128.25</v>
      </c>
      <c r="J443" vm="3681">
        <f ca="1"/>
        <v>44804</v>
      </c>
      <c r="K443" vm="788">
        <f ca="1"/>
        <v>22.87</v>
      </c>
      <c r="L443" vm="3681">
        <f ca="1"/>
        <v>44804</v>
      </c>
      <c r="M443" vm="3686">
        <f ca="1"/>
        <v>108.15</v>
      </c>
      <c r="N443" vm="3681">
        <f ca="1"/>
        <v>44804</v>
      </c>
      <c r="O443" vm="3687">
        <f ca="1"/>
        <v>307.83999999999997</v>
      </c>
      <c r="P443" vm="3681">
        <f ca="1"/>
        <v>44804</v>
      </c>
      <c r="Q443" vm="3688">
        <f ca="1"/>
        <v>23.155999999999999</v>
      </c>
      <c r="R443" s="29">
        <f t="shared" ca="1" si="55"/>
        <v>-5.7040727079134493E-3</v>
      </c>
      <c r="S443" s="30">
        <f t="shared" ca="1" si="56"/>
        <v>-1.571268237934911E-2</v>
      </c>
      <c r="T443" s="30">
        <f t="shared" ca="1" si="57"/>
        <v>-1.3258516237958028E-2</v>
      </c>
      <c r="U443" s="30">
        <f t="shared" ca="1" si="58"/>
        <v>-2.3386342376053272E-4</v>
      </c>
      <c r="V443" s="30">
        <f t="shared" ca="1" si="59"/>
        <v>-3.3798056611744849E-2</v>
      </c>
      <c r="W443" s="30">
        <f t="shared" ca="1" si="62"/>
        <v>8.5796885200037452E-3</v>
      </c>
      <c r="X443" s="30">
        <f t="shared" ca="1" si="60"/>
        <v>-1.2320328542094557E-2</v>
      </c>
      <c r="Y443" s="31">
        <f t="shared" ca="1" si="61"/>
        <v>-3.6090413353869248E-2</v>
      </c>
    </row>
    <row r="444" spans="2:25" x14ac:dyDescent="0.45">
      <c r="B444" vm="3689">
        <f ca="1"/>
        <v>44805</v>
      </c>
      <c r="C444" vm="3690">
        <f ca="1"/>
        <v>260.39999999999998</v>
      </c>
      <c r="D444" vm="3689">
        <f ca="1"/>
        <v>44805</v>
      </c>
      <c r="E444" vm="3396">
        <f ca="1"/>
        <v>17.5</v>
      </c>
      <c r="F444" vm="3689">
        <f ca="1"/>
        <v>44805</v>
      </c>
      <c r="G444" vm="3691">
        <f ca="1"/>
        <v>200.13</v>
      </c>
      <c r="H444" vm="3689">
        <f ca="1"/>
        <v>44805</v>
      </c>
      <c r="I444" vm="3692">
        <f ca="1"/>
        <v>128.93</v>
      </c>
      <c r="J444" vm="3689">
        <f ca="1"/>
        <v>44805</v>
      </c>
      <c r="K444" vm="1726">
        <f ca="1"/>
        <v>21.48</v>
      </c>
      <c r="L444" vm="3689">
        <f ca="1"/>
        <v>44805</v>
      </c>
      <c r="M444" vm="3693">
        <f ca="1"/>
        <v>106.52</v>
      </c>
      <c r="N444" vm="3689">
        <f ca="1"/>
        <v>44805</v>
      </c>
      <c r="O444" vm="3694">
        <f ca="1"/>
        <v>311.04000000000002</v>
      </c>
      <c r="P444" vm="3689">
        <f ca="1"/>
        <v>44805</v>
      </c>
      <c r="Q444" vm="3695">
        <f ca="1"/>
        <v>22.091999999999999</v>
      </c>
      <c r="R444" s="29">
        <f t="shared" ca="1" si="55"/>
        <v>-4.0922476765978882E-3</v>
      </c>
      <c r="S444" s="30">
        <f t="shared" ca="1" si="56"/>
        <v>-2.2805017103762343E-3</v>
      </c>
      <c r="T444" s="30">
        <f t="shared" ca="1" si="57"/>
        <v>7.146092295304652E-3</v>
      </c>
      <c r="U444" s="30">
        <f t="shared" ca="1" si="58"/>
        <v>5.3021442495127238E-3</v>
      </c>
      <c r="V444" s="30">
        <f t="shared" ca="1" si="59"/>
        <v>-6.0778312199387868E-2</v>
      </c>
      <c r="W444" s="30">
        <f t="shared" ca="1" si="62"/>
        <v>-1.5071659731853995E-2</v>
      </c>
      <c r="X444" s="30">
        <f t="shared" ca="1" si="60"/>
        <v>1.0395010395010543E-2</v>
      </c>
      <c r="Y444" s="31">
        <f t="shared" ca="1" si="61"/>
        <v>-4.5949214026602181E-2</v>
      </c>
    </row>
    <row r="445" spans="2:25" x14ac:dyDescent="0.45">
      <c r="B445" vm="3696">
        <f ca="1"/>
        <v>44806</v>
      </c>
      <c r="C445" vm="3697">
        <f ca="1"/>
        <v>256.06</v>
      </c>
      <c r="D445" vm="3696">
        <f ca="1"/>
        <v>44806</v>
      </c>
      <c r="E445" vm="42">
        <f ca="1"/>
        <v>17.190000000000001</v>
      </c>
      <c r="F445" vm="3696">
        <f ca="1"/>
        <v>44806</v>
      </c>
      <c r="G445" vm="3698">
        <f ca="1"/>
        <v>197.76</v>
      </c>
      <c r="H445" vm="3696">
        <f ca="1"/>
        <v>44806</v>
      </c>
      <c r="I445" vm="3699">
        <f ca="1"/>
        <v>128.01</v>
      </c>
      <c r="J445" vm="3696">
        <f ca="1"/>
        <v>44806</v>
      </c>
      <c r="K445" vm="3700">
        <f ca="1"/>
        <v>21.71</v>
      </c>
      <c r="L445" vm="3696">
        <f ca="1"/>
        <v>44806</v>
      </c>
      <c r="M445" vm="3701">
        <f ca="1"/>
        <v>104.42</v>
      </c>
      <c r="N445" vm="3696">
        <f ca="1"/>
        <v>44806</v>
      </c>
      <c r="O445" vm="3702">
        <f ca="1"/>
        <v>305.44</v>
      </c>
      <c r="P445" vm="3696">
        <f ca="1"/>
        <v>44806</v>
      </c>
      <c r="Q445" vm="3703">
        <f ca="1"/>
        <v>21.806000000000001</v>
      </c>
      <c r="R445" s="29">
        <f t="shared" ca="1" si="55"/>
        <v>-1.6666666666666573E-2</v>
      </c>
      <c r="S445" s="30">
        <f t="shared" ca="1" si="56"/>
        <v>-1.7714285714285641E-2</v>
      </c>
      <c r="T445" s="30">
        <f t="shared" ca="1" si="57"/>
        <v>-1.184230250337283E-2</v>
      </c>
      <c r="U445" s="30">
        <f t="shared" ca="1" si="58"/>
        <v>-7.1356550065928481E-3</v>
      </c>
      <c r="V445" s="30">
        <f t="shared" ca="1" si="59"/>
        <v>1.0707635009311007E-2</v>
      </c>
      <c r="W445" s="30">
        <f t="shared" ca="1" si="62"/>
        <v>-1.9714607585429915E-2</v>
      </c>
      <c r="X445" s="30">
        <f t="shared" ca="1" si="60"/>
        <v>-1.8004115226337519E-2</v>
      </c>
      <c r="Y445" s="31">
        <f t="shared" ca="1" si="61"/>
        <v>-1.2945862755748589E-2</v>
      </c>
    </row>
    <row r="446" spans="2:25" x14ac:dyDescent="0.45">
      <c r="B446" vm="3704">
        <f ca="1"/>
        <v>44810</v>
      </c>
      <c r="C446" vm="751">
        <f ca="1"/>
        <v>253.25</v>
      </c>
      <c r="D446" vm="3704">
        <f ca="1"/>
        <v>44810</v>
      </c>
      <c r="E446" vm="159">
        <f ca="1"/>
        <v>16.79</v>
      </c>
      <c r="F446" vm="3704">
        <f ca="1"/>
        <v>44810</v>
      </c>
      <c r="G446" vm="3705">
        <f ca="1"/>
        <v>198.64</v>
      </c>
      <c r="H446" vm="3704">
        <f ca="1"/>
        <v>44810</v>
      </c>
      <c r="I446" vm="3706">
        <f ca="1"/>
        <v>129.30000000000001</v>
      </c>
      <c r="J446" vm="3704">
        <f ca="1"/>
        <v>44810</v>
      </c>
      <c r="K446" vm="3707">
        <f ca="1"/>
        <v>21.98</v>
      </c>
      <c r="L446" vm="3704">
        <f ca="1"/>
        <v>44810</v>
      </c>
      <c r="M446" vm="3708">
        <f ca="1"/>
        <v>102.59</v>
      </c>
      <c r="N446" vm="3704">
        <f ca="1"/>
        <v>44810</v>
      </c>
      <c r="O446" vm="3709">
        <f ca="1"/>
        <v>308</v>
      </c>
      <c r="P446" vm="3704">
        <f ca="1"/>
        <v>44810</v>
      </c>
      <c r="Q446" vm="3710">
        <f ca="1"/>
        <v>20.425000000000001</v>
      </c>
      <c r="R446" s="29">
        <f t="shared" ca="1" si="55"/>
        <v>-1.0973990470983372E-2</v>
      </c>
      <c r="S446" s="30">
        <f t="shared" ca="1" si="56"/>
        <v>-2.3269342641070511E-2</v>
      </c>
      <c r="T446" s="30">
        <f t="shared" ca="1" si="57"/>
        <v>4.4498381877022429E-3</v>
      </c>
      <c r="U446" s="30">
        <f t="shared" ca="1" si="58"/>
        <v>1.0077337707991723E-2</v>
      </c>
      <c r="V446" s="30">
        <f t="shared" ca="1" si="59"/>
        <v>1.2436665131275889E-2</v>
      </c>
      <c r="W446" s="30">
        <f t="shared" ca="1" si="62"/>
        <v>-1.7525378280022968E-2</v>
      </c>
      <c r="X446" s="30">
        <f t="shared" ca="1" si="60"/>
        <v>8.3813514929282421E-3</v>
      </c>
      <c r="Y446" s="31">
        <f t="shared" ca="1" si="61"/>
        <v>-6.3331193249564349E-2</v>
      </c>
    </row>
    <row r="447" spans="2:25" x14ac:dyDescent="0.45">
      <c r="B447" vm="3711">
        <f ca="1"/>
        <v>44811</v>
      </c>
      <c r="C447" vm="3712">
        <f ca="1"/>
        <v>258.08999999999997</v>
      </c>
      <c r="D447" vm="3711">
        <f ca="1"/>
        <v>44811</v>
      </c>
      <c r="E447" vm="124">
        <f ca="1"/>
        <v>16.87</v>
      </c>
      <c r="F447" vm="3711">
        <f ca="1"/>
        <v>44811</v>
      </c>
      <c r="G447" vm="3713">
        <f ca="1"/>
        <v>200.42</v>
      </c>
      <c r="H447" vm="3711">
        <f ca="1"/>
        <v>44811</v>
      </c>
      <c r="I447" vm="3714">
        <f ca="1"/>
        <v>131.43</v>
      </c>
      <c r="J447" vm="3711">
        <f ca="1"/>
        <v>44811</v>
      </c>
      <c r="K447" vm="3715">
        <f ca="1"/>
        <v>23.17</v>
      </c>
      <c r="L447" vm="3711">
        <f ca="1"/>
        <v>44811</v>
      </c>
      <c r="M447" vm="3716">
        <f ca="1"/>
        <v>105.86</v>
      </c>
      <c r="N447" vm="3711">
        <f ca="1"/>
        <v>44811</v>
      </c>
      <c r="O447" vm="3717">
        <f ca="1"/>
        <v>296.8</v>
      </c>
      <c r="P447" vm="3711">
        <f ca="1"/>
        <v>44811</v>
      </c>
      <c r="Q447" vm="3718">
        <f ca="1"/>
        <v>21.861000000000001</v>
      </c>
      <c r="R447" s="29">
        <f t="shared" ca="1" si="55"/>
        <v>1.9111549851924876E-2</v>
      </c>
      <c r="S447" s="30">
        <f t="shared" ca="1" si="56"/>
        <v>4.7647409172127371E-3</v>
      </c>
      <c r="T447" s="30">
        <f t="shared" ca="1" si="57"/>
        <v>8.9609343536045175E-3</v>
      </c>
      <c r="U447" s="30">
        <f t="shared" ca="1" si="58"/>
        <v>1.6473317865429198E-2</v>
      </c>
      <c r="V447" s="30">
        <f t="shared" ca="1" si="59"/>
        <v>5.4140127388535089E-2</v>
      </c>
      <c r="W447" s="30">
        <f t="shared" ca="1" si="62"/>
        <v>3.1874451700945473E-2</v>
      </c>
      <c r="X447" s="30">
        <f t="shared" ca="1" si="60"/>
        <v>-3.6363636363636327E-2</v>
      </c>
      <c r="Y447" s="31">
        <f t="shared" ca="1" si="61"/>
        <v>7.0305997552019578E-2</v>
      </c>
    </row>
    <row r="448" spans="2:25" x14ac:dyDescent="0.45">
      <c r="B448" vm="3719">
        <f ca="1"/>
        <v>44812</v>
      </c>
      <c r="C448" vm="3720">
        <f ca="1"/>
        <v>258.52</v>
      </c>
      <c r="D448" vm="3719">
        <f ca="1"/>
        <v>44812</v>
      </c>
      <c r="E448" vm="194">
        <f ca="1"/>
        <v>16.77</v>
      </c>
      <c r="F448" vm="3719">
        <f ca="1"/>
        <v>44812</v>
      </c>
      <c r="G448" vm="3721">
        <f ca="1"/>
        <v>200.71</v>
      </c>
      <c r="H448" vm="3719">
        <f ca="1"/>
        <v>44812</v>
      </c>
      <c r="I448" vm="3722">
        <f ca="1"/>
        <v>135.19</v>
      </c>
      <c r="J448" vm="3719">
        <f ca="1"/>
        <v>44812</v>
      </c>
      <c r="K448" vm="2079">
        <f ca="1"/>
        <v>24.29</v>
      </c>
      <c r="L448" vm="3719">
        <f ca="1"/>
        <v>44812</v>
      </c>
      <c r="M448" vm="3723">
        <f ca="1"/>
        <v>105.18</v>
      </c>
      <c r="N448" vm="3719">
        <f ca="1"/>
        <v>44812</v>
      </c>
      <c r="O448" vm="3724">
        <f ca="1"/>
        <v>291.52</v>
      </c>
      <c r="P448" vm="3719">
        <f ca="1"/>
        <v>44812</v>
      </c>
      <c r="Q448" vm="2241">
        <f ca="1"/>
        <v>23.45</v>
      </c>
      <c r="R448" s="29">
        <f t="shared" ca="1" si="55"/>
        <v>1.6660854740594632E-3</v>
      </c>
      <c r="S448" s="30">
        <f t="shared" ca="1" si="56"/>
        <v>-5.927682276230078E-3</v>
      </c>
      <c r="T448" s="30">
        <f t="shared" ca="1" si="57"/>
        <v>1.4469613810997929E-3</v>
      </c>
      <c r="U448" s="30">
        <f t="shared" ca="1" si="58"/>
        <v>2.8608384691470673E-2</v>
      </c>
      <c r="V448" s="30">
        <f t="shared" ca="1" si="59"/>
        <v>4.8338368580060312E-2</v>
      </c>
      <c r="W448" s="30">
        <f t="shared" ca="1" si="62"/>
        <v>-6.4235783109766924E-3</v>
      </c>
      <c r="X448" s="30">
        <f t="shared" ca="1" si="60"/>
        <v>-1.7789757412399021E-2</v>
      </c>
      <c r="Y448" s="31">
        <f t="shared" ca="1" si="61"/>
        <v>7.268651937239827E-2</v>
      </c>
    </row>
    <row r="449" spans="2:25" x14ac:dyDescent="0.45">
      <c r="B449" vm="3725">
        <f ca="1"/>
        <v>44813</v>
      </c>
      <c r="C449" vm="3726">
        <f ca="1"/>
        <v>264.45999999999998</v>
      </c>
      <c r="D449" vm="3725">
        <f ca="1"/>
        <v>44813</v>
      </c>
      <c r="E449" vm="3727">
        <f ca="1"/>
        <v>17.03</v>
      </c>
      <c r="F449" vm="3725">
        <f ca="1"/>
        <v>44813</v>
      </c>
      <c r="G449" vm="3728">
        <f ca="1"/>
        <v>205.2</v>
      </c>
      <c r="H449" vm="3725">
        <f ca="1"/>
        <v>44813</v>
      </c>
      <c r="I449" vm="3729">
        <f ca="1"/>
        <v>137.63</v>
      </c>
      <c r="J449" vm="3725">
        <f ca="1"/>
        <v>44813</v>
      </c>
      <c r="K449" vm="3730">
        <f ca="1"/>
        <v>25.22</v>
      </c>
      <c r="L449" vm="3725">
        <f ca="1"/>
        <v>44813</v>
      </c>
      <c r="M449" vm="3731">
        <f ca="1"/>
        <v>110.28</v>
      </c>
      <c r="N449" vm="3725">
        <f ca="1"/>
        <v>44813</v>
      </c>
      <c r="O449" vm="2372">
        <f ca="1"/>
        <v>295.52</v>
      </c>
      <c r="P449" vm="3725">
        <f ca="1"/>
        <v>44813</v>
      </c>
      <c r="Q449" vm="3732">
        <f ca="1"/>
        <v>26.196999999999999</v>
      </c>
      <c r="R449" s="29">
        <f t="shared" ca="1" si="55"/>
        <v>2.2976945690855632E-2</v>
      </c>
      <c r="S449" s="30">
        <f t="shared" ca="1" si="56"/>
        <v>1.5503875968992342E-2</v>
      </c>
      <c r="T449" s="30">
        <f t="shared" ca="1" si="57"/>
        <v>2.2370584425290121E-2</v>
      </c>
      <c r="U449" s="30">
        <f t="shared" ca="1" si="58"/>
        <v>1.8048672239070921E-2</v>
      </c>
      <c r="V449" s="30">
        <f t="shared" ca="1" si="59"/>
        <v>3.828736105393165E-2</v>
      </c>
      <c r="W449" s="30">
        <f t="shared" ca="1" si="62"/>
        <v>4.8488305761551567E-2</v>
      </c>
      <c r="X449" s="30">
        <f t="shared" ca="1" si="60"/>
        <v>1.3721185510428101E-2</v>
      </c>
      <c r="Y449" s="31">
        <f t="shared" ca="1" si="61"/>
        <v>0.11714285714285715</v>
      </c>
    </row>
    <row r="450" spans="2:25" x14ac:dyDescent="0.45">
      <c r="B450" vm="3733">
        <f ca="1"/>
        <v>44816</v>
      </c>
      <c r="C450" vm="3734">
        <f ca="1"/>
        <v>266.64999999999998</v>
      </c>
      <c r="D450" vm="3733">
        <f ca="1"/>
        <v>44816</v>
      </c>
      <c r="E450" vm="133">
        <f ca="1"/>
        <v>17.38</v>
      </c>
      <c r="F450" vm="3733">
        <f ca="1"/>
        <v>44816</v>
      </c>
      <c r="G450" vm="3735">
        <f ca="1"/>
        <v>206.63</v>
      </c>
      <c r="H450" vm="3733">
        <f ca="1"/>
        <v>44816</v>
      </c>
      <c r="I450" vm="3736">
        <f ca="1"/>
        <v>139.87</v>
      </c>
      <c r="J450" vm="3733">
        <f ca="1"/>
        <v>44816</v>
      </c>
      <c r="K450" vm="2328">
        <f ca="1"/>
        <v>23.93</v>
      </c>
      <c r="L450" vm="3733">
        <f ca="1"/>
        <v>44816</v>
      </c>
      <c r="M450" vm="3737">
        <f ca="1"/>
        <v>111.34</v>
      </c>
      <c r="N450" vm="3733">
        <f ca="1"/>
        <v>44816</v>
      </c>
      <c r="O450" vm="3738">
        <f ca="1"/>
        <v>290.39999999999998</v>
      </c>
      <c r="P450" vm="3733">
        <f ca="1"/>
        <v>44816</v>
      </c>
      <c r="Q450" vm="3739">
        <f ca="1"/>
        <v>26.297999999999998</v>
      </c>
      <c r="R450" s="29">
        <f t="shared" ca="1" si="55"/>
        <v>8.2810254858957794E-3</v>
      </c>
      <c r="S450" s="30">
        <f t="shared" ca="1" si="56"/>
        <v>2.0551967116852487E-2</v>
      </c>
      <c r="T450" s="30">
        <f t="shared" ca="1" si="57"/>
        <v>6.9688109161793708E-3</v>
      </c>
      <c r="U450" s="30">
        <f t="shared" ca="1" si="58"/>
        <v>1.6275521325292516E-2</v>
      </c>
      <c r="V450" s="30">
        <f t="shared" ca="1" si="59"/>
        <v>-5.1149881046788234E-2</v>
      </c>
      <c r="W450" s="30">
        <f t="shared" ca="1" si="62"/>
        <v>9.6118969894813406E-3</v>
      </c>
      <c r="X450" s="30">
        <f t="shared" ca="1" si="60"/>
        <v>-1.732539252842449E-2</v>
      </c>
      <c r="Y450" s="31">
        <f t="shared" ca="1" si="61"/>
        <v>3.8554032904530708E-3</v>
      </c>
    </row>
    <row r="451" spans="2:25" x14ac:dyDescent="0.45">
      <c r="B451" vm="3740">
        <f ca="1"/>
        <v>44817</v>
      </c>
      <c r="C451" vm="3741">
        <f ca="1"/>
        <v>251.99</v>
      </c>
      <c r="D451" vm="3740">
        <f ca="1"/>
        <v>44817</v>
      </c>
      <c r="E451" vm="3742">
        <f ca="1"/>
        <v>16.829999999999998</v>
      </c>
      <c r="F451" vm="3740">
        <f ca="1"/>
        <v>44817</v>
      </c>
      <c r="G451" vm="3743">
        <f ca="1"/>
        <v>199.67</v>
      </c>
      <c r="H451" vm="3740">
        <f ca="1"/>
        <v>44817</v>
      </c>
      <c r="I451" vm="3744">
        <f ca="1"/>
        <v>133.54</v>
      </c>
      <c r="J451" vm="3740">
        <f ca="1"/>
        <v>44817</v>
      </c>
      <c r="K451" vm="3745">
        <f ca="1"/>
        <v>22.36</v>
      </c>
      <c r="L451" vm="3740">
        <f ca="1"/>
        <v>44817</v>
      </c>
      <c r="M451" vm="3746">
        <f ca="1"/>
        <v>101.96</v>
      </c>
      <c r="N451" vm="3740">
        <f ca="1"/>
        <v>44817</v>
      </c>
      <c r="O451" vm="3747">
        <f ca="1"/>
        <v>304.16000000000003</v>
      </c>
      <c r="P451" vm="3740">
        <f ca="1"/>
        <v>44817</v>
      </c>
      <c r="Q451" vm="3748">
        <f ca="1"/>
        <v>23.125</v>
      </c>
      <c r="R451" s="29">
        <f t="shared" ca="1" si="55"/>
        <v>-5.4978436152259398E-2</v>
      </c>
      <c r="S451" s="30">
        <f t="shared" ca="1" si="56"/>
        <v>-3.1645569620253208E-2</v>
      </c>
      <c r="T451" s="30">
        <f t="shared" ca="1" si="57"/>
        <v>-3.3683395441126689E-2</v>
      </c>
      <c r="U451" s="30">
        <f t="shared" ca="1" si="58"/>
        <v>-4.5256309430185257E-2</v>
      </c>
      <c r="V451" s="30">
        <f t="shared" ca="1" si="59"/>
        <v>-6.5608023401587973E-2</v>
      </c>
      <c r="W451" s="30">
        <f t="shared" ca="1" si="62"/>
        <v>-8.4246452308245096E-2</v>
      </c>
      <c r="X451" s="30">
        <f t="shared" ca="1" si="60"/>
        <v>4.7382920110193003E-2</v>
      </c>
      <c r="Y451" s="31">
        <f t="shared" ca="1" si="61"/>
        <v>-0.12065556316069657</v>
      </c>
    </row>
    <row r="452" spans="2:25" x14ac:dyDescent="0.45">
      <c r="B452" vm="3749">
        <f ca="1"/>
        <v>44818</v>
      </c>
      <c r="C452" vm="3750">
        <f ca="1"/>
        <v>252.22</v>
      </c>
      <c r="D452" vm="3749">
        <f ca="1"/>
        <v>44818</v>
      </c>
      <c r="E452" vm="194">
        <f ca="1"/>
        <v>16.77</v>
      </c>
      <c r="F452" vm="3749">
        <f ca="1"/>
        <v>44818</v>
      </c>
      <c r="G452" vm="3751">
        <f ca="1"/>
        <v>199.41</v>
      </c>
      <c r="H452" vm="3749">
        <f ca="1"/>
        <v>44818</v>
      </c>
      <c r="I452" vm="3752">
        <f ca="1"/>
        <v>133.25</v>
      </c>
      <c r="J452" vm="3749">
        <f ca="1"/>
        <v>44818</v>
      </c>
      <c r="K452" vm="3753">
        <f ca="1"/>
        <v>20.43</v>
      </c>
      <c r="L452" vm="3749">
        <f ca="1"/>
        <v>44818</v>
      </c>
      <c r="M452" vm="3754">
        <f ca="1"/>
        <v>102.45</v>
      </c>
      <c r="N452" vm="3749">
        <f ca="1"/>
        <v>44818</v>
      </c>
      <c r="O452" vm="3702">
        <f ca="1"/>
        <v>305.44</v>
      </c>
      <c r="P452" vm="3749">
        <f ca="1"/>
        <v>44818</v>
      </c>
      <c r="Q452" vm="3755">
        <f ca="1"/>
        <v>22.599</v>
      </c>
      <c r="R452" s="29">
        <f t="shared" ca="1" si="55"/>
        <v>9.1273463232663897E-4</v>
      </c>
      <c r="S452" s="30">
        <f t="shared" ca="1" si="56"/>
        <v>-3.5650623885917247E-3</v>
      </c>
      <c r="T452" s="30">
        <f t="shared" ca="1" si="57"/>
        <v>-1.3021485450993686E-3</v>
      </c>
      <c r="U452" s="30">
        <f t="shared" ca="1" si="58"/>
        <v>-2.171633967350547E-3</v>
      </c>
      <c r="V452" s="30">
        <f t="shared" ca="1" si="59"/>
        <v>-8.6314847942754916E-2</v>
      </c>
      <c r="W452" s="30">
        <f t="shared" ca="1" si="62"/>
        <v>4.805806198509309E-3</v>
      </c>
      <c r="X452" s="30">
        <f t="shared" ca="1" si="60"/>
        <v>4.208311415044623E-3</v>
      </c>
      <c r="Y452" s="31">
        <f t="shared" ca="1" si="61"/>
        <v>-2.2745945945945936E-2</v>
      </c>
    </row>
    <row r="453" spans="2:25" x14ac:dyDescent="0.45">
      <c r="B453" vm="3756">
        <f ca="1"/>
        <v>44819</v>
      </c>
      <c r="C453" vm="3757">
        <f ca="1"/>
        <v>245.38</v>
      </c>
      <c r="D453" vm="3756">
        <f ca="1"/>
        <v>44819</v>
      </c>
      <c r="E453" vm="3283">
        <f ca="1"/>
        <v>16.760000000000002</v>
      </c>
      <c r="F453" vm="3756">
        <f ca="1"/>
        <v>44819</v>
      </c>
      <c r="G453" vm="3758">
        <f ca="1"/>
        <v>195.37</v>
      </c>
      <c r="H453" vm="3756">
        <f ca="1"/>
        <v>44819</v>
      </c>
      <c r="I453" vm="2657">
        <f ca="1"/>
        <v>133.16</v>
      </c>
      <c r="J453" vm="3756">
        <f ca="1"/>
        <v>44819</v>
      </c>
      <c r="K453" vm="3480">
        <f ca="1"/>
        <v>20.3</v>
      </c>
      <c r="L453" vm="3756">
        <f ca="1"/>
        <v>44819</v>
      </c>
      <c r="M453" vm="3759">
        <f ca="1"/>
        <v>103.96</v>
      </c>
      <c r="N453" vm="3756">
        <f ca="1"/>
        <v>44819</v>
      </c>
      <c r="O453" vm="3760">
        <f ca="1"/>
        <v>306.39999999999998</v>
      </c>
      <c r="P453" vm="3756">
        <f ca="1"/>
        <v>44819</v>
      </c>
      <c r="Q453" vm="3761">
        <f ca="1"/>
        <v>21.693999999999999</v>
      </c>
      <c r="R453" s="29">
        <f t="shared" ref="R453:R516" ca="1" si="63">(C453-C452)/C452</f>
        <v>-2.7119181666798841E-2</v>
      </c>
      <c r="S453" s="30">
        <f t="shared" ref="S453:S516" ca="1" si="64">(E453-E452)/E452</f>
        <v>-5.9630292188419859E-4</v>
      </c>
      <c r="T453" s="30">
        <f t="shared" ref="T453:T516" ca="1" si="65">(G453-G452)/G452</f>
        <v>-2.0259766310616278E-2</v>
      </c>
      <c r="U453" s="30">
        <f t="shared" ref="U453:U516" ca="1" si="66">(I453-I452)/I452</f>
        <v>-6.7542213883679857E-4</v>
      </c>
      <c r="V453" s="30">
        <f t="shared" ref="V453:V516" ca="1" si="67">(K453-K452)/K452</f>
        <v>-6.3631913852177681E-3</v>
      </c>
      <c r="W453" s="30">
        <f t="shared" ca="1" si="62"/>
        <v>1.473889702293793E-2</v>
      </c>
      <c r="X453" s="30">
        <f t="shared" ref="X453:X516" ca="1" si="68">(O453-O452)/O452</f>
        <v>3.1430068098480209E-3</v>
      </c>
      <c r="Y453" s="31">
        <f t="shared" ref="Y453:Y516" ca="1" si="69">(Q453-Q452)/Q452</f>
        <v>-4.0046019735386573E-2</v>
      </c>
    </row>
    <row r="454" spans="2:25" x14ac:dyDescent="0.45">
      <c r="B454" vm="3762">
        <f ca="1"/>
        <v>44820</v>
      </c>
      <c r="C454" vm="3763">
        <f ca="1"/>
        <v>244.74</v>
      </c>
      <c r="D454" vm="3762">
        <f ca="1"/>
        <v>44820</v>
      </c>
      <c r="E454" vm="3764">
        <f ca="1"/>
        <v>16.739999999999998</v>
      </c>
      <c r="F454" vm="3762">
        <f ca="1"/>
        <v>44820</v>
      </c>
      <c r="G454" vm="3765">
        <f ca="1"/>
        <v>193.3</v>
      </c>
      <c r="H454" vm="3762">
        <f ca="1"/>
        <v>44820</v>
      </c>
      <c r="I454" vm="3766">
        <f ca="1"/>
        <v>129.88999999999999</v>
      </c>
      <c r="J454" vm="3762">
        <f ca="1"/>
        <v>44820</v>
      </c>
      <c r="K454" vm="3767">
        <f ca="1"/>
        <v>20.14</v>
      </c>
      <c r="L454" vm="3762">
        <f ca="1"/>
        <v>44820</v>
      </c>
      <c r="M454" vm="3768">
        <f ca="1"/>
        <v>100.34</v>
      </c>
      <c r="N454" vm="3762">
        <f ca="1"/>
        <v>44820</v>
      </c>
      <c r="O454" vm="3769">
        <f ca="1"/>
        <v>316.95999999999998</v>
      </c>
      <c r="P454" vm="3762">
        <f ca="1"/>
        <v>44820</v>
      </c>
      <c r="Q454" vm="3770">
        <f ca="1"/>
        <v>20.634</v>
      </c>
      <c r="R454" s="29">
        <f t="shared" ca="1" si="63"/>
        <v>-2.6081995272637802E-3</v>
      </c>
      <c r="S454" s="30">
        <f t="shared" ca="1" si="64"/>
        <v>-1.1933174224345539E-3</v>
      </c>
      <c r="T454" s="30">
        <f t="shared" ca="1" si="65"/>
        <v>-1.0595280749347357E-2</v>
      </c>
      <c r="U454" s="30">
        <f t="shared" ca="1" si="66"/>
        <v>-2.455692400120164E-2</v>
      </c>
      <c r="V454" s="30">
        <f t="shared" ca="1" si="67"/>
        <v>-7.8817733990147847E-3</v>
      </c>
      <c r="W454" s="30">
        <f t="shared" ref="W454:W517" ca="1" si="70">(M454-M453)/M453</f>
        <v>-3.4821085032704799E-2</v>
      </c>
      <c r="X454" s="30">
        <f t="shared" ca="1" si="68"/>
        <v>3.446475195822455E-2</v>
      </c>
      <c r="Y454" s="31">
        <f t="shared" ca="1" si="69"/>
        <v>-4.8861436341845615E-2</v>
      </c>
    </row>
    <row r="455" spans="2:25" x14ac:dyDescent="0.45">
      <c r="B455" vm="3771">
        <f ca="1"/>
        <v>44823</v>
      </c>
      <c r="C455" vm="3772">
        <f ca="1"/>
        <v>244.52</v>
      </c>
      <c r="D455" vm="3771">
        <f ca="1"/>
        <v>44823</v>
      </c>
      <c r="E455" vm="3283">
        <f ca="1"/>
        <v>16.760000000000002</v>
      </c>
      <c r="F455" vm="3771">
        <f ca="1"/>
        <v>44823</v>
      </c>
      <c r="G455" vm="3773">
        <f ca="1"/>
        <v>193.13</v>
      </c>
      <c r="H455" vm="3771">
        <f ca="1"/>
        <v>44823</v>
      </c>
      <c r="I455" vm="3774">
        <f ca="1"/>
        <v>130.72</v>
      </c>
      <c r="J455" vm="3771">
        <f ca="1"/>
        <v>44823</v>
      </c>
      <c r="K455" vm="3775">
        <f ca="1"/>
        <v>20.49</v>
      </c>
      <c r="L455" vm="3771">
        <f ca="1"/>
        <v>44823</v>
      </c>
      <c r="M455" vm="3776">
        <f ca="1"/>
        <v>99.7</v>
      </c>
      <c r="N455" vm="3771">
        <f ca="1"/>
        <v>44823</v>
      </c>
      <c r="O455" vm="3777">
        <f ca="1"/>
        <v>287.83999999999997</v>
      </c>
      <c r="P455" vm="3771">
        <f ca="1"/>
        <v>44823</v>
      </c>
      <c r="Q455" vm="568">
        <f ca="1"/>
        <v>20.62</v>
      </c>
      <c r="R455" s="29">
        <f t="shared" ca="1" si="63"/>
        <v>-8.9891313230366454E-4</v>
      </c>
      <c r="S455" s="30">
        <f t="shared" ca="1" si="64"/>
        <v>1.194743130227188E-3</v>
      </c>
      <c r="T455" s="30">
        <f t="shared" ca="1" si="65"/>
        <v>-8.7946197620287592E-4</v>
      </c>
      <c r="U455" s="30">
        <f t="shared" ca="1" si="66"/>
        <v>6.3900223265841299E-3</v>
      </c>
      <c r="V455" s="30">
        <f t="shared" ca="1" si="67"/>
        <v>1.7378351539225317E-2</v>
      </c>
      <c r="W455" s="30">
        <f t="shared" ca="1" si="70"/>
        <v>-6.3783137333067626E-3</v>
      </c>
      <c r="X455" s="30">
        <f t="shared" ca="1" si="68"/>
        <v>-9.1872791519434643E-2</v>
      </c>
      <c r="Y455" s="31">
        <f t="shared" ca="1" si="69"/>
        <v>-6.7849180963455203E-4</v>
      </c>
    </row>
    <row r="456" spans="2:25" x14ac:dyDescent="0.45">
      <c r="B456" vm="3778">
        <f ca="1"/>
        <v>44824</v>
      </c>
      <c r="C456" vm="3779">
        <f ca="1"/>
        <v>242.45</v>
      </c>
      <c r="D456" vm="3778">
        <f ca="1"/>
        <v>44824</v>
      </c>
      <c r="E456" vm="3780">
        <f ca="1"/>
        <v>16.559999999999999</v>
      </c>
      <c r="F456" vm="3778">
        <f ca="1"/>
        <v>44824</v>
      </c>
      <c r="G456" vm="3781">
        <f ca="1"/>
        <v>192.07</v>
      </c>
      <c r="H456" vm="3778">
        <f ca="1"/>
        <v>44824</v>
      </c>
      <c r="I456" vm="3782">
        <f ca="1"/>
        <v>128.13999999999999</v>
      </c>
      <c r="J456" vm="3778">
        <f ca="1"/>
        <v>44824</v>
      </c>
      <c r="K456" vm="3417">
        <f ca="1"/>
        <v>20.329999999999998</v>
      </c>
      <c r="L456" vm="3778">
        <f ca="1"/>
        <v>44824</v>
      </c>
      <c r="M456" vm="3783">
        <f ca="1"/>
        <v>97.26</v>
      </c>
      <c r="N456" vm="3778">
        <f ca="1"/>
        <v>44824</v>
      </c>
      <c r="O456" vm="3784">
        <f ca="1"/>
        <v>294.56</v>
      </c>
      <c r="P456" vm="3778">
        <f ca="1"/>
        <v>44824</v>
      </c>
      <c r="Q456" vm="3785">
        <f ca="1"/>
        <v>19.66</v>
      </c>
      <c r="R456" s="29">
        <f t="shared" ca="1" si="63"/>
        <v>-8.4655651889416882E-3</v>
      </c>
      <c r="S456" s="30">
        <f t="shared" ca="1" si="64"/>
        <v>-1.1933174224343843E-2</v>
      </c>
      <c r="T456" s="30">
        <f t="shared" ca="1" si="65"/>
        <v>-5.4885310412675515E-3</v>
      </c>
      <c r="U456" s="30">
        <f t="shared" ca="1" si="66"/>
        <v>-1.9736842105263254E-2</v>
      </c>
      <c r="V456" s="30">
        <f t="shared" ca="1" si="67"/>
        <v>-7.8086871644704806E-3</v>
      </c>
      <c r="W456" s="30">
        <f t="shared" ca="1" si="70"/>
        <v>-2.4473420260782322E-2</v>
      </c>
      <c r="X456" s="30">
        <f t="shared" ca="1" si="68"/>
        <v>2.3346303501945623E-2</v>
      </c>
      <c r="Y456" s="31">
        <f t="shared" ca="1" si="69"/>
        <v>-4.6556741028128068E-2</v>
      </c>
    </row>
    <row r="457" spans="2:25" x14ac:dyDescent="0.45">
      <c r="B457" vm="3786">
        <f ca="1"/>
        <v>44825</v>
      </c>
      <c r="C457" vm="3787">
        <f ca="1"/>
        <v>238.95</v>
      </c>
      <c r="D457" vm="3786">
        <f ca="1"/>
        <v>44825</v>
      </c>
      <c r="E457" vm="3788">
        <f ca="1"/>
        <v>16.25</v>
      </c>
      <c r="F457" vm="3786">
        <f ca="1"/>
        <v>44825</v>
      </c>
      <c r="G457" vm="3789">
        <f ca="1"/>
        <v>187.02</v>
      </c>
      <c r="H457" vm="3786">
        <f ca="1"/>
        <v>44825</v>
      </c>
      <c r="I457" vm="3790">
        <f ca="1"/>
        <v>126.48</v>
      </c>
      <c r="J457" vm="3786">
        <f ca="1"/>
        <v>44825</v>
      </c>
      <c r="K457" vm="3791">
        <f ca="1"/>
        <v>19.850000000000001</v>
      </c>
      <c r="L457" vm="3786">
        <f ca="1"/>
        <v>44825</v>
      </c>
      <c r="M457" vm="3792">
        <f ca="1"/>
        <v>95.39</v>
      </c>
      <c r="N457" vm="3786">
        <f ca="1"/>
        <v>44825</v>
      </c>
      <c r="O457" vm="3793">
        <f ca="1"/>
        <v>301.76</v>
      </c>
      <c r="P457" vm="3786">
        <f ca="1"/>
        <v>44825</v>
      </c>
      <c r="Q457" vm="3794">
        <f ca="1"/>
        <v>19.591999999999999</v>
      </c>
      <c r="R457" s="29">
        <f t="shared" ca="1" si="63"/>
        <v>-1.4435966178593525E-2</v>
      </c>
      <c r="S457" s="30">
        <f t="shared" ca="1" si="64"/>
        <v>-1.8719806763284948E-2</v>
      </c>
      <c r="T457" s="30">
        <f t="shared" ca="1" si="65"/>
        <v>-2.6292497526943213E-2</v>
      </c>
      <c r="U457" s="30">
        <f t="shared" ca="1" si="66"/>
        <v>-1.2954580927110836E-2</v>
      </c>
      <c r="V457" s="30">
        <f t="shared" ca="1" si="67"/>
        <v>-2.3610427939006244E-2</v>
      </c>
      <c r="W457" s="30">
        <f t="shared" ca="1" si="70"/>
        <v>-1.9226814723421803E-2</v>
      </c>
      <c r="X457" s="30">
        <f t="shared" ca="1" si="68"/>
        <v>2.4443237370993985E-2</v>
      </c>
      <c r="Y457" s="31">
        <f t="shared" ca="1" si="69"/>
        <v>-3.4587995930824718E-3</v>
      </c>
    </row>
    <row r="458" spans="2:25" x14ac:dyDescent="0.45">
      <c r="B458" vm="3795">
        <f ca="1"/>
        <v>44826</v>
      </c>
      <c r="C458" vm="3796">
        <f ca="1"/>
        <v>240.98</v>
      </c>
      <c r="D458" vm="3795">
        <f ca="1"/>
        <v>44826</v>
      </c>
      <c r="E458" vm="3797">
        <f ca="1"/>
        <v>16.239999999999998</v>
      </c>
      <c r="F458" vm="3795">
        <f ca="1"/>
        <v>44826</v>
      </c>
      <c r="G458" vm="3798">
        <f ca="1"/>
        <v>185.79</v>
      </c>
      <c r="H458" vm="3795">
        <f ca="1"/>
        <v>44826</v>
      </c>
      <c r="I458" vm="3799">
        <f ca="1"/>
        <v>124.39</v>
      </c>
      <c r="J458" vm="3795">
        <f ca="1"/>
        <v>44826</v>
      </c>
      <c r="K458" vm="3800">
        <f ca="1"/>
        <v>19.68</v>
      </c>
      <c r="L458" vm="3795">
        <f ca="1"/>
        <v>44826</v>
      </c>
      <c r="M458" vm="3801">
        <f ca="1"/>
        <v>92.45</v>
      </c>
      <c r="N458" vm="3795">
        <f ca="1"/>
        <v>44826</v>
      </c>
      <c r="O458" vm="3802">
        <f ca="1"/>
        <v>302.56</v>
      </c>
      <c r="P458" vm="3795">
        <f ca="1"/>
        <v>44826</v>
      </c>
      <c r="Q458" vm="3803">
        <f ca="1"/>
        <v>19.231999999999999</v>
      </c>
      <c r="R458" s="29">
        <f t="shared" ca="1" si="63"/>
        <v>8.495501150868388E-3</v>
      </c>
      <c r="S458" s="30">
        <f t="shared" ca="1" si="64"/>
        <v>-6.1538461538471157E-4</v>
      </c>
      <c r="T458" s="30">
        <f t="shared" ca="1" si="65"/>
        <v>-6.576836701957107E-3</v>
      </c>
      <c r="U458" s="30">
        <f t="shared" ca="1" si="66"/>
        <v>-1.6524351676154358E-2</v>
      </c>
      <c r="V458" s="30">
        <f t="shared" ca="1" si="67"/>
        <v>-8.5642317380353501E-3</v>
      </c>
      <c r="W458" s="30">
        <f t="shared" ca="1" si="70"/>
        <v>-3.0820840758989387E-2</v>
      </c>
      <c r="X458" s="30">
        <f t="shared" ca="1" si="68"/>
        <v>2.6511134676564536E-3</v>
      </c>
      <c r="Y458" s="31">
        <f t="shared" ca="1" si="69"/>
        <v>-1.8374846876276003E-2</v>
      </c>
    </row>
    <row r="459" spans="2:25" x14ac:dyDescent="0.45">
      <c r="B459" vm="3804">
        <f ca="1"/>
        <v>44827</v>
      </c>
      <c r="C459" vm="2313">
        <f ca="1"/>
        <v>237.92</v>
      </c>
      <c r="D459" vm="3804">
        <f ca="1"/>
        <v>44827</v>
      </c>
      <c r="E459" vm="3805">
        <f ca="1"/>
        <v>16.010000000000002</v>
      </c>
      <c r="F459" vm="3804">
        <f ca="1"/>
        <v>44827</v>
      </c>
      <c r="G459" vm="3806">
        <f ca="1"/>
        <v>183.96</v>
      </c>
      <c r="H459" vm="3804">
        <f ca="1"/>
        <v>44827</v>
      </c>
      <c r="I459" vm="3807">
        <f ca="1"/>
        <v>123.48</v>
      </c>
      <c r="J459" vm="3804">
        <f ca="1"/>
        <v>44827</v>
      </c>
      <c r="K459" vm="2469">
        <f ca="1"/>
        <v>18.59</v>
      </c>
      <c r="L459" vm="3804">
        <f ca="1"/>
        <v>44827</v>
      </c>
      <c r="M459" vm="3808">
        <f ca="1"/>
        <v>89.34</v>
      </c>
      <c r="N459" vm="3804">
        <f ca="1"/>
        <v>44827</v>
      </c>
      <c r="O459" vm="1986">
        <f ca="1"/>
        <v>317.12</v>
      </c>
      <c r="P459" vm="3804">
        <f ca="1"/>
        <v>44827</v>
      </c>
      <c r="Q459" vm="3809">
        <f ca="1"/>
        <v>19.145</v>
      </c>
      <c r="R459" s="29">
        <f t="shared" ca="1" si="63"/>
        <v>-1.2698149224002002E-2</v>
      </c>
      <c r="S459" s="30">
        <f t="shared" ca="1" si="64"/>
        <v>-1.4162561576354489E-2</v>
      </c>
      <c r="T459" s="30">
        <f t="shared" ca="1" si="65"/>
        <v>-9.8498304537380059E-3</v>
      </c>
      <c r="U459" s="30">
        <f t="shared" ca="1" si="66"/>
        <v>-7.3157006190207943E-3</v>
      </c>
      <c r="V459" s="30">
        <f t="shared" ca="1" si="67"/>
        <v>-5.5386178861788614E-2</v>
      </c>
      <c r="W459" s="30">
        <f t="shared" ca="1" si="70"/>
        <v>-3.3639805300162244E-2</v>
      </c>
      <c r="X459" s="30">
        <f t="shared" ca="1" si="68"/>
        <v>4.8122686409307253E-2</v>
      </c>
      <c r="Y459" s="31">
        <f t="shared" ca="1" si="69"/>
        <v>-4.5237104825291046E-3</v>
      </c>
    </row>
    <row r="460" spans="2:25" x14ac:dyDescent="0.45">
      <c r="B460" vm="3810">
        <f ca="1"/>
        <v>44830</v>
      </c>
      <c r="C460" vm="3811">
        <f ca="1"/>
        <v>237.45</v>
      </c>
      <c r="D460" vm="3810">
        <f ca="1"/>
        <v>44830</v>
      </c>
      <c r="E460" vm="3812">
        <f ca="1"/>
        <v>15.67</v>
      </c>
      <c r="F460" vm="3810">
        <f ca="1"/>
        <v>44830</v>
      </c>
      <c r="G460" vm="3813">
        <f ca="1"/>
        <v>180.59</v>
      </c>
      <c r="H460" vm="3810">
        <f ca="1"/>
        <v>44830</v>
      </c>
      <c r="I460" vm="3814">
        <f ca="1"/>
        <v>122.31</v>
      </c>
      <c r="J460" vm="3810">
        <f ca="1"/>
        <v>44830</v>
      </c>
      <c r="K460" vm="212">
        <f ca="1"/>
        <v>18.2</v>
      </c>
      <c r="L460" vm="3810">
        <f ca="1"/>
        <v>44830</v>
      </c>
      <c r="M460" vm="3815">
        <f ca="1"/>
        <v>89.14</v>
      </c>
      <c r="N460" vm="3810">
        <f ca="1"/>
        <v>44830</v>
      </c>
      <c r="O460" vm="3816">
        <f ca="1"/>
        <v>328.96</v>
      </c>
      <c r="P460" vm="3810">
        <f ca="1"/>
        <v>44830</v>
      </c>
      <c r="Q460" vm="3817">
        <f ca="1"/>
        <v>20.018000000000001</v>
      </c>
      <c r="R460" s="29">
        <f t="shared" ca="1" si="63"/>
        <v>-1.9754539340954896E-3</v>
      </c>
      <c r="S460" s="30">
        <f t="shared" ca="1" si="64"/>
        <v>-2.1236727045596603E-2</v>
      </c>
      <c r="T460" s="30">
        <f t="shared" ca="1" si="65"/>
        <v>-1.8319199826049164E-2</v>
      </c>
      <c r="U460" s="30">
        <f t="shared" ca="1" si="66"/>
        <v>-9.475218658892141E-3</v>
      </c>
      <c r="V460" s="30">
        <f t="shared" ca="1" si="67"/>
        <v>-2.0979020979021011E-2</v>
      </c>
      <c r="W460" s="30">
        <f t="shared" ca="1" si="70"/>
        <v>-2.2386389075442449E-3</v>
      </c>
      <c r="X460" s="30">
        <f t="shared" ca="1" si="68"/>
        <v>3.7336024217961575E-2</v>
      </c>
      <c r="Y460" s="31">
        <f t="shared" ca="1" si="69"/>
        <v>4.5599373204492095E-2</v>
      </c>
    </row>
    <row r="461" spans="2:25" x14ac:dyDescent="0.45">
      <c r="B461" vm="3818">
        <f ca="1"/>
        <v>44831</v>
      </c>
      <c r="C461" vm="3819">
        <f ca="1"/>
        <v>236.41</v>
      </c>
      <c r="D461" vm="3818">
        <f ca="1"/>
        <v>44831</v>
      </c>
      <c r="E461" vm="3820">
        <f ca="1"/>
        <v>15.73</v>
      </c>
      <c r="F461" vm="3818">
        <f ca="1"/>
        <v>44831</v>
      </c>
      <c r="G461" vm="3821">
        <f ca="1"/>
        <v>177.87</v>
      </c>
      <c r="H461" vm="3818">
        <f ca="1"/>
        <v>44831</v>
      </c>
      <c r="I461" vm="3822">
        <f ca="1"/>
        <v>121.61</v>
      </c>
      <c r="J461" vm="3818">
        <f ca="1"/>
        <v>44831</v>
      </c>
      <c r="K461" vm="3823">
        <f ca="1"/>
        <v>18.64</v>
      </c>
      <c r="L461" vm="3818">
        <f ca="1"/>
        <v>44831</v>
      </c>
      <c r="M461" vm="3824">
        <f ca="1"/>
        <v>89.5</v>
      </c>
      <c r="N461" vm="3818">
        <f ca="1"/>
        <v>44831</v>
      </c>
      <c r="O461" vm="3825">
        <f ca="1"/>
        <v>335.2</v>
      </c>
      <c r="P461" vm="3818">
        <f ca="1"/>
        <v>44831</v>
      </c>
      <c r="Q461" vm="3826">
        <f ca="1"/>
        <v>20.606999999999999</v>
      </c>
      <c r="R461" s="29">
        <f t="shared" ca="1" si="63"/>
        <v>-4.3798694461991668E-3</v>
      </c>
      <c r="S461" s="30">
        <f t="shared" ca="1" si="64"/>
        <v>3.8289725590300253E-3</v>
      </c>
      <c r="T461" s="30">
        <f t="shared" ca="1" si="65"/>
        <v>-1.5061742067667085E-2</v>
      </c>
      <c r="U461" s="30">
        <f t="shared" ca="1" si="66"/>
        <v>-5.723162456054311E-3</v>
      </c>
      <c r="V461" s="30">
        <f t="shared" ca="1" si="67"/>
        <v>2.4175824175824246E-2</v>
      </c>
      <c r="W461" s="30">
        <f t="shared" ca="1" si="70"/>
        <v>4.0385909804801371E-3</v>
      </c>
      <c r="X461" s="30">
        <f t="shared" ca="1" si="68"/>
        <v>1.8968871595330769E-2</v>
      </c>
      <c r="Y461" s="31">
        <f t="shared" ca="1" si="69"/>
        <v>2.9423518833050187E-2</v>
      </c>
    </row>
    <row r="462" spans="2:25" x14ac:dyDescent="0.45">
      <c r="B462" vm="3827">
        <f ca="1"/>
        <v>44832</v>
      </c>
      <c r="C462" vm="3828">
        <f ca="1"/>
        <v>241.07</v>
      </c>
      <c r="D462" vm="3827">
        <f ca="1"/>
        <v>44832</v>
      </c>
      <c r="E462" vm="3829">
        <f ca="1"/>
        <v>15.83</v>
      </c>
      <c r="F462" vm="3827">
        <f ca="1"/>
        <v>44832</v>
      </c>
      <c r="G462" vm="3830">
        <f ca="1"/>
        <v>179.18</v>
      </c>
      <c r="H462" vm="3827">
        <f ca="1"/>
        <v>44832</v>
      </c>
      <c r="I462" vm="3831">
        <f ca="1"/>
        <v>123.72</v>
      </c>
      <c r="J462" vm="3827">
        <f ca="1"/>
        <v>44832</v>
      </c>
      <c r="K462" vm="352">
        <f ca="1"/>
        <v>18.73</v>
      </c>
      <c r="L462" vm="3827">
        <f ca="1"/>
        <v>44832</v>
      </c>
      <c r="M462" vm="3832">
        <f ca="1"/>
        <v>92.88</v>
      </c>
      <c r="N462" vm="3827">
        <f ca="1"/>
        <v>44832</v>
      </c>
      <c r="O462" vm="3833">
        <f ca="1"/>
        <v>321.12</v>
      </c>
      <c r="P462" vm="3827">
        <f ca="1"/>
        <v>44832</v>
      </c>
      <c r="Q462" vm="3834">
        <f ca="1"/>
        <v>22.047000000000001</v>
      </c>
      <c r="R462" s="29">
        <f t="shared" ca="1" si="63"/>
        <v>1.9711518125290796E-2</v>
      </c>
      <c r="S462" s="30">
        <f t="shared" ca="1" si="64"/>
        <v>6.3572790845517887E-3</v>
      </c>
      <c r="T462" s="30">
        <f t="shared" ca="1" si="65"/>
        <v>7.3649294428515333E-3</v>
      </c>
      <c r="U462" s="30">
        <f t="shared" ca="1" si="66"/>
        <v>1.7350546830030421E-2</v>
      </c>
      <c r="V462" s="30">
        <f t="shared" ca="1" si="67"/>
        <v>4.8283261802575033E-3</v>
      </c>
      <c r="W462" s="30">
        <f t="shared" ca="1" si="70"/>
        <v>3.7765363128491568E-2</v>
      </c>
      <c r="X462" s="30">
        <f t="shared" ca="1" si="68"/>
        <v>-4.2004773269689689E-2</v>
      </c>
      <c r="Y462" s="31">
        <f t="shared" ca="1" si="69"/>
        <v>6.9879167273256729E-2</v>
      </c>
    </row>
    <row r="463" spans="2:25" x14ac:dyDescent="0.45">
      <c r="B463" vm="3835">
        <f ca="1"/>
        <v>44833</v>
      </c>
      <c r="C463" vm="3836">
        <f ca="1"/>
        <v>237.5</v>
      </c>
      <c r="D463" vm="3835">
        <f ca="1"/>
        <v>44833</v>
      </c>
      <c r="E463" vm="3837">
        <f ca="1"/>
        <v>15.53</v>
      </c>
      <c r="F463" vm="3835">
        <f ca="1"/>
        <v>44833</v>
      </c>
      <c r="G463" vm="3838">
        <f ca="1"/>
        <v>180.06</v>
      </c>
      <c r="H463" vm="3835">
        <f ca="1"/>
        <v>44833</v>
      </c>
      <c r="I463" vm="3839">
        <f ca="1"/>
        <v>122.74</v>
      </c>
      <c r="J463" vm="3835">
        <f ca="1"/>
        <v>44833</v>
      </c>
      <c r="K463" vm="3336">
        <f ca="1"/>
        <v>18.54</v>
      </c>
      <c r="L463" vm="3835">
        <f ca="1"/>
        <v>44833</v>
      </c>
      <c r="M463" vm="3840">
        <f ca="1"/>
        <v>86.84</v>
      </c>
      <c r="N463" vm="3835">
        <f ca="1"/>
        <v>44833</v>
      </c>
      <c r="O463" vm="3841">
        <f ca="1"/>
        <v>329.92</v>
      </c>
      <c r="P463" vm="3835">
        <f ca="1"/>
        <v>44833</v>
      </c>
      <c r="Q463" vm="3842">
        <f ca="1"/>
        <v>21.181999999999999</v>
      </c>
      <c r="R463" s="29">
        <f t="shared" ca="1" si="63"/>
        <v>-1.4808976645787503E-2</v>
      </c>
      <c r="S463" s="30">
        <f t="shared" ca="1" si="64"/>
        <v>-1.8951358180669658E-2</v>
      </c>
      <c r="T463" s="30">
        <f t="shared" ca="1" si="65"/>
        <v>4.9112624176805191E-3</v>
      </c>
      <c r="U463" s="30">
        <f t="shared" ca="1" si="66"/>
        <v>-7.9211121888134815E-3</v>
      </c>
      <c r="V463" s="30">
        <f t="shared" ca="1" si="67"/>
        <v>-1.0144153764015017E-2</v>
      </c>
      <c r="W463" s="30">
        <f t="shared" ca="1" si="70"/>
        <v>-6.5030146425495178E-2</v>
      </c>
      <c r="X463" s="30">
        <f t="shared" ca="1" si="68"/>
        <v>2.740408570004986E-2</v>
      </c>
      <c r="Y463" s="31">
        <f t="shared" ca="1" si="69"/>
        <v>-3.9234362951875629E-2</v>
      </c>
    </row>
    <row r="464" spans="2:25" x14ac:dyDescent="0.45">
      <c r="B464" vm="3843">
        <f ca="1"/>
        <v>44834</v>
      </c>
      <c r="C464" vm="339">
        <f ca="1"/>
        <v>232.9</v>
      </c>
      <c r="D464" vm="3843">
        <f ca="1"/>
        <v>44834</v>
      </c>
      <c r="E464" vm="3844">
        <f ca="1"/>
        <v>15.34</v>
      </c>
      <c r="F464" vm="3843">
        <f ca="1"/>
        <v>44834</v>
      </c>
      <c r="G464" vm="3845">
        <f ca="1"/>
        <v>177.65</v>
      </c>
      <c r="H464" vm="3843">
        <f ca="1"/>
        <v>44834</v>
      </c>
      <c r="I464" vm="3846">
        <f ca="1"/>
        <v>121.55</v>
      </c>
      <c r="J464" vm="3843">
        <f ca="1"/>
        <v>44834</v>
      </c>
      <c r="K464" vm="3847">
        <f ca="1"/>
        <v>18.12</v>
      </c>
      <c r="L464" vm="3843">
        <f ca="1"/>
        <v>44834</v>
      </c>
      <c r="M464" vm="3848">
        <f ca="1"/>
        <v>86.3</v>
      </c>
      <c r="N464" vm="3843">
        <f ca="1"/>
        <v>44834</v>
      </c>
      <c r="O464" vm="2020">
        <f ca="1"/>
        <v>339.36</v>
      </c>
      <c r="P464" vm="3843">
        <f ca="1"/>
        <v>44834</v>
      </c>
      <c r="Q464" vm="3849">
        <f ca="1"/>
        <v>21.225999999999999</v>
      </c>
      <c r="R464" s="29">
        <f t="shared" ca="1" si="63"/>
        <v>-1.9368421052631556E-2</v>
      </c>
      <c r="S464" s="30">
        <f t="shared" ca="1" si="64"/>
        <v>-1.2234385061171894E-2</v>
      </c>
      <c r="T464" s="30">
        <f t="shared" ca="1" si="65"/>
        <v>-1.3384427413084508E-2</v>
      </c>
      <c r="U464" s="30">
        <f t="shared" ca="1" si="66"/>
        <v>-9.6952908587257438E-3</v>
      </c>
      <c r="V464" s="30">
        <f t="shared" ca="1" si="67"/>
        <v>-2.2653721682847797E-2</v>
      </c>
      <c r="W464" s="30">
        <f t="shared" ca="1" si="70"/>
        <v>-6.2183325656380269E-3</v>
      </c>
      <c r="X464" s="30">
        <f t="shared" ca="1" si="68"/>
        <v>2.8612997090203679E-2</v>
      </c>
      <c r="Y464" s="31">
        <f t="shared" ca="1" si="69"/>
        <v>2.0772353885374602E-3</v>
      </c>
    </row>
    <row r="465" spans="2:25" x14ac:dyDescent="0.45">
      <c r="B465" vm="3850">
        <f ca="1"/>
        <v>44837</v>
      </c>
      <c r="C465" vm="3851">
        <f ca="1"/>
        <v>240.74</v>
      </c>
      <c r="D465" vm="3850">
        <f ca="1"/>
        <v>44837</v>
      </c>
      <c r="E465" vm="3852">
        <f ca="1"/>
        <v>15.9</v>
      </c>
      <c r="F465" vm="3850">
        <f ca="1"/>
        <v>44837</v>
      </c>
      <c r="G465" vm="3853">
        <f ca="1"/>
        <v>181.65</v>
      </c>
      <c r="H465" vm="3850">
        <f ca="1"/>
        <v>44837</v>
      </c>
      <c r="I465" vm="3854">
        <f ca="1"/>
        <v>126.38</v>
      </c>
      <c r="J465" vm="3850">
        <f ca="1"/>
        <v>44837</v>
      </c>
      <c r="K465" vm="3855">
        <f ca="1"/>
        <v>19.39</v>
      </c>
      <c r="L465" vm="3850">
        <f ca="1"/>
        <v>44837</v>
      </c>
      <c r="M465" vm="3856">
        <f ca="1"/>
        <v>89</v>
      </c>
      <c r="N465" vm="3850">
        <f ca="1"/>
        <v>44837</v>
      </c>
      <c r="O465" vm="3664">
        <f ca="1"/>
        <v>322.39999999999998</v>
      </c>
      <c r="P465" vm="3850">
        <f ca="1"/>
        <v>44837</v>
      </c>
      <c r="Q465" vm="3857">
        <f ca="1"/>
        <v>22.452000000000002</v>
      </c>
      <c r="R465" s="29">
        <f t="shared" ca="1" si="63"/>
        <v>3.3662516101331058E-2</v>
      </c>
      <c r="S465" s="30">
        <f t="shared" ca="1" si="64"/>
        <v>3.6505867014341623E-2</v>
      </c>
      <c r="T465" s="30">
        <f t="shared" ca="1" si="65"/>
        <v>2.251618350689558E-2</v>
      </c>
      <c r="U465" s="30">
        <f t="shared" ca="1" si="66"/>
        <v>3.9736733854380903E-2</v>
      </c>
      <c r="V465" s="30">
        <f t="shared" ca="1" si="67"/>
        <v>7.0088300220750521E-2</v>
      </c>
      <c r="W465" s="30">
        <f t="shared" ca="1" si="70"/>
        <v>3.1286210892236418E-2</v>
      </c>
      <c r="X465" s="30">
        <f t="shared" ca="1" si="68"/>
        <v>-4.9976426214050081E-2</v>
      </c>
      <c r="Y465" s="31">
        <f t="shared" ca="1" si="69"/>
        <v>5.775935173843412E-2</v>
      </c>
    </row>
    <row r="466" spans="2:25" x14ac:dyDescent="0.45">
      <c r="B466" vm="3858">
        <f ca="1"/>
        <v>44838</v>
      </c>
      <c r="C466" vm="3859">
        <f ca="1"/>
        <v>248.88</v>
      </c>
      <c r="D466" vm="3858">
        <f ca="1"/>
        <v>44838</v>
      </c>
      <c r="E466" vm="3860">
        <f ca="1"/>
        <v>16.09</v>
      </c>
      <c r="F466" vm="3858">
        <f ca="1"/>
        <v>44838</v>
      </c>
      <c r="G466" vm="3861">
        <f ca="1"/>
        <v>185.65</v>
      </c>
      <c r="H466" vm="3858">
        <f ca="1"/>
        <v>44838</v>
      </c>
      <c r="I466" vm="3862">
        <f ca="1"/>
        <v>131.41</v>
      </c>
      <c r="J466" vm="3858">
        <f ca="1"/>
        <v>44838</v>
      </c>
      <c r="K466" vm="3753">
        <f ca="1"/>
        <v>20.43</v>
      </c>
      <c r="L466" vm="3858">
        <f ca="1"/>
        <v>44838</v>
      </c>
      <c r="M466" vm="3863">
        <f ca="1"/>
        <v>94.63</v>
      </c>
      <c r="N466" vm="3858">
        <f ca="1"/>
        <v>44838</v>
      </c>
      <c r="O466" vm="3864">
        <f ca="1"/>
        <v>310.24</v>
      </c>
      <c r="P466" vm="3858">
        <f ca="1"/>
        <v>44838</v>
      </c>
      <c r="Q466" vm="3865">
        <f ca="1"/>
        <v>24.873999999999999</v>
      </c>
      <c r="R466" s="29">
        <f t="shared" ca="1" si="63"/>
        <v>3.3812411730497573E-2</v>
      </c>
      <c r="S466" s="30">
        <f t="shared" ca="1" si="64"/>
        <v>1.1949685534591163E-2</v>
      </c>
      <c r="T466" s="30">
        <f t="shared" ca="1" si="65"/>
        <v>2.2020368841178087E-2</v>
      </c>
      <c r="U466" s="30">
        <f t="shared" ca="1" si="66"/>
        <v>3.9800601360974845E-2</v>
      </c>
      <c r="V466" s="30">
        <f t="shared" ca="1" si="67"/>
        <v>5.3635894791129402E-2</v>
      </c>
      <c r="W466" s="30">
        <f t="shared" ca="1" si="70"/>
        <v>6.3258426966292081E-2</v>
      </c>
      <c r="X466" s="30">
        <f t="shared" ca="1" si="68"/>
        <v>-3.7717121588089236E-2</v>
      </c>
      <c r="Y466" s="31">
        <f t="shared" ca="1" si="69"/>
        <v>0.10787457687511121</v>
      </c>
    </row>
    <row r="467" spans="2:25" x14ac:dyDescent="0.45">
      <c r="B467" vm="3866">
        <f ca="1"/>
        <v>44839</v>
      </c>
      <c r="C467" vm="3867">
        <f ca="1"/>
        <v>249.2</v>
      </c>
      <c r="D467" vm="3866">
        <f ca="1"/>
        <v>44839</v>
      </c>
      <c r="E467" vm="3868">
        <f ca="1"/>
        <v>15.93</v>
      </c>
      <c r="F467" vm="3866">
        <f ca="1"/>
        <v>44839</v>
      </c>
      <c r="G467" vm="3869">
        <f ca="1"/>
        <v>187.67</v>
      </c>
      <c r="H467" vm="3866">
        <f ca="1"/>
        <v>44839</v>
      </c>
      <c r="I467" vm="3638">
        <f ca="1"/>
        <v>132.63999999999999</v>
      </c>
      <c r="J467" vm="3866">
        <f ca="1"/>
        <v>44839</v>
      </c>
      <c r="K467" vm="3870">
        <f ca="1"/>
        <v>20.190000000000001</v>
      </c>
      <c r="L467" vm="3866">
        <f ca="1"/>
        <v>44839</v>
      </c>
      <c r="M467" vm="3871">
        <f ca="1"/>
        <v>91.4</v>
      </c>
      <c r="N467" vm="3866">
        <f ca="1"/>
        <v>44839</v>
      </c>
      <c r="O467" vm="3872">
        <f ca="1"/>
        <v>312.32</v>
      </c>
      <c r="P467" vm="3866">
        <f ca="1"/>
        <v>44839</v>
      </c>
      <c r="Q467" vm="3873">
        <f ca="1"/>
        <v>24.219000000000001</v>
      </c>
      <c r="R467" s="29">
        <f t="shared" ca="1" si="63"/>
        <v>1.2857602057216055E-3</v>
      </c>
      <c r="S467" s="30">
        <f t="shared" ca="1" si="64"/>
        <v>-9.9440646364201465E-3</v>
      </c>
      <c r="T467" s="30">
        <f t="shared" ca="1" si="65"/>
        <v>1.0880689469431628E-2</v>
      </c>
      <c r="U467" s="30">
        <f t="shared" ca="1" si="66"/>
        <v>9.3600182634501917E-3</v>
      </c>
      <c r="V467" s="30">
        <f t="shared" ca="1" si="67"/>
        <v>-1.1747430249632816E-2</v>
      </c>
      <c r="W467" s="30">
        <f t="shared" ca="1" si="70"/>
        <v>-3.413293881432939E-2</v>
      </c>
      <c r="X467" s="30">
        <f t="shared" ca="1" si="68"/>
        <v>6.7044868488911292E-3</v>
      </c>
      <c r="Y467" s="31">
        <f t="shared" ca="1" si="69"/>
        <v>-2.6332716893141338E-2</v>
      </c>
    </row>
    <row r="468" spans="2:25" x14ac:dyDescent="0.45">
      <c r="B468" vm="3874">
        <f ca="1"/>
        <v>44840</v>
      </c>
      <c r="C468" vm="3875">
        <f ca="1"/>
        <v>246.79</v>
      </c>
      <c r="D468" vm="3874">
        <f ca="1"/>
        <v>44840</v>
      </c>
      <c r="E468" vm="3876">
        <f ca="1"/>
        <v>15.32</v>
      </c>
      <c r="F468" vm="3874">
        <f ca="1"/>
        <v>44840</v>
      </c>
      <c r="G468" vm="3877">
        <f ca="1"/>
        <v>185.59</v>
      </c>
      <c r="H468" vm="3874">
        <f ca="1"/>
        <v>44840</v>
      </c>
      <c r="I468" vm="3878">
        <f ca="1"/>
        <v>132.18</v>
      </c>
      <c r="J468" vm="3874">
        <f ca="1"/>
        <v>44840</v>
      </c>
      <c r="K468" vm="3879">
        <f ca="1"/>
        <v>19.62</v>
      </c>
      <c r="L468" vm="3874">
        <f ca="1"/>
        <v>44840</v>
      </c>
      <c r="M468" vm="3880">
        <f ca="1"/>
        <v>92.25</v>
      </c>
      <c r="N468" vm="3874">
        <f ca="1"/>
        <v>44840</v>
      </c>
      <c r="O468" vm="3881">
        <f ca="1"/>
        <v>321.44</v>
      </c>
      <c r="P468" vm="3874">
        <f ca="1"/>
        <v>44840</v>
      </c>
      <c r="Q468" vm="3882">
        <f ca="1"/>
        <v>24.167000000000002</v>
      </c>
      <c r="R468" s="29">
        <f t="shared" ca="1" si="63"/>
        <v>-9.6709470304975793E-3</v>
      </c>
      <c r="S468" s="30">
        <f t="shared" ca="1" si="64"/>
        <v>-3.8292529817953509E-2</v>
      </c>
      <c r="T468" s="30">
        <f t="shared" ca="1" si="65"/>
        <v>-1.1083284488730133E-2</v>
      </c>
      <c r="U468" s="30">
        <f t="shared" ca="1" si="66"/>
        <v>-3.468033775633139E-3</v>
      </c>
      <c r="V468" s="30">
        <f t="shared" ca="1" si="67"/>
        <v>-2.8231797919762269E-2</v>
      </c>
      <c r="W468" s="30">
        <f t="shared" ca="1" si="70"/>
        <v>9.2997811816191937E-3</v>
      </c>
      <c r="X468" s="30">
        <f t="shared" ca="1" si="68"/>
        <v>2.9200819672131163E-2</v>
      </c>
      <c r="Y468" s="31">
        <f t="shared" ca="1" si="69"/>
        <v>-2.1470746108427103E-3</v>
      </c>
    </row>
    <row r="469" spans="2:25" x14ac:dyDescent="0.45">
      <c r="B469" vm="3883">
        <f ca="1"/>
        <v>44841</v>
      </c>
      <c r="C469" vm="1568">
        <f ca="1"/>
        <v>234.24</v>
      </c>
      <c r="D469" vm="3883">
        <f ca="1"/>
        <v>44841</v>
      </c>
      <c r="E469" vm="3884">
        <f ca="1"/>
        <v>14.94</v>
      </c>
      <c r="F469" vm="3883">
        <f ca="1"/>
        <v>44841</v>
      </c>
      <c r="G469" vm="3885">
        <f ca="1"/>
        <v>183.83</v>
      </c>
      <c r="H469" vm="3883">
        <f ca="1"/>
        <v>44841</v>
      </c>
      <c r="I469" vm="3886">
        <f ca="1"/>
        <v>127.44</v>
      </c>
      <c r="J469" vm="3883">
        <f ca="1"/>
        <v>44841</v>
      </c>
      <c r="K469" vm="3887">
        <f ca="1"/>
        <v>18.809999999999999</v>
      </c>
      <c r="L469" vm="3883">
        <f ca="1"/>
        <v>44841</v>
      </c>
      <c r="M469" vm="3888">
        <f ca="1"/>
        <v>88.01</v>
      </c>
      <c r="N469" vm="3883">
        <f ca="1"/>
        <v>44841</v>
      </c>
      <c r="O469" vm="3889">
        <f ca="1"/>
        <v>334.56</v>
      </c>
      <c r="P469" vm="3883">
        <f ca="1"/>
        <v>44841</v>
      </c>
      <c r="Q469" vm="3890">
        <f ca="1"/>
        <v>22.03</v>
      </c>
      <c r="R469" s="29">
        <f t="shared" ca="1" si="63"/>
        <v>-5.0852951902427099E-2</v>
      </c>
      <c r="S469" s="30">
        <f t="shared" ca="1" si="64"/>
        <v>-2.4804177545691957E-2</v>
      </c>
      <c r="T469" s="30">
        <f t="shared" ca="1" si="65"/>
        <v>-9.4832695727139985E-3</v>
      </c>
      <c r="U469" s="30">
        <f t="shared" ca="1" si="66"/>
        <v>-3.5860190649114908E-2</v>
      </c>
      <c r="V469" s="30">
        <f t="shared" ca="1" si="67"/>
        <v>-4.1284403669724884E-2</v>
      </c>
      <c r="W469" s="30">
        <f t="shared" ca="1" si="70"/>
        <v>-4.596205962059615E-2</v>
      </c>
      <c r="X469" s="30">
        <f t="shared" ca="1" si="68"/>
        <v>4.0816326530612262E-2</v>
      </c>
      <c r="Y469" s="31">
        <f t="shared" ca="1" si="69"/>
        <v>-8.8426366532875417E-2</v>
      </c>
    </row>
    <row r="470" spans="2:25" x14ac:dyDescent="0.45">
      <c r="B470" vm="3891">
        <f ca="1"/>
        <v>44844</v>
      </c>
      <c r="C470" vm="3892">
        <f ca="1"/>
        <v>229.25</v>
      </c>
      <c r="D470" vm="3891">
        <f ca="1"/>
        <v>44844</v>
      </c>
      <c r="E470" vm="3893">
        <f ca="1"/>
        <v>14.9</v>
      </c>
      <c r="F470" vm="3891">
        <f ca="1"/>
        <v>44844</v>
      </c>
      <c r="G470" vm="3894">
        <f ca="1"/>
        <v>182.18</v>
      </c>
      <c r="H470" vm="3891">
        <f ca="1"/>
        <v>44844</v>
      </c>
      <c r="I470" vm="3895">
        <f ca="1"/>
        <v>125.95</v>
      </c>
      <c r="J470" vm="3891">
        <f ca="1"/>
        <v>44844</v>
      </c>
      <c r="K470" vm="3896">
        <f ca="1"/>
        <v>19.32</v>
      </c>
      <c r="L470" vm="3891">
        <f ca="1"/>
        <v>44844</v>
      </c>
      <c r="M470" vm="3897">
        <f ca="1"/>
        <v>85.97</v>
      </c>
      <c r="N470" vm="3891">
        <f ca="1"/>
        <v>44844</v>
      </c>
      <c r="O470" vm="3898">
        <f ca="1"/>
        <v>342.88</v>
      </c>
      <c r="P470" vm="3891">
        <f ca="1"/>
        <v>44844</v>
      </c>
      <c r="Q470" vm="3899">
        <f ca="1"/>
        <v>22.065000000000001</v>
      </c>
      <c r="R470" s="29">
        <f t="shared" ca="1" si="63"/>
        <v>-2.1302937158469985E-2</v>
      </c>
      <c r="S470" s="30">
        <f t="shared" ca="1" si="64"/>
        <v>-2.6773761713520181E-3</v>
      </c>
      <c r="T470" s="30">
        <f t="shared" ca="1" si="65"/>
        <v>-8.9756840559212618E-3</v>
      </c>
      <c r="U470" s="30">
        <f t="shared" ca="1" si="66"/>
        <v>-1.1691776522284958E-2</v>
      </c>
      <c r="V470" s="30">
        <f t="shared" ca="1" si="67"/>
        <v>2.7113237639553513E-2</v>
      </c>
      <c r="W470" s="30">
        <f t="shared" ca="1" si="70"/>
        <v>-2.3179184183615569E-2</v>
      </c>
      <c r="X470" s="30">
        <f t="shared" ca="1" si="68"/>
        <v>2.4868483978957415E-2</v>
      </c>
      <c r="Y470" s="31">
        <f t="shared" ca="1" si="69"/>
        <v>1.5887426236949678E-3</v>
      </c>
    </row>
    <row r="471" spans="2:25" x14ac:dyDescent="0.45">
      <c r="B471" vm="3900">
        <f ca="1"/>
        <v>44845</v>
      </c>
      <c r="C471" vm="3901">
        <f ca="1"/>
        <v>225.41</v>
      </c>
      <c r="D471" vm="3900">
        <f ca="1"/>
        <v>44845</v>
      </c>
      <c r="E471" vm="3902">
        <f ca="1"/>
        <v>14.81</v>
      </c>
      <c r="F471" vm="3900">
        <f ca="1"/>
        <v>44845</v>
      </c>
      <c r="G471" vm="3903">
        <f ca="1"/>
        <v>179.14</v>
      </c>
      <c r="H471" vm="3900">
        <f ca="1"/>
        <v>44845</v>
      </c>
      <c r="I471" vm="684">
        <f ca="1"/>
        <v>125.64</v>
      </c>
      <c r="J471" vm="3900">
        <f ca="1"/>
        <v>44845</v>
      </c>
      <c r="K471" vm="3250">
        <f ca="1"/>
        <v>19.45</v>
      </c>
      <c r="L471" vm="3900">
        <f ca="1"/>
        <v>44845</v>
      </c>
      <c r="M471" vm="3904">
        <f ca="1"/>
        <v>82.13</v>
      </c>
      <c r="N471" vm="3900">
        <f ca="1"/>
        <v>44845</v>
      </c>
      <c r="O471" vm="3905">
        <f ca="1"/>
        <v>348.16</v>
      </c>
      <c r="P471" vm="3900">
        <f ca="1"/>
        <v>44845</v>
      </c>
      <c r="Q471" vm="3906">
        <f ca="1"/>
        <v>21.637</v>
      </c>
      <c r="R471" s="29">
        <f t="shared" ca="1" si="63"/>
        <v>-1.6750272628135238E-2</v>
      </c>
      <c r="S471" s="30">
        <f t="shared" ca="1" si="64"/>
        <v>-6.0402684563758292E-3</v>
      </c>
      <c r="T471" s="30">
        <f t="shared" ca="1" si="65"/>
        <v>-1.6686793281370186E-2</v>
      </c>
      <c r="U471" s="30">
        <f t="shared" ca="1" si="66"/>
        <v>-2.461294164350951E-3</v>
      </c>
      <c r="V471" s="30">
        <f t="shared" ca="1" si="67"/>
        <v>6.7287784679088509E-3</v>
      </c>
      <c r="W471" s="30">
        <f t="shared" ca="1" si="70"/>
        <v>-4.4666744213097631E-2</v>
      </c>
      <c r="X471" s="30">
        <f t="shared" ca="1" si="68"/>
        <v>1.5398973401773302E-2</v>
      </c>
      <c r="Y471" s="31">
        <f t="shared" ca="1" si="69"/>
        <v>-1.9397235440743295E-2</v>
      </c>
    </row>
    <row r="472" spans="2:25" x14ac:dyDescent="0.45">
      <c r="B472" vm="3907">
        <f ca="1"/>
        <v>44846</v>
      </c>
      <c r="C472" vm="3908">
        <f ca="1"/>
        <v>225.75</v>
      </c>
      <c r="D472" vm="3907">
        <f ca="1"/>
        <v>44846</v>
      </c>
      <c r="E472" vm="3909">
        <f ca="1"/>
        <v>14.63</v>
      </c>
      <c r="F472" vm="3907">
        <f ca="1"/>
        <v>44846</v>
      </c>
      <c r="G472" vm="3910">
        <f ca="1"/>
        <v>178.24</v>
      </c>
      <c r="H472" vm="3907">
        <f ca="1"/>
        <v>44846</v>
      </c>
      <c r="I472" vm="3911">
        <f ca="1"/>
        <v>125.69</v>
      </c>
      <c r="J472" vm="3907">
        <f ca="1"/>
        <v>44846</v>
      </c>
      <c r="K472" vm="3017">
        <f ca="1"/>
        <v>19.329999999999998</v>
      </c>
      <c r="L472" vm="3907">
        <f ca="1"/>
        <v>44846</v>
      </c>
      <c r="M472" vm="3912">
        <f ca="1"/>
        <v>83.18</v>
      </c>
      <c r="N472" vm="3907">
        <f ca="1"/>
        <v>44846</v>
      </c>
      <c r="O472" vm="3430">
        <f ca="1"/>
        <v>344.64</v>
      </c>
      <c r="P472" vm="3907">
        <f ca="1"/>
        <v>44846</v>
      </c>
      <c r="Q472" vm="3913">
        <f ca="1"/>
        <v>21.838000000000001</v>
      </c>
      <c r="R472" s="29">
        <f t="shared" ca="1" si="63"/>
        <v>1.5083625393727139E-3</v>
      </c>
      <c r="S472" s="30">
        <f t="shared" ca="1" si="64"/>
        <v>-1.2153950033760953E-2</v>
      </c>
      <c r="T472" s="30">
        <f t="shared" ca="1" si="65"/>
        <v>-5.0240035726246361E-3</v>
      </c>
      <c r="U472" s="30">
        <f t="shared" ca="1" si="66"/>
        <v>3.9796243234636387E-4</v>
      </c>
      <c r="V472" s="30">
        <f t="shared" ca="1" si="67"/>
        <v>-6.1696658097686891E-3</v>
      </c>
      <c r="W472" s="30">
        <f t="shared" ca="1" si="70"/>
        <v>1.2784609765006836E-2</v>
      </c>
      <c r="X472" s="30">
        <f t="shared" ca="1" si="68"/>
        <v>-1.0110294117647169E-2</v>
      </c>
      <c r="Y472" s="31">
        <f t="shared" ca="1" si="69"/>
        <v>9.2896427416000599E-3</v>
      </c>
    </row>
    <row r="473" spans="2:25" x14ac:dyDescent="0.45">
      <c r="B473" vm="3914">
        <f ca="1"/>
        <v>44847</v>
      </c>
      <c r="C473" vm="1568">
        <f ca="1"/>
        <v>234.24</v>
      </c>
      <c r="D473" vm="3914">
        <f ca="1"/>
        <v>44847</v>
      </c>
      <c r="E473" vm="3915">
        <f ca="1"/>
        <v>15.12</v>
      </c>
      <c r="F473" vm="3914">
        <f ca="1"/>
        <v>44847</v>
      </c>
      <c r="G473" vm="3916">
        <f ca="1"/>
        <v>184.66</v>
      </c>
      <c r="H473" vm="3914">
        <f ca="1"/>
        <v>44847</v>
      </c>
      <c r="I473" vm="3917">
        <f ca="1"/>
        <v>127.9</v>
      </c>
      <c r="J473" vm="3914">
        <f ca="1"/>
        <v>44847</v>
      </c>
      <c r="K473" vm="659">
        <f ca="1"/>
        <v>19.86</v>
      </c>
      <c r="L473" vm="3914">
        <f ca="1"/>
        <v>44847</v>
      </c>
      <c r="M473" vm="3918">
        <f ca="1"/>
        <v>82.65</v>
      </c>
      <c r="N473" vm="3914">
        <f ca="1"/>
        <v>44847</v>
      </c>
      <c r="O473" vm="3919">
        <f ca="1"/>
        <v>335.68</v>
      </c>
      <c r="P473" vm="3914">
        <f ca="1"/>
        <v>44847</v>
      </c>
      <c r="Q473" vm="3920">
        <f ca="1"/>
        <v>22.053999999999998</v>
      </c>
      <c r="R473" s="29">
        <f t="shared" ca="1" si="63"/>
        <v>3.7607973421926948E-2</v>
      </c>
      <c r="S473" s="30">
        <f t="shared" ca="1" si="64"/>
        <v>3.3492822966507067E-2</v>
      </c>
      <c r="T473" s="30">
        <f t="shared" ca="1" si="65"/>
        <v>3.6018850987432606E-2</v>
      </c>
      <c r="U473" s="30">
        <f t="shared" ca="1" si="66"/>
        <v>1.7582942159280832E-2</v>
      </c>
      <c r="V473" s="30">
        <f t="shared" ca="1" si="67"/>
        <v>2.7418520434557742E-2</v>
      </c>
      <c r="W473" s="30">
        <f t="shared" ca="1" si="70"/>
        <v>-6.3717239721086932E-3</v>
      </c>
      <c r="X473" s="30">
        <f t="shared" ca="1" si="68"/>
        <v>-2.5998142989786387E-2</v>
      </c>
      <c r="Y473" s="31">
        <f t="shared" ca="1" si="69"/>
        <v>9.8910156607746828E-3</v>
      </c>
    </row>
    <row r="474" spans="2:25" x14ac:dyDescent="0.45">
      <c r="B474" vm="3921">
        <f ca="1"/>
        <v>44848</v>
      </c>
      <c r="C474" vm="3922">
        <f ca="1"/>
        <v>228.56</v>
      </c>
      <c r="D474" vm="3921">
        <f ca="1"/>
        <v>44848</v>
      </c>
      <c r="E474" vm="3923">
        <f ca="1"/>
        <v>14.99</v>
      </c>
      <c r="F474" vm="3921">
        <f ca="1"/>
        <v>44848</v>
      </c>
      <c r="G474" vm="3924">
        <f ca="1"/>
        <v>182.62</v>
      </c>
      <c r="H474" vm="3921">
        <f ca="1"/>
        <v>44848</v>
      </c>
      <c r="I474" vm="3925">
        <f ca="1"/>
        <v>125.7</v>
      </c>
      <c r="J474" vm="3921">
        <f ca="1"/>
        <v>44848</v>
      </c>
      <c r="K474" vm="69">
        <f ca="1"/>
        <v>18.850000000000001</v>
      </c>
      <c r="L474" vm="3921">
        <f ca="1"/>
        <v>44848</v>
      </c>
      <c r="M474" vm="3926">
        <f ca="1"/>
        <v>81.790000000000006</v>
      </c>
      <c r="N474" vm="3921">
        <f ca="1"/>
        <v>44848</v>
      </c>
      <c r="O474" vm="3927">
        <f ca="1"/>
        <v>343.2</v>
      </c>
      <c r="P474" vm="3921">
        <f ca="1"/>
        <v>44848</v>
      </c>
      <c r="Q474" vm="3928">
        <f ca="1"/>
        <v>20.931000000000001</v>
      </c>
      <c r="R474" s="29">
        <f t="shared" ca="1" si="63"/>
        <v>-2.4248633879781448E-2</v>
      </c>
      <c r="S474" s="30">
        <f t="shared" ca="1" si="64"/>
        <v>-8.5978835978835332E-3</v>
      </c>
      <c r="T474" s="30">
        <f t="shared" ca="1" si="65"/>
        <v>-1.1047330228528062E-2</v>
      </c>
      <c r="U474" s="30">
        <f t="shared" ca="1" si="66"/>
        <v>-1.720093823299455E-2</v>
      </c>
      <c r="V474" s="30">
        <f t="shared" ca="1" si="67"/>
        <v>-5.0855991943605135E-2</v>
      </c>
      <c r="W474" s="30">
        <f t="shared" ca="1" si="70"/>
        <v>-1.0405323653962484E-2</v>
      </c>
      <c r="X474" s="30">
        <f t="shared" ca="1" si="68"/>
        <v>2.2402287893231596E-2</v>
      </c>
      <c r="Y474" s="31">
        <f t="shared" ca="1" si="69"/>
        <v>-5.0920467942323279E-2</v>
      </c>
    </row>
    <row r="475" spans="2:25" x14ac:dyDescent="0.45">
      <c r="B475" vm="3929">
        <f ca="1"/>
        <v>44851</v>
      </c>
      <c r="C475" vm="3930">
        <f ca="1"/>
        <v>237.53</v>
      </c>
      <c r="D475" vm="3929">
        <f ca="1"/>
        <v>44851</v>
      </c>
      <c r="E475" vm="3931">
        <f ca="1"/>
        <v>15.31</v>
      </c>
      <c r="F475" vm="3929">
        <f ca="1"/>
        <v>44851</v>
      </c>
      <c r="G475" vm="3932">
        <f ca="1"/>
        <v>185.25</v>
      </c>
      <c r="H475" vm="3929">
        <f ca="1"/>
        <v>44851</v>
      </c>
      <c r="I475" vm="3933">
        <f ca="1"/>
        <v>130.56</v>
      </c>
      <c r="J475" vm="3929">
        <f ca="1"/>
        <v>44851</v>
      </c>
      <c r="K475" vm="3934">
        <f ca="1"/>
        <v>19.649999999999999</v>
      </c>
      <c r="L475" vm="3929">
        <f ca="1"/>
        <v>44851</v>
      </c>
      <c r="M475" vm="3935">
        <f ca="1"/>
        <v>86.72</v>
      </c>
      <c r="N475" vm="3929">
        <f ca="1"/>
        <v>44851</v>
      </c>
      <c r="O475" vm="3936">
        <f ca="1"/>
        <v>333.44</v>
      </c>
      <c r="P475" vm="3929">
        <f ca="1"/>
        <v>44851</v>
      </c>
      <c r="Q475" vm="3937">
        <f ca="1"/>
        <v>22.113</v>
      </c>
      <c r="R475" s="29">
        <f t="shared" ca="1" si="63"/>
        <v>3.9245712285614277E-2</v>
      </c>
      <c r="S475" s="30">
        <f t="shared" ca="1" si="64"/>
        <v>2.1347565043362261E-2</v>
      </c>
      <c r="T475" s="30">
        <f t="shared" ca="1" si="65"/>
        <v>1.4401489431606589E-2</v>
      </c>
      <c r="U475" s="30">
        <f t="shared" ca="1" si="66"/>
        <v>3.8663484486873505E-2</v>
      </c>
      <c r="V475" s="30">
        <f t="shared" ca="1" si="67"/>
        <v>4.2440318302387113E-2</v>
      </c>
      <c r="W475" s="30">
        <f t="shared" ca="1" si="70"/>
        <v>6.0276317398214846E-2</v>
      </c>
      <c r="X475" s="30">
        <f t="shared" ca="1" si="68"/>
        <v>-2.8438228438228411E-2</v>
      </c>
      <c r="Y475" s="31">
        <f t="shared" ca="1" si="69"/>
        <v>5.6471262720366851E-2</v>
      </c>
    </row>
    <row r="476" spans="2:25" x14ac:dyDescent="0.45">
      <c r="B476" vm="3938">
        <f ca="1"/>
        <v>44852</v>
      </c>
      <c r="C476" vm="2139">
        <f ca="1"/>
        <v>238.5</v>
      </c>
      <c r="D476" vm="3938">
        <f ca="1"/>
        <v>44852</v>
      </c>
      <c r="E476" vm="3939">
        <f ca="1"/>
        <v>15.6</v>
      </c>
      <c r="F476" vm="3938">
        <f ca="1"/>
        <v>44852</v>
      </c>
      <c r="G476" vm="3940">
        <f ca="1"/>
        <v>187.17</v>
      </c>
      <c r="H476" vm="3938">
        <f ca="1"/>
        <v>44852</v>
      </c>
      <c r="I476" vm="1020">
        <f ca="1"/>
        <v>132.30000000000001</v>
      </c>
      <c r="J476" vm="3938">
        <f ca="1"/>
        <v>44852</v>
      </c>
      <c r="K476" vm="3941">
        <f ca="1"/>
        <v>20.07</v>
      </c>
      <c r="L476" vm="3938">
        <f ca="1"/>
        <v>44852</v>
      </c>
      <c r="M476" vm="3942">
        <f ca="1"/>
        <v>88.04</v>
      </c>
      <c r="N476" vm="3938">
        <f ca="1"/>
        <v>44852</v>
      </c>
      <c r="O476" vm="3943">
        <f ca="1"/>
        <v>327.04000000000002</v>
      </c>
      <c r="P476" vm="3938">
        <f ca="1"/>
        <v>44852</v>
      </c>
      <c r="Q476" vm="3944">
        <f ca="1"/>
        <v>23.5</v>
      </c>
      <c r="R476" s="29">
        <f t="shared" ca="1" si="63"/>
        <v>4.0836946911968963E-3</v>
      </c>
      <c r="S476" s="30">
        <f t="shared" ca="1" si="64"/>
        <v>1.8941868060091387E-2</v>
      </c>
      <c r="T476" s="30">
        <f t="shared" ca="1" si="65"/>
        <v>1.036437246963556E-2</v>
      </c>
      <c r="U476" s="30">
        <f t="shared" ca="1" si="66"/>
        <v>1.332720588235301E-2</v>
      </c>
      <c r="V476" s="30">
        <f t="shared" ca="1" si="67"/>
        <v>2.1374045801526805E-2</v>
      </c>
      <c r="W476" s="30">
        <f t="shared" ca="1" si="70"/>
        <v>1.5221402214022225E-2</v>
      </c>
      <c r="X476" s="30">
        <f t="shared" ca="1" si="68"/>
        <v>-1.9193857965450988E-2</v>
      </c>
      <c r="Y476" s="31">
        <f t="shared" ca="1" si="69"/>
        <v>6.2723284945507191E-2</v>
      </c>
    </row>
    <row r="477" spans="2:25" x14ac:dyDescent="0.45">
      <c r="B477" vm="3945">
        <f ca="1"/>
        <v>44853</v>
      </c>
      <c r="C477" vm="681">
        <f ca="1"/>
        <v>236.48</v>
      </c>
      <c r="D477" vm="3945">
        <f ca="1"/>
        <v>44853</v>
      </c>
      <c r="E477" vm="3946">
        <f ca="1"/>
        <v>15.54</v>
      </c>
      <c r="F477" vm="3945">
        <f ca="1"/>
        <v>44853</v>
      </c>
      <c r="G477" vm="3947">
        <f ca="1"/>
        <v>186.41</v>
      </c>
      <c r="H477" vm="3945">
        <f ca="1"/>
        <v>44853</v>
      </c>
      <c r="I477" vm="3948">
        <f ca="1"/>
        <v>128.96</v>
      </c>
      <c r="J477" vm="3945">
        <f ca="1"/>
        <v>44853</v>
      </c>
      <c r="K477" vm="2478">
        <f ca="1"/>
        <v>19.54</v>
      </c>
      <c r="L477" vm="3945">
        <f ca="1"/>
        <v>44853</v>
      </c>
      <c r="M477" vm="3949">
        <f ca="1"/>
        <v>88.75</v>
      </c>
      <c r="N477" vm="3945">
        <f ca="1"/>
        <v>44853</v>
      </c>
      <c r="O477" vm="3950">
        <f ca="1"/>
        <v>329.6</v>
      </c>
      <c r="P477" vm="3945">
        <f ca="1"/>
        <v>44853</v>
      </c>
      <c r="Q477" vm="3951">
        <f ca="1"/>
        <v>22.608000000000001</v>
      </c>
      <c r="R477" s="29">
        <f t="shared" ca="1" si="63"/>
        <v>-8.4696016771488893E-3</v>
      </c>
      <c r="S477" s="30">
        <f t="shared" ca="1" si="64"/>
        <v>-3.846153846153878E-3</v>
      </c>
      <c r="T477" s="30">
        <f t="shared" ca="1" si="65"/>
        <v>-4.0604797777421108E-3</v>
      </c>
      <c r="U477" s="30">
        <f t="shared" ca="1" si="66"/>
        <v>-2.5245653817082412E-2</v>
      </c>
      <c r="V477" s="30">
        <f t="shared" ca="1" si="67"/>
        <v>-2.6407573492775342E-2</v>
      </c>
      <c r="W477" s="30">
        <f t="shared" ca="1" si="70"/>
        <v>8.0645161290321867E-3</v>
      </c>
      <c r="X477" s="30">
        <f t="shared" ca="1" si="68"/>
        <v>7.8277886497064644E-3</v>
      </c>
      <c r="Y477" s="31">
        <f t="shared" ca="1" si="69"/>
        <v>-3.7957446808510618E-2</v>
      </c>
    </row>
    <row r="478" spans="2:25" x14ac:dyDescent="0.45">
      <c r="B478" vm="3952">
        <f ca="1"/>
        <v>44854</v>
      </c>
      <c r="C478" vm="3953">
        <f ca="1"/>
        <v>236.15</v>
      </c>
      <c r="D478" vm="3952">
        <f ca="1"/>
        <v>44854</v>
      </c>
      <c r="E478" vm="3764">
        <f ca="1"/>
        <v>16.739999999999998</v>
      </c>
      <c r="F478" vm="3952">
        <f ca="1"/>
        <v>44854</v>
      </c>
      <c r="G478" vm="3954">
        <f ca="1"/>
        <v>187.22</v>
      </c>
      <c r="H478" vm="3952">
        <f ca="1"/>
        <v>44854</v>
      </c>
      <c r="I478" vm="3955">
        <f ca="1"/>
        <v>125.94</v>
      </c>
      <c r="J478" vm="3952">
        <f ca="1"/>
        <v>44854</v>
      </c>
      <c r="K478" vm="3956">
        <f ca="1"/>
        <v>20.04</v>
      </c>
      <c r="L478" vm="3952">
        <f ca="1"/>
        <v>44854</v>
      </c>
      <c r="M478" vm="3957">
        <f ca="1"/>
        <v>87.74</v>
      </c>
      <c r="N478" vm="3952">
        <f ca="1"/>
        <v>44854</v>
      </c>
      <c r="O478" vm="3958">
        <f ca="1"/>
        <v>325.27999999999997</v>
      </c>
      <c r="P478" vm="3952">
        <f ca="1"/>
        <v>44854</v>
      </c>
      <c r="Q478" vm="3959">
        <f ca="1"/>
        <v>22.100999999999999</v>
      </c>
      <c r="R478" s="29">
        <f t="shared" ca="1" si="63"/>
        <v>-1.3954668470905957E-3</v>
      </c>
      <c r="S478" s="30">
        <f t="shared" ca="1" si="64"/>
        <v>7.7220077220077177E-2</v>
      </c>
      <c r="T478" s="30">
        <f t="shared" ca="1" si="65"/>
        <v>4.3452604474009029E-3</v>
      </c>
      <c r="U478" s="30">
        <f t="shared" ca="1" si="66"/>
        <v>-2.3418114143920674E-2</v>
      </c>
      <c r="V478" s="30">
        <f t="shared" ca="1" si="67"/>
        <v>2.5588536335721598E-2</v>
      </c>
      <c r="W478" s="30">
        <f t="shared" ca="1" si="70"/>
        <v>-1.1380281690140904E-2</v>
      </c>
      <c r="X478" s="30">
        <f t="shared" ca="1" si="68"/>
        <v>-1.3106796116505006E-2</v>
      </c>
      <c r="Y478" s="31">
        <f t="shared" ca="1" si="69"/>
        <v>-2.2425690021231487E-2</v>
      </c>
    </row>
    <row r="479" spans="2:25" x14ac:dyDescent="0.45">
      <c r="B479" vm="3960">
        <f ca="1"/>
        <v>44855</v>
      </c>
      <c r="C479" vm="3961">
        <f ca="1"/>
        <v>242.12</v>
      </c>
      <c r="D479" vm="3960">
        <f ca="1"/>
        <v>44855</v>
      </c>
      <c r="E479" vm="3962">
        <f ca="1"/>
        <v>17.100000000000001</v>
      </c>
      <c r="F479" vm="3960">
        <f ca="1"/>
        <v>44855</v>
      </c>
      <c r="G479" vm="3963">
        <f ca="1"/>
        <v>190.37</v>
      </c>
      <c r="H479" vm="3960">
        <f ca="1"/>
        <v>44855</v>
      </c>
      <c r="I479" vm="3964">
        <f ca="1"/>
        <v>129.88</v>
      </c>
      <c r="J479" vm="3960">
        <f ca="1"/>
        <v>44855</v>
      </c>
      <c r="K479" vm="3965">
        <f ca="1"/>
        <v>21.65</v>
      </c>
      <c r="L479" vm="3960">
        <f ca="1"/>
        <v>44855</v>
      </c>
      <c r="M479" vm="3966">
        <f ca="1"/>
        <v>88.7</v>
      </c>
      <c r="N479" vm="3960">
        <f ca="1"/>
        <v>44855</v>
      </c>
      <c r="O479" vm="3967">
        <f ca="1"/>
        <v>324</v>
      </c>
      <c r="P479" vm="3960">
        <f ca="1"/>
        <v>44855</v>
      </c>
      <c r="Q479" vm="3968">
        <f ca="1"/>
        <v>23.262</v>
      </c>
      <c r="R479" s="29">
        <f t="shared" ca="1" si="63"/>
        <v>2.5280542028371791E-2</v>
      </c>
      <c r="S479" s="30">
        <f t="shared" ca="1" si="64"/>
        <v>2.15053763440862E-2</v>
      </c>
      <c r="T479" s="30">
        <f t="shared" ca="1" si="65"/>
        <v>1.6825125520777726E-2</v>
      </c>
      <c r="U479" s="30">
        <f t="shared" ca="1" si="66"/>
        <v>3.1284738764491012E-2</v>
      </c>
      <c r="V479" s="30">
        <f t="shared" ca="1" si="67"/>
        <v>8.0339321357285401E-2</v>
      </c>
      <c r="W479" s="30">
        <f t="shared" ca="1" si="70"/>
        <v>1.0941417825393299E-2</v>
      </c>
      <c r="X479" s="30">
        <f t="shared" ca="1" si="68"/>
        <v>-3.9350713231676489E-3</v>
      </c>
      <c r="Y479" s="31">
        <f t="shared" ca="1" si="69"/>
        <v>5.2531559657934095E-2</v>
      </c>
    </row>
    <row r="480" spans="2:25" x14ac:dyDescent="0.45">
      <c r="B480" vm="3969">
        <f ca="1"/>
        <v>44858</v>
      </c>
      <c r="C480" vm="3970">
        <f ca="1"/>
        <v>247.25</v>
      </c>
      <c r="D480" vm="3969">
        <f ca="1"/>
        <v>44858</v>
      </c>
      <c r="E480" vm="3971">
        <f ca="1"/>
        <v>17.510000000000002</v>
      </c>
      <c r="F480" vm="3969">
        <f ca="1"/>
        <v>44858</v>
      </c>
      <c r="G480" vm="3972">
        <f ca="1"/>
        <v>190.71</v>
      </c>
      <c r="H480" vm="3969">
        <f ca="1"/>
        <v>44858</v>
      </c>
      <c r="I480" vm="1020">
        <f ca="1"/>
        <v>132.30000000000001</v>
      </c>
      <c r="J480" vm="3969">
        <f ca="1"/>
        <v>44858</v>
      </c>
      <c r="K480" vm="3973">
        <f ca="1"/>
        <v>21.44</v>
      </c>
      <c r="L480" vm="3969">
        <f ca="1"/>
        <v>44858</v>
      </c>
      <c r="M480" vm="3974">
        <f ca="1"/>
        <v>94.66</v>
      </c>
      <c r="N480" vm="3969">
        <f ca="1"/>
        <v>44858</v>
      </c>
      <c r="O480" vm="3975">
        <f ca="1"/>
        <v>319.04000000000002</v>
      </c>
      <c r="P480" vm="3969">
        <f ca="1"/>
        <v>44858</v>
      </c>
      <c r="Q480" vm="3976">
        <f ca="1"/>
        <v>23.76</v>
      </c>
      <c r="R480" s="29">
        <f t="shared" ca="1" si="63"/>
        <v>2.1187840740128843E-2</v>
      </c>
      <c r="S480" s="30">
        <f t="shared" ca="1" si="64"/>
        <v>2.3976608187134509E-2</v>
      </c>
      <c r="T480" s="30">
        <f t="shared" ca="1" si="65"/>
        <v>1.7859956925986417E-3</v>
      </c>
      <c r="U480" s="30">
        <f t="shared" ca="1" si="66"/>
        <v>1.8632583923621927E-2</v>
      </c>
      <c r="V480" s="30">
        <f t="shared" ca="1" si="67"/>
        <v>-9.6997690531176583E-3</v>
      </c>
      <c r="W480" s="30">
        <f t="shared" ca="1" si="70"/>
        <v>6.7192784667418196E-2</v>
      </c>
      <c r="X480" s="30">
        <f t="shared" ca="1" si="68"/>
        <v>-1.5308641975308578E-2</v>
      </c>
      <c r="Y480" s="31">
        <f t="shared" ca="1" si="69"/>
        <v>2.1408305390766103E-2</v>
      </c>
    </row>
    <row r="481" spans="2:25" x14ac:dyDescent="0.45">
      <c r="B481" vm="3977">
        <f ca="1"/>
        <v>44859</v>
      </c>
      <c r="C481" vm="3978">
        <f ca="1"/>
        <v>250.66</v>
      </c>
      <c r="D481" vm="3977">
        <f ca="1"/>
        <v>44859</v>
      </c>
      <c r="E481" vm="3979">
        <f ca="1"/>
        <v>17.690000000000001</v>
      </c>
      <c r="F481" vm="3977">
        <f ca="1"/>
        <v>44859</v>
      </c>
      <c r="G481" vm="3980">
        <f ca="1"/>
        <v>194.38</v>
      </c>
      <c r="H481" vm="3977">
        <f ca="1"/>
        <v>44859</v>
      </c>
      <c r="I481" vm="3981">
        <f ca="1"/>
        <v>134.5</v>
      </c>
      <c r="J481" vm="3977">
        <f ca="1"/>
        <v>44859</v>
      </c>
      <c r="K481" vm="3982">
        <f ca="1"/>
        <v>21.43</v>
      </c>
      <c r="L481" vm="3977">
        <f ca="1"/>
        <v>44859</v>
      </c>
      <c r="M481" vm="3983">
        <f ca="1"/>
        <v>97.05</v>
      </c>
      <c r="N481" vm="3977">
        <f ca="1"/>
        <v>44859</v>
      </c>
      <c r="O481" vm="3984">
        <f ca="1"/>
        <v>306.72000000000003</v>
      </c>
      <c r="P481" vm="3977">
        <f ca="1"/>
        <v>44859</v>
      </c>
      <c r="Q481" vm="3985">
        <f ca="1"/>
        <v>26.869</v>
      </c>
      <c r="R481" s="29">
        <f t="shared" ca="1" si="63"/>
        <v>1.3791708796764396E-2</v>
      </c>
      <c r="S481" s="30">
        <f t="shared" ca="1" si="64"/>
        <v>1.0279840091376339E-2</v>
      </c>
      <c r="T481" s="30">
        <f t="shared" ca="1" si="65"/>
        <v>1.9243878139583594E-2</v>
      </c>
      <c r="U481" s="30">
        <f t="shared" ca="1" si="66"/>
        <v>1.6628873771730827E-2</v>
      </c>
      <c r="V481" s="30">
        <f t="shared" ca="1" si="67"/>
        <v>-4.664179104478341E-4</v>
      </c>
      <c r="W481" s="30">
        <f t="shared" ca="1" si="70"/>
        <v>2.5248256919501381E-2</v>
      </c>
      <c r="X481" s="30">
        <f t="shared" ca="1" si="68"/>
        <v>-3.8615847542627861E-2</v>
      </c>
      <c r="Y481" s="31">
        <f t="shared" ca="1" si="69"/>
        <v>0.13085016835016827</v>
      </c>
    </row>
    <row r="482" spans="2:25" x14ac:dyDescent="0.45">
      <c r="B482" vm="3986">
        <f ca="1"/>
        <v>44860</v>
      </c>
      <c r="C482" vm="926">
        <f ca="1"/>
        <v>231.32</v>
      </c>
      <c r="D482" vm="3986">
        <f ca="1"/>
        <v>44860</v>
      </c>
      <c r="E482" vm="335">
        <f ca="1"/>
        <v>18.14</v>
      </c>
      <c r="F482" vm="3986">
        <f ca="1"/>
        <v>44860</v>
      </c>
      <c r="G482" vm="2077">
        <f ca="1"/>
        <v>203.33</v>
      </c>
      <c r="H482" vm="3986">
        <f ca="1"/>
        <v>44860</v>
      </c>
      <c r="I482" vm="3987">
        <f ca="1"/>
        <v>137.69</v>
      </c>
      <c r="J482" vm="3986">
        <f ca="1"/>
        <v>44860</v>
      </c>
      <c r="K482" vm="3988">
        <f ca="1"/>
        <v>21.95</v>
      </c>
      <c r="L482" vm="3986">
        <f ca="1"/>
        <v>44860</v>
      </c>
      <c r="M482" vm="3989">
        <f ca="1"/>
        <v>84.42</v>
      </c>
      <c r="N482" vm="3986">
        <f ca="1"/>
        <v>44860</v>
      </c>
      <c r="O482" vm="3990">
        <f ca="1"/>
        <v>299.68</v>
      </c>
      <c r="P482" vm="3986">
        <f ca="1"/>
        <v>44860</v>
      </c>
      <c r="Q482" vm="3991">
        <f ca="1"/>
        <v>27.271999999999998</v>
      </c>
      <c r="R482" s="29">
        <f t="shared" ca="1" si="63"/>
        <v>-7.7156307348599712E-2</v>
      </c>
      <c r="S482" s="30">
        <f t="shared" ca="1" si="64"/>
        <v>2.5438100621820194E-2</v>
      </c>
      <c r="T482" s="30">
        <f t="shared" ca="1" si="65"/>
        <v>4.6043831669924977E-2</v>
      </c>
      <c r="U482" s="30">
        <f t="shared" ca="1" si="66"/>
        <v>2.3717472118959092E-2</v>
      </c>
      <c r="V482" s="30">
        <f t="shared" ca="1" si="67"/>
        <v>2.426504899673353E-2</v>
      </c>
      <c r="W482" s="30">
        <f t="shared" ca="1" si="70"/>
        <v>-0.13013910355486857</v>
      </c>
      <c r="X482" s="30">
        <f t="shared" ca="1" si="68"/>
        <v>-2.2952529994783581E-2</v>
      </c>
      <c r="Y482" s="31">
        <f t="shared" ca="1" si="69"/>
        <v>1.4998697383601873E-2</v>
      </c>
    </row>
    <row r="483" spans="2:25" x14ac:dyDescent="0.45">
      <c r="B483" vm="3992">
        <f ca="1"/>
        <v>44861</v>
      </c>
      <c r="C483" vm="3993">
        <f ca="1"/>
        <v>226.75</v>
      </c>
      <c r="D483" vm="3992">
        <f ca="1"/>
        <v>44861</v>
      </c>
      <c r="E483" vm="3994">
        <f ca="1"/>
        <v>18.03</v>
      </c>
      <c r="F483" vm="3992">
        <f ca="1"/>
        <v>44861</v>
      </c>
      <c r="G483" vm="3995">
        <f ca="1"/>
        <v>204.29</v>
      </c>
      <c r="H483" vm="3992">
        <f ca="1"/>
        <v>44861</v>
      </c>
      <c r="I483" vm="3996">
        <f ca="1"/>
        <v>136.49</v>
      </c>
      <c r="J483" vm="3992">
        <f ca="1"/>
        <v>44861</v>
      </c>
      <c r="K483" vm="3997">
        <f ca="1"/>
        <v>21.41</v>
      </c>
      <c r="L483" vm="3992">
        <f ca="1"/>
        <v>44861</v>
      </c>
      <c r="M483" vm="3998">
        <f ca="1"/>
        <v>81.739999999999995</v>
      </c>
      <c r="N483" vm="3992">
        <f ca="1"/>
        <v>44861</v>
      </c>
      <c r="O483" vm="3999">
        <f ca="1"/>
        <v>293.76</v>
      </c>
      <c r="P483" vm="3992">
        <f ca="1"/>
        <v>44861</v>
      </c>
      <c r="Q483" vm="4000">
        <f ca="1"/>
        <v>27.056000000000001</v>
      </c>
      <c r="R483" s="29">
        <f t="shared" ca="1" si="63"/>
        <v>-1.9756181912502134E-2</v>
      </c>
      <c r="S483" s="30">
        <f t="shared" ca="1" si="64"/>
        <v>-6.0639470782800128E-3</v>
      </c>
      <c r="T483" s="30">
        <f t="shared" ca="1" si="65"/>
        <v>4.7213888752273619E-3</v>
      </c>
      <c r="U483" s="30">
        <f t="shared" ca="1" si="66"/>
        <v>-8.7152298641875858E-3</v>
      </c>
      <c r="V483" s="30">
        <f t="shared" ca="1" si="67"/>
        <v>-2.4601366742596772E-2</v>
      </c>
      <c r="W483" s="30">
        <f t="shared" ca="1" si="70"/>
        <v>-3.1746031746031828E-2</v>
      </c>
      <c r="X483" s="30">
        <f t="shared" ca="1" si="68"/>
        <v>-1.9754404698344954E-2</v>
      </c>
      <c r="Y483" s="31">
        <f t="shared" ca="1" si="69"/>
        <v>-7.9202112056320599E-3</v>
      </c>
    </row>
    <row r="484" spans="2:25" x14ac:dyDescent="0.45">
      <c r="B484" vm="4001">
        <f ca="1"/>
        <v>44862</v>
      </c>
      <c r="C484" vm="4002">
        <f ca="1"/>
        <v>235.87</v>
      </c>
      <c r="D484" vm="4001">
        <f ca="1"/>
        <v>44862</v>
      </c>
      <c r="E484" vm="450">
        <f ca="1"/>
        <v>18.48</v>
      </c>
      <c r="F484" vm="4001">
        <f ca="1"/>
        <v>44862</v>
      </c>
      <c r="G484" vm="4003">
        <f ca="1"/>
        <v>209.34</v>
      </c>
      <c r="H484" vm="4001">
        <f ca="1"/>
        <v>44862</v>
      </c>
      <c r="I484" vm="4004">
        <f ca="1"/>
        <v>138.77000000000001</v>
      </c>
      <c r="J484" vm="4001">
        <f ca="1"/>
        <v>44862</v>
      </c>
      <c r="K484" vm="4005">
        <f ca="1"/>
        <v>20.51</v>
      </c>
      <c r="L484" vm="4001">
        <f ca="1"/>
        <v>44862</v>
      </c>
      <c r="M484" vm="4006">
        <f ca="1"/>
        <v>83.36</v>
      </c>
      <c r="N484" vm="4001">
        <f ca="1"/>
        <v>44862</v>
      </c>
      <c r="O484" vm="4007">
        <f ca="1"/>
        <v>286.88</v>
      </c>
      <c r="P484" vm="4001">
        <f ca="1"/>
        <v>44862</v>
      </c>
      <c r="Q484" vm="4008">
        <f ca="1"/>
        <v>27.998999999999999</v>
      </c>
      <c r="R484" s="29">
        <f t="shared" ca="1" si="63"/>
        <v>4.0220507166482934E-2</v>
      </c>
      <c r="S484" s="30">
        <f t="shared" ca="1" si="64"/>
        <v>2.4958402662229578E-2</v>
      </c>
      <c r="T484" s="30">
        <f t="shared" ca="1" si="65"/>
        <v>2.4719761123892563E-2</v>
      </c>
      <c r="U484" s="30">
        <f t="shared" ca="1" si="66"/>
        <v>1.6704520477690679E-2</v>
      </c>
      <c r="V484" s="30">
        <f t="shared" ca="1" si="67"/>
        <v>-4.203643157403076E-2</v>
      </c>
      <c r="W484" s="30">
        <f t="shared" ca="1" si="70"/>
        <v>1.9818938096403286E-2</v>
      </c>
      <c r="X484" s="30">
        <f t="shared" ca="1" si="68"/>
        <v>-2.3420479302832229E-2</v>
      </c>
      <c r="Y484" s="31">
        <f t="shared" ca="1" si="69"/>
        <v>3.485363690124179E-2</v>
      </c>
    </row>
    <row r="485" spans="2:25" x14ac:dyDescent="0.45">
      <c r="B485" vm="4009">
        <f ca="1"/>
        <v>44865</v>
      </c>
      <c r="C485" vm="4010">
        <f ca="1"/>
        <v>232.13</v>
      </c>
      <c r="D485" vm="4009">
        <f ca="1"/>
        <v>44865</v>
      </c>
      <c r="E485" vm="2824">
        <f ca="1"/>
        <v>18.23</v>
      </c>
      <c r="F485" vm="4009">
        <f ca="1"/>
        <v>44865</v>
      </c>
      <c r="G485" vm="4011">
        <f ca="1"/>
        <v>207.16</v>
      </c>
      <c r="H485" vm="4009">
        <f ca="1"/>
        <v>44865</v>
      </c>
      <c r="I485" vm="4012">
        <f ca="1"/>
        <v>138.35</v>
      </c>
      <c r="J485" vm="4009">
        <f ca="1"/>
        <v>44865</v>
      </c>
      <c r="K485" vm="3463">
        <f ca="1"/>
        <v>20.36</v>
      </c>
      <c r="L485" vm="4009">
        <f ca="1"/>
        <v>44865</v>
      </c>
      <c r="M485" vm="4013">
        <f ca="1"/>
        <v>80.58</v>
      </c>
      <c r="N485" vm="4009">
        <f ca="1"/>
        <v>44865</v>
      </c>
      <c r="O485" vm="4014">
        <f ca="1"/>
        <v>282.56</v>
      </c>
      <c r="P485" vm="4009">
        <f ca="1"/>
        <v>44865</v>
      </c>
      <c r="Q485" vm="4015">
        <f ca="1"/>
        <v>26.751000000000001</v>
      </c>
      <c r="R485" s="29">
        <f t="shared" ca="1" si="63"/>
        <v>-1.5856191970153088E-2</v>
      </c>
      <c r="S485" s="30">
        <f t="shared" ca="1" si="64"/>
        <v>-1.3528138528138528E-2</v>
      </c>
      <c r="T485" s="30">
        <f t="shared" ca="1" si="65"/>
        <v>-1.0413681092958855E-2</v>
      </c>
      <c r="U485" s="30">
        <f t="shared" ca="1" si="66"/>
        <v>-3.026590761692123E-3</v>
      </c>
      <c r="V485" s="30">
        <f t="shared" ca="1" si="67"/>
        <v>-7.3135056070210685E-3</v>
      </c>
      <c r="W485" s="30">
        <f t="shared" ca="1" si="70"/>
        <v>-3.3349328214971226E-2</v>
      </c>
      <c r="X485" s="30">
        <f t="shared" ca="1" si="68"/>
        <v>-1.5058561070830987E-2</v>
      </c>
      <c r="Y485" s="31">
        <f t="shared" ca="1" si="69"/>
        <v>-4.4573020465016523E-2</v>
      </c>
    </row>
    <row r="486" spans="2:25" x14ac:dyDescent="0.45">
      <c r="B486" vm="4016">
        <f ca="1"/>
        <v>44866</v>
      </c>
      <c r="C486" vm="4017">
        <f ca="1"/>
        <v>228.17</v>
      </c>
      <c r="D486" vm="4016">
        <f ca="1"/>
        <v>44866</v>
      </c>
      <c r="E486" vm="3547">
        <f ca="1"/>
        <v>18.350000000000001</v>
      </c>
      <c r="F486" vm="4016">
        <f ca="1"/>
        <v>44866</v>
      </c>
      <c r="G486" vm="4018">
        <f ca="1"/>
        <v>206.93</v>
      </c>
      <c r="H486" vm="4016">
        <f ca="1"/>
        <v>44866</v>
      </c>
      <c r="I486" vm="4019">
        <f ca="1"/>
        <v>140.88999999999999</v>
      </c>
      <c r="J486" vm="4016">
        <f ca="1"/>
        <v>44866</v>
      </c>
      <c r="K486" vm="3303">
        <f ca="1"/>
        <v>20.61</v>
      </c>
      <c r="L486" vm="4016">
        <f ca="1"/>
        <v>44866</v>
      </c>
      <c r="M486" vm="4020">
        <f ca="1"/>
        <v>80.17</v>
      </c>
      <c r="N486" vm="4016">
        <f ca="1"/>
        <v>44866</v>
      </c>
      <c r="O486" vm="4021">
        <f ca="1"/>
        <v>279.83999999999997</v>
      </c>
      <c r="P486" vm="4016">
        <f ca="1"/>
        <v>44866</v>
      </c>
      <c r="Q486" vm="919">
        <f ca="1"/>
        <v>25.72</v>
      </c>
      <c r="R486" s="29">
        <f t="shared" ca="1" si="63"/>
        <v>-1.7059406367121905E-2</v>
      </c>
      <c r="S486" s="30">
        <f t="shared" ca="1" si="64"/>
        <v>6.5825562260011516E-3</v>
      </c>
      <c r="T486" s="30">
        <f t="shared" ca="1" si="65"/>
        <v>-1.1102529445838471E-3</v>
      </c>
      <c r="U486" s="30">
        <f t="shared" ca="1" si="66"/>
        <v>1.8359233827249671E-2</v>
      </c>
      <c r="V486" s="30">
        <f t="shared" ca="1" si="67"/>
        <v>1.2278978388998036E-2</v>
      </c>
      <c r="W486" s="30">
        <f t="shared" ca="1" si="70"/>
        <v>-5.0881111938445838E-3</v>
      </c>
      <c r="X486" s="30">
        <f t="shared" ca="1" si="68"/>
        <v>-9.62627406568526E-3</v>
      </c>
      <c r="Y486" s="31">
        <f t="shared" ca="1" si="69"/>
        <v>-3.854061530410087E-2</v>
      </c>
    </row>
    <row r="487" spans="2:25" x14ac:dyDescent="0.45">
      <c r="B487" vm="4022">
        <f ca="1"/>
        <v>44867</v>
      </c>
      <c r="C487" vm="4023">
        <f ca="1"/>
        <v>220.1</v>
      </c>
      <c r="D487" vm="4022">
        <f ca="1"/>
        <v>44867</v>
      </c>
      <c r="E487" vm="3615">
        <f ca="1"/>
        <v>18.43</v>
      </c>
      <c r="F487" vm="4022">
        <f ca="1"/>
        <v>44867</v>
      </c>
      <c r="G487" vm="4024">
        <f ca="1"/>
        <v>200.95</v>
      </c>
      <c r="H487" vm="4022">
        <f ca="1"/>
        <v>44867</v>
      </c>
      <c r="I487" vm="4025">
        <f ca="1"/>
        <v>135.27000000000001</v>
      </c>
      <c r="J487" vm="4022">
        <f ca="1"/>
        <v>44867</v>
      </c>
      <c r="K487" vm="3855">
        <f ca="1"/>
        <v>19.39</v>
      </c>
      <c r="L487" vm="4022">
        <f ca="1"/>
        <v>44867</v>
      </c>
      <c r="M487" vm="4026">
        <f ca="1"/>
        <v>75</v>
      </c>
      <c r="N487" vm="4022">
        <f ca="1"/>
        <v>44867</v>
      </c>
      <c r="O487" vm="4027">
        <f ca="1"/>
        <v>287.04000000000002</v>
      </c>
      <c r="P487" vm="4022">
        <f ca="1"/>
        <v>44867</v>
      </c>
      <c r="Q487" vm="4028">
        <f ca="1"/>
        <v>24.823</v>
      </c>
      <c r="R487" s="29">
        <f t="shared" ca="1" si="63"/>
        <v>-3.5368365692246981E-2</v>
      </c>
      <c r="S487" s="30">
        <f t="shared" ca="1" si="64"/>
        <v>4.3596730245230673E-3</v>
      </c>
      <c r="T487" s="30">
        <f t="shared" ca="1" si="65"/>
        <v>-2.889866138307649E-2</v>
      </c>
      <c r="U487" s="30">
        <f t="shared" ca="1" si="66"/>
        <v>-3.9889275321172382E-2</v>
      </c>
      <c r="V487" s="30">
        <f t="shared" ca="1" si="67"/>
        <v>-5.9194565744784031E-2</v>
      </c>
      <c r="W487" s="30">
        <f t="shared" ca="1" si="70"/>
        <v>-6.4487963078458291E-2</v>
      </c>
      <c r="X487" s="30">
        <f t="shared" ca="1" si="68"/>
        <v>2.5728987993139101E-2</v>
      </c>
      <c r="Y487" s="31">
        <f t="shared" ca="1" si="69"/>
        <v>-3.4875583203732442E-2</v>
      </c>
    </row>
    <row r="488" spans="2:25" x14ac:dyDescent="0.45">
      <c r="B488" vm="4029">
        <f ca="1"/>
        <v>44868</v>
      </c>
      <c r="C488" vm="4030">
        <f ca="1"/>
        <v>214.25</v>
      </c>
      <c r="D488" vm="4029">
        <f ca="1"/>
        <v>44868</v>
      </c>
      <c r="E488" vm="4031">
        <f ca="1"/>
        <v>18.170000000000002</v>
      </c>
      <c r="F488" vm="4029">
        <f ca="1"/>
        <v>44868</v>
      </c>
      <c r="G488" vm="4032">
        <f ca="1"/>
        <v>194.75</v>
      </c>
      <c r="H488" vm="4029">
        <f ca="1"/>
        <v>44868</v>
      </c>
      <c r="I488" vm="4033">
        <f ca="1"/>
        <v>134.46</v>
      </c>
      <c r="J488" vm="4029">
        <f ca="1"/>
        <v>44868</v>
      </c>
      <c r="K488" vm="3268">
        <f ca="1"/>
        <v>18.96</v>
      </c>
      <c r="L488" vm="4029">
        <f ca="1"/>
        <v>44868</v>
      </c>
      <c r="M488" vm="4034">
        <f ca="1"/>
        <v>71.72</v>
      </c>
      <c r="N488" vm="4029">
        <f ca="1"/>
        <v>44868</v>
      </c>
      <c r="O488" vm="4035">
        <f ca="1"/>
        <v>281.12</v>
      </c>
      <c r="P488" vm="4029">
        <f ca="1"/>
        <v>44868</v>
      </c>
      <c r="Q488" vm="4036">
        <f ca="1"/>
        <v>24.844000000000001</v>
      </c>
      <c r="R488" s="29">
        <f t="shared" ca="1" si="63"/>
        <v>-2.6578827805542909E-2</v>
      </c>
      <c r="S488" s="30">
        <f t="shared" ca="1" si="64"/>
        <v>-1.4107433532284211E-2</v>
      </c>
      <c r="T488" s="30">
        <f t="shared" ca="1" si="65"/>
        <v>-3.0853446130878273E-2</v>
      </c>
      <c r="U488" s="30">
        <f t="shared" ca="1" si="66"/>
        <v>-5.9880239520958244E-3</v>
      </c>
      <c r="V488" s="30">
        <f t="shared" ca="1" si="67"/>
        <v>-2.2176379577101585E-2</v>
      </c>
      <c r="W488" s="30">
        <f t="shared" ca="1" si="70"/>
        <v>-4.3733333333333346E-2</v>
      </c>
      <c r="X488" s="30">
        <f t="shared" ca="1" si="68"/>
        <v>-2.062430323299894E-2</v>
      </c>
      <c r="Y488" s="31">
        <f t="shared" ca="1" si="69"/>
        <v>8.45989606413439E-4</v>
      </c>
    </row>
    <row r="489" spans="2:25" x14ac:dyDescent="0.45">
      <c r="B489" vm="4037">
        <f ca="1"/>
        <v>44869</v>
      </c>
      <c r="C489" vm="4038">
        <f ca="1"/>
        <v>221.39</v>
      </c>
      <c r="D489" vm="4037">
        <f ca="1"/>
        <v>44869</v>
      </c>
      <c r="E489" vm="4039">
        <f ca="1"/>
        <v>18.32</v>
      </c>
      <c r="F489" vm="4037">
        <f ca="1"/>
        <v>44869</v>
      </c>
      <c r="G489" vm="4040">
        <f ca="1"/>
        <v>196.98</v>
      </c>
      <c r="H489" vm="4037">
        <f ca="1"/>
        <v>44869</v>
      </c>
      <c r="I489" vm="4041">
        <f ca="1"/>
        <v>136.08000000000001</v>
      </c>
      <c r="J489" vm="4037">
        <f ca="1"/>
        <v>44869</v>
      </c>
      <c r="K489" vm="568">
        <f ca="1"/>
        <v>20.62</v>
      </c>
      <c r="L489" vm="4037">
        <f ca="1"/>
        <v>44869</v>
      </c>
      <c r="M489" vm="4042">
        <f ca="1"/>
        <v>71.05</v>
      </c>
      <c r="N489" vm="4037">
        <f ca="1"/>
        <v>44869</v>
      </c>
      <c r="O489" vm="4043">
        <f ca="1"/>
        <v>277.60000000000002</v>
      </c>
      <c r="P489" vm="4037">
        <f ca="1"/>
        <v>44869</v>
      </c>
      <c r="Q489" vm="4044">
        <f ca="1"/>
        <v>27.71</v>
      </c>
      <c r="R489" s="29">
        <f t="shared" ca="1" si="63"/>
        <v>3.3325554259043114E-2</v>
      </c>
      <c r="S489" s="30">
        <f t="shared" ca="1" si="64"/>
        <v>8.25536598789205E-3</v>
      </c>
      <c r="T489" s="30">
        <f t="shared" ca="1" si="65"/>
        <v>1.1450577663671321E-2</v>
      </c>
      <c r="U489" s="30">
        <f t="shared" ca="1" si="66"/>
        <v>1.2048192771084371E-2</v>
      </c>
      <c r="V489" s="30">
        <f t="shared" ca="1" si="67"/>
        <v>8.7552742616033755E-2</v>
      </c>
      <c r="W489" s="30">
        <f t="shared" ca="1" si="70"/>
        <v>-9.3418851087562985E-3</v>
      </c>
      <c r="X489" s="30">
        <f t="shared" ca="1" si="68"/>
        <v>-1.2521343198633971E-2</v>
      </c>
      <c r="Y489" s="31">
        <f t="shared" ca="1" si="69"/>
        <v>0.11535984543551761</v>
      </c>
    </row>
    <row r="490" spans="2:25" x14ac:dyDescent="0.45">
      <c r="B490" vm="4045">
        <f ca="1"/>
        <v>44872</v>
      </c>
      <c r="C490" vm="4046">
        <f ca="1"/>
        <v>227.87</v>
      </c>
      <c r="D490" vm="4045">
        <f ca="1"/>
        <v>44872</v>
      </c>
      <c r="E490" vm="3525">
        <f ca="1"/>
        <v>18.36</v>
      </c>
      <c r="F490" vm="4045">
        <f ca="1"/>
        <v>44872</v>
      </c>
      <c r="G490" vm="4047">
        <f ca="1"/>
        <v>200.1</v>
      </c>
      <c r="H490" vm="4045">
        <f ca="1"/>
        <v>44872</v>
      </c>
      <c r="I490" vm="4048">
        <f ca="1"/>
        <v>138.03</v>
      </c>
      <c r="J490" vm="4045">
        <f ca="1"/>
        <v>44872</v>
      </c>
      <c r="K490" vm="4049">
        <f ca="1"/>
        <v>21.25</v>
      </c>
      <c r="L490" vm="4045">
        <f ca="1"/>
        <v>44872</v>
      </c>
      <c r="M490" vm="4050">
        <f ca="1"/>
        <v>73.44</v>
      </c>
      <c r="N490" vm="4045">
        <f ca="1"/>
        <v>44872</v>
      </c>
      <c r="O490" vm="4051">
        <f ca="1"/>
        <v>274.56</v>
      </c>
      <c r="P490" vm="4045">
        <f ca="1"/>
        <v>44872</v>
      </c>
      <c r="Q490" vm="4052">
        <f ca="1"/>
        <v>26.664000000000001</v>
      </c>
      <c r="R490" s="29">
        <f t="shared" ca="1" si="63"/>
        <v>2.926961470707809E-2</v>
      </c>
      <c r="S490" s="30">
        <f t="shared" ca="1" si="64"/>
        <v>2.1834061135370714E-3</v>
      </c>
      <c r="T490" s="30">
        <f t="shared" ca="1" si="65"/>
        <v>1.5839171489491342E-2</v>
      </c>
      <c r="U490" s="30">
        <f t="shared" ca="1" si="66"/>
        <v>1.4329805996472579E-2</v>
      </c>
      <c r="V490" s="30">
        <f t="shared" ca="1" si="67"/>
        <v>3.055286129970897E-2</v>
      </c>
      <c r="W490" s="30">
        <f t="shared" ca="1" si="70"/>
        <v>3.3638282899366649E-2</v>
      </c>
      <c r="X490" s="30">
        <f t="shared" ca="1" si="68"/>
        <v>-1.0951008645533214E-2</v>
      </c>
      <c r="Y490" s="31">
        <f t="shared" ca="1" si="69"/>
        <v>-3.7748105377120152E-2</v>
      </c>
    </row>
    <row r="491" spans="2:25" x14ac:dyDescent="0.45">
      <c r="B491" vm="4053">
        <f ca="1"/>
        <v>44873</v>
      </c>
      <c r="C491" vm="4054">
        <f ca="1"/>
        <v>228.87</v>
      </c>
      <c r="D491" vm="4053">
        <f ca="1"/>
        <v>44873</v>
      </c>
      <c r="E491" vm="535">
        <f ca="1"/>
        <v>18.57</v>
      </c>
      <c r="F491" vm="4053">
        <f ca="1"/>
        <v>44873</v>
      </c>
      <c r="G491" vm="4055">
        <f ca="1"/>
        <v>201.78</v>
      </c>
      <c r="H491" vm="4053">
        <f ca="1"/>
        <v>44873</v>
      </c>
      <c r="I491" vm="1113">
        <f ca="1"/>
        <v>138.75</v>
      </c>
      <c r="J491" vm="4053">
        <f ca="1"/>
        <v>44873</v>
      </c>
      <c r="K491" vm="4056">
        <f ca="1"/>
        <v>22.13</v>
      </c>
      <c r="L491" vm="4053">
        <f ca="1"/>
        <v>44873</v>
      </c>
      <c r="M491" vm="4057">
        <f ca="1"/>
        <v>73.27</v>
      </c>
      <c r="N491" vm="4053">
        <f ca="1"/>
        <v>44873</v>
      </c>
      <c r="O491" vm="4014">
        <f ca="1"/>
        <v>282.56</v>
      </c>
      <c r="P491" vm="4053">
        <f ca="1"/>
        <v>44873</v>
      </c>
      <c r="Q491" vm="4058">
        <f ca="1"/>
        <v>21.184000000000001</v>
      </c>
      <c r="R491" s="29">
        <f t="shared" ca="1" si="63"/>
        <v>4.3884671084390226E-3</v>
      </c>
      <c r="S491" s="30">
        <f t="shared" ca="1" si="64"/>
        <v>1.1437908496732072E-2</v>
      </c>
      <c r="T491" s="30">
        <f t="shared" ca="1" si="65"/>
        <v>8.3958020989505586E-3</v>
      </c>
      <c r="U491" s="30">
        <f t="shared" ca="1" si="66"/>
        <v>5.2162573353618695E-3</v>
      </c>
      <c r="V491" s="30">
        <f t="shared" ca="1" si="67"/>
        <v>4.1411764705882308E-2</v>
      </c>
      <c r="W491" s="30">
        <f t="shared" ca="1" si="70"/>
        <v>-2.3148148148148381E-3</v>
      </c>
      <c r="X491" s="30">
        <f t="shared" ca="1" si="68"/>
        <v>2.9137529137529136E-2</v>
      </c>
      <c r="Y491" s="31">
        <f t="shared" ca="1" si="69"/>
        <v>-0.20552055205520553</v>
      </c>
    </row>
    <row r="492" spans="2:25" x14ac:dyDescent="0.45">
      <c r="B492" vm="4059">
        <f ca="1"/>
        <v>44874</v>
      </c>
      <c r="C492" vm="4060">
        <f ca="1"/>
        <v>224.51</v>
      </c>
      <c r="D492" vm="4059">
        <f ca="1"/>
        <v>44874</v>
      </c>
      <c r="E492" vm="343">
        <f ca="1"/>
        <v>18.38</v>
      </c>
      <c r="F492" vm="4059">
        <f ca="1"/>
        <v>44874</v>
      </c>
      <c r="G492" vm="4061">
        <f ca="1"/>
        <v>193.93</v>
      </c>
      <c r="H492" vm="4059">
        <f ca="1"/>
        <v>44874</v>
      </c>
      <c r="I492" vm="4062">
        <f ca="1"/>
        <v>137</v>
      </c>
      <c r="J492" vm="4059">
        <f ca="1"/>
        <v>44874</v>
      </c>
      <c r="K492" vm="1825">
        <f ca="1"/>
        <v>20.78</v>
      </c>
      <c r="L492" vm="4059">
        <f ca="1"/>
        <v>44874</v>
      </c>
      <c r="M492" vm="4063">
        <f ca="1"/>
        <v>71.400000000000006</v>
      </c>
      <c r="N492" vm="4059">
        <f ca="1"/>
        <v>44874</v>
      </c>
      <c r="O492" vm="4064">
        <f ca="1"/>
        <v>291.36</v>
      </c>
      <c r="P492" vm="4059">
        <f ca="1"/>
        <v>44874</v>
      </c>
      <c r="Q492" vm="4065">
        <f ca="1"/>
        <v>17.036000000000001</v>
      </c>
      <c r="R492" s="29">
        <f t="shared" ca="1" si="63"/>
        <v>-1.9050115786254266E-2</v>
      </c>
      <c r="S492" s="30">
        <f t="shared" ca="1" si="64"/>
        <v>-1.0231556273559574E-2</v>
      </c>
      <c r="T492" s="30">
        <f t="shared" ca="1" si="65"/>
        <v>-3.8903756566557611E-2</v>
      </c>
      <c r="U492" s="30">
        <f t="shared" ca="1" si="66"/>
        <v>-1.2612612612612612E-2</v>
      </c>
      <c r="V492" s="30">
        <f t="shared" ca="1" si="67"/>
        <v>-6.1003163126976859E-2</v>
      </c>
      <c r="W492" s="30">
        <f t="shared" ca="1" si="70"/>
        <v>-2.5522041763340938E-2</v>
      </c>
      <c r="X492" s="30">
        <f t="shared" ca="1" si="68"/>
        <v>3.1143827859569689E-2</v>
      </c>
      <c r="Y492" s="31">
        <f t="shared" ca="1" si="69"/>
        <v>-0.19580815709969787</v>
      </c>
    </row>
    <row r="493" spans="2:25" x14ac:dyDescent="0.45">
      <c r="B493" vm="4066">
        <f ca="1"/>
        <v>44875</v>
      </c>
      <c r="C493" vm="4067">
        <f ca="1"/>
        <v>242.98</v>
      </c>
      <c r="D493" vm="4066">
        <f ca="1"/>
        <v>44875</v>
      </c>
      <c r="E493" vm="4068">
        <f ca="1"/>
        <v>18.84</v>
      </c>
      <c r="F493" vm="4066">
        <f ca="1"/>
        <v>44875</v>
      </c>
      <c r="G493" vm="4069">
        <f ca="1"/>
        <v>205.57</v>
      </c>
      <c r="H493" vm="4066">
        <f ca="1"/>
        <v>44875</v>
      </c>
      <c r="I493" vm="4070">
        <f ca="1"/>
        <v>146.30000000000001</v>
      </c>
      <c r="J493" vm="4066">
        <f ca="1"/>
        <v>44875</v>
      </c>
      <c r="K493" vm="1357">
        <f ca="1"/>
        <v>22.06</v>
      </c>
      <c r="L493" vm="4066">
        <f ca="1"/>
        <v>44875</v>
      </c>
      <c r="M493" vm="4071">
        <f ca="1"/>
        <v>78.44</v>
      </c>
      <c r="N493" vm="4066">
        <f ca="1"/>
        <v>44875</v>
      </c>
      <c r="O493" vm="4072">
        <f ca="1"/>
        <v>275.36</v>
      </c>
      <c r="P493" vm="4066">
        <f ca="1"/>
        <v>44875</v>
      </c>
      <c r="Q493" vm="3396">
        <f ca="1"/>
        <v>17.5</v>
      </c>
      <c r="R493" s="29">
        <f t="shared" ca="1" si="63"/>
        <v>8.2268050420916658E-2</v>
      </c>
      <c r="S493" s="30">
        <f t="shared" ca="1" si="64"/>
        <v>2.5027203482045748E-2</v>
      </c>
      <c r="T493" s="30">
        <f t="shared" ca="1" si="65"/>
        <v>6.0021657299025352E-2</v>
      </c>
      <c r="U493" s="30">
        <f t="shared" ca="1" si="66"/>
        <v>6.7883211678832198E-2</v>
      </c>
      <c r="V493" s="30">
        <f t="shared" ca="1" si="67"/>
        <v>6.159769008662163E-2</v>
      </c>
      <c r="W493" s="30">
        <f t="shared" ca="1" si="70"/>
        <v>9.859943977591025E-2</v>
      </c>
      <c r="X493" s="30">
        <f t="shared" ca="1" si="68"/>
        <v>-5.491488193300384E-2</v>
      </c>
      <c r="Y493" s="31">
        <f t="shared" ca="1" si="69"/>
        <v>2.7236440478985595E-2</v>
      </c>
    </row>
    <row r="494" spans="2:25" x14ac:dyDescent="0.45">
      <c r="B494" vm="4073">
        <f ca="1"/>
        <v>44876</v>
      </c>
      <c r="C494" vm="1174">
        <f ca="1"/>
        <v>247.11</v>
      </c>
      <c r="D494" vm="4073">
        <f ca="1"/>
        <v>44876</v>
      </c>
      <c r="E494" vm="4074">
        <f ca="1"/>
        <v>19.05</v>
      </c>
      <c r="F494" vm="4073">
        <f ca="1"/>
        <v>44876</v>
      </c>
      <c r="G494" vm="4075">
        <f ca="1"/>
        <v>205</v>
      </c>
      <c r="H494" vm="4073">
        <f ca="1"/>
        <v>44876</v>
      </c>
      <c r="I494" vm="4076">
        <f ca="1"/>
        <v>148.31</v>
      </c>
      <c r="J494" vm="4073">
        <f ca="1"/>
        <v>44876</v>
      </c>
      <c r="K494" vm="4077">
        <f ca="1"/>
        <v>23.87</v>
      </c>
      <c r="L494" vm="4073">
        <f ca="1"/>
        <v>44876</v>
      </c>
      <c r="M494" vm="4078">
        <f ca="1"/>
        <v>83.71</v>
      </c>
      <c r="N494" vm="4073">
        <f ca="1"/>
        <v>44876</v>
      </c>
      <c r="O494" vm="4079">
        <f ca="1"/>
        <v>271.68</v>
      </c>
      <c r="P494" vm="4073">
        <f ca="1"/>
        <v>44876</v>
      </c>
      <c r="Q494" vm="4080">
        <f ca="1"/>
        <v>17.518000000000001</v>
      </c>
      <c r="R494" s="29">
        <f t="shared" ca="1" si="63"/>
        <v>1.6997283727055824E-2</v>
      </c>
      <c r="S494" s="30">
        <f t="shared" ca="1" si="64"/>
        <v>1.114649681528667E-2</v>
      </c>
      <c r="T494" s="30">
        <f t="shared" ca="1" si="65"/>
        <v>-2.7727781291044082E-3</v>
      </c>
      <c r="U494" s="30">
        <f t="shared" ca="1" si="66"/>
        <v>1.3738892686261044E-2</v>
      </c>
      <c r="V494" s="30">
        <f t="shared" ca="1" si="67"/>
        <v>8.2048957388939359E-2</v>
      </c>
      <c r="W494" s="30">
        <f t="shared" ca="1" si="70"/>
        <v>6.7185109637939777E-2</v>
      </c>
      <c r="X494" s="30">
        <f t="shared" ca="1" si="68"/>
        <v>-1.3364323067983755E-2</v>
      </c>
      <c r="Y494" s="31">
        <f t="shared" ca="1" si="69"/>
        <v>1.0285714285714676E-3</v>
      </c>
    </row>
    <row r="495" spans="2:25" x14ac:dyDescent="0.45">
      <c r="B495" vm="4081">
        <f ca="1"/>
        <v>44879</v>
      </c>
      <c r="C495" vm="4082">
        <f ca="1"/>
        <v>241.55</v>
      </c>
      <c r="D495" vm="4081">
        <f ca="1"/>
        <v>44879</v>
      </c>
      <c r="E495" vm="4083">
        <f ca="1"/>
        <v>19.059999999999999</v>
      </c>
      <c r="F495" vm="4081">
        <f ca="1"/>
        <v>44879</v>
      </c>
      <c r="G495" vm="4084">
        <f ca="1"/>
        <v>206.86</v>
      </c>
      <c r="H495" vm="4081">
        <f ca="1"/>
        <v>44879</v>
      </c>
      <c r="I495" vm="4085">
        <f ca="1"/>
        <v>146.38</v>
      </c>
      <c r="J495" vm="4081">
        <f ca="1"/>
        <v>44879</v>
      </c>
      <c r="K495" vm="4086">
        <f ca="1"/>
        <v>24.19</v>
      </c>
      <c r="L495" vm="4081">
        <f ca="1"/>
        <v>44879</v>
      </c>
      <c r="M495" vm="4087">
        <f ca="1"/>
        <v>82.5</v>
      </c>
      <c r="N495" vm="4081">
        <f ca="1"/>
        <v>44879</v>
      </c>
      <c r="O495" vm="4079">
        <f ca="1"/>
        <v>271.68</v>
      </c>
      <c r="P495" vm="4081">
        <f ca="1"/>
        <v>44879</v>
      </c>
      <c r="Q495" vm="4088">
        <f ca="1"/>
        <v>16.59</v>
      </c>
      <c r="R495" s="29">
        <f t="shared" ca="1" si="63"/>
        <v>-2.2500101169519657E-2</v>
      </c>
      <c r="S495" s="30">
        <f t="shared" ca="1" si="64"/>
        <v>5.2493438320199532E-4</v>
      </c>
      <c r="T495" s="30">
        <f t="shared" ca="1" si="65"/>
        <v>9.0731707317073841E-3</v>
      </c>
      <c r="U495" s="30">
        <f t="shared" ca="1" si="66"/>
        <v>-1.301328298833529E-2</v>
      </c>
      <c r="V495" s="30">
        <f t="shared" ca="1" si="67"/>
        <v>1.340594888981987E-2</v>
      </c>
      <c r="W495" s="30">
        <f t="shared" ca="1" si="70"/>
        <v>-1.4454664914585998E-2</v>
      </c>
      <c r="X495" s="30">
        <f t="shared" ca="1" si="68"/>
        <v>0</v>
      </c>
      <c r="Y495" s="31">
        <f t="shared" ca="1" si="69"/>
        <v>-5.2974083799520538E-2</v>
      </c>
    </row>
    <row r="496" spans="2:25" x14ac:dyDescent="0.45">
      <c r="B496" vm="4089">
        <f ca="1"/>
        <v>44880</v>
      </c>
      <c r="C496" vm="4090">
        <f ca="1"/>
        <v>241.97</v>
      </c>
      <c r="D496" vm="4089">
        <f ca="1"/>
        <v>44880</v>
      </c>
      <c r="E496" vm="4091">
        <f ca="1"/>
        <v>19.02</v>
      </c>
      <c r="F496" vm="4089">
        <f ca="1"/>
        <v>44880</v>
      </c>
      <c r="G496" vm="4092">
        <f ca="1"/>
        <v>209.99</v>
      </c>
      <c r="H496" vm="4089">
        <f ca="1"/>
        <v>44880</v>
      </c>
      <c r="I496" vm="4093">
        <f ca="1"/>
        <v>148</v>
      </c>
      <c r="J496" vm="4089">
        <f ca="1"/>
        <v>44880</v>
      </c>
      <c r="K496" vm="2591">
        <f ca="1"/>
        <v>24.21</v>
      </c>
      <c r="L496" vm="4089">
        <f ca="1"/>
        <v>44880</v>
      </c>
      <c r="M496" vm="4094">
        <f ca="1"/>
        <v>85.11</v>
      </c>
      <c r="N496" vm="4089">
        <f ca="1"/>
        <v>44880</v>
      </c>
      <c r="O496" vm="4095">
        <f ca="1"/>
        <v>275.2</v>
      </c>
      <c r="P496" vm="4089">
        <f ca="1"/>
        <v>44880</v>
      </c>
      <c r="Q496" vm="4096">
        <f ca="1"/>
        <v>17.152999999999999</v>
      </c>
      <c r="R496" s="29">
        <f t="shared" ca="1" si="63"/>
        <v>1.7387704409024527E-3</v>
      </c>
      <c r="S496" s="30">
        <f t="shared" ca="1" si="64"/>
        <v>-2.0986358866736175E-3</v>
      </c>
      <c r="T496" s="30">
        <f t="shared" ca="1" si="65"/>
        <v>1.5131006477811057E-2</v>
      </c>
      <c r="U496" s="30">
        <f t="shared" ca="1" si="66"/>
        <v>1.1067085667440938E-2</v>
      </c>
      <c r="V496" s="30">
        <f t="shared" ca="1" si="67"/>
        <v>8.2678792889622041E-4</v>
      </c>
      <c r="W496" s="30">
        <f t="shared" ca="1" si="70"/>
        <v>3.1636363636363629E-2</v>
      </c>
      <c r="X496" s="30">
        <f t="shared" ca="1" si="68"/>
        <v>1.2956419316843278E-2</v>
      </c>
      <c r="Y496" s="31">
        <f t="shared" ca="1" si="69"/>
        <v>3.393610608800475E-2</v>
      </c>
    </row>
    <row r="497" spans="2:25" x14ac:dyDescent="0.45">
      <c r="B497" vm="4097">
        <f ca="1"/>
        <v>44881</v>
      </c>
      <c r="C497" vm="1072">
        <f ca="1"/>
        <v>241.73</v>
      </c>
      <c r="D497" vm="4097">
        <f ca="1"/>
        <v>44881</v>
      </c>
      <c r="E497" vm="4098">
        <f ca="1"/>
        <v>18.93</v>
      </c>
      <c r="F497" vm="4097">
        <f ca="1"/>
        <v>44881</v>
      </c>
      <c r="G497" vm="4099">
        <f ca="1"/>
        <v>210.14</v>
      </c>
      <c r="H497" vm="4097">
        <f ca="1"/>
        <v>44881</v>
      </c>
      <c r="I497" vm="4100">
        <f ca="1"/>
        <v>147.12</v>
      </c>
      <c r="J497" vm="4097">
        <f ca="1"/>
        <v>44881</v>
      </c>
      <c r="K497" vm="1255">
        <f ca="1"/>
        <v>24.07</v>
      </c>
      <c r="L497" vm="4097">
        <f ca="1"/>
        <v>44881</v>
      </c>
      <c r="M497" vm="4087">
        <f ca="1"/>
        <v>82.5</v>
      </c>
      <c r="N497" vm="4097">
        <f ca="1"/>
        <v>44881</v>
      </c>
      <c r="O497" vm="4101">
        <f ca="1"/>
        <v>267.83999999999997</v>
      </c>
      <c r="P497" vm="4097">
        <f ca="1"/>
        <v>44881</v>
      </c>
      <c r="Q497" vm="4102">
        <f ca="1"/>
        <v>16.943999999999999</v>
      </c>
      <c r="R497" s="29">
        <f t="shared" ca="1" si="63"/>
        <v>-9.9185849485477172E-4</v>
      </c>
      <c r="S497" s="30">
        <f t="shared" ca="1" si="64"/>
        <v>-4.7318611987381626E-3</v>
      </c>
      <c r="T497" s="30">
        <f t="shared" ca="1" si="65"/>
        <v>7.1431972951082083E-4</v>
      </c>
      <c r="U497" s="30">
        <f t="shared" ca="1" si="66"/>
        <v>-5.9459459459459156E-3</v>
      </c>
      <c r="V497" s="30">
        <f t="shared" ca="1" si="67"/>
        <v>-5.7827344072697469E-3</v>
      </c>
      <c r="W497" s="30">
        <f t="shared" ca="1" si="70"/>
        <v>-3.066619668664081E-2</v>
      </c>
      <c r="X497" s="30">
        <f t="shared" ca="1" si="68"/>
        <v>-2.674418604651168E-2</v>
      </c>
      <c r="Y497" s="31">
        <f t="shared" ca="1" si="69"/>
        <v>-1.2184457529295147E-2</v>
      </c>
    </row>
    <row r="498" spans="2:25" x14ac:dyDescent="0.45">
      <c r="B498" vm="4103">
        <f ca="1"/>
        <v>44882</v>
      </c>
      <c r="C498" vm="4104">
        <f ca="1"/>
        <v>241.68</v>
      </c>
      <c r="D498" vm="4103">
        <f ca="1"/>
        <v>44882</v>
      </c>
      <c r="E498" vm="4105">
        <f ca="1"/>
        <v>18.95</v>
      </c>
      <c r="F498" vm="4103">
        <f ca="1"/>
        <v>44882</v>
      </c>
      <c r="G498" vm="4106">
        <f ca="1"/>
        <v>210.99</v>
      </c>
      <c r="H498" vm="4103">
        <f ca="1"/>
        <v>44882</v>
      </c>
      <c r="I498" vm="2546">
        <f ca="1"/>
        <v>144.44</v>
      </c>
      <c r="J498" vm="4103">
        <f ca="1"/>
        <v>44882</v>
      </c>
      <c r="K498" vm="4107">
        <f ca="1"/>
        <v>23.73</v>
      </c>
      <c r="L498" vm="4103">
        <f ca="1"/>
        <v>44882</v>
      </c>
      <c r="M498" vm="4108">
        <f ca="1"/>
        <v>79.45</v>
      </c>
      <c r="N498" vm="4103">
        <f ca="1"/>
        <v>44882</v>
      </c>
      <c r="O498" vm="4109">
        <f ca="1"/>
        <v>265.27999999999997</v>
      </c>
      <c r="P498" vm="4103">
        <f ca="1"/>
        <v>44882</v>
      </c>
      <c r="Q498" vm="4110">
        <f ca="1"/>
        <v>17.388000000000002</v>
      </c>
      <c r="R498" s="29">
        <f t="shared" ca="1" si="63"/>
        <v>-2.068423447647497E-4</v>
      </c>
      <c r="S498" s="30">
        <f t="shared" ca="1" si="64"/>
        <v>1.0565240359217947E-3</v>
      </c>
      <c r="T498" s="30">
        <f t="shared" ca="1" si="65"/>
        <v>4.0449224326640464E-3</v>
      </c>
      <c r="U498" s="30">
        <f t="shared" ca="1" si="66"/>
        <v>-1.8216421968461165E-2</v>
      </c>
      <c r="V498" s="30">
        <f t="shared" ca="1" si="67"/>
        <v>-1.4125467386788527E-2</v>
      </c>
      <c r="W498" s="30">
        <f t="shared" ca="1" si="70"/>
        <v>-3.6969696969696937E-2</v>
      </c>
      <c r="X498" s="30">
        <f t="shared" ca="1" si="68"/>
        <v>-9.5579450418160194E-3</v>
      </c>
      <c r="Y498" s="31">
        <f t="shared" ca="1" si="69"/>
        <v>2.620396600566588E-2</v>
      </c>
    </row>
    <row r="499" spans="2:25" x14ac:dyDescent="0.45">
      <c r="B499" vm="4111">
        <f ca="1"/>
        <v>44883</v>
      </c>
      <c r="C499" vm="4112">
        <f ca="1"/>
        <v>241.22</v>
      </c>
      <c r="D499" vm="4111">
        <f ca="1"/>
        <v>44883</v>
      </c>
      <c r="E499" vm="4113">
        <f ca="1"/>
        <v>18.97</v>
      </c>
      <c r="F499" vm="4111">
        <f ca="1"/>
        <v>44883</v>
      </c>
      <c r="G499" vm="4114">
        <f ca="1"/>
        <v>210.8</v>
      </c>
      <c r="H499" vm="4111">
        <f ca="1"/>
        <v>44883</v>
      </c>
      <c r="I499" vm="4115">
        <f ca="1"/>
        <v>146.19</v>
      </c>
      <c r="J499" vm="4111">
        <f ca="1"/>
        <v>44883</v>
      </c>
      <c r="K499" vm="4116">
        <f ca="1"/>
        <v>23.57</v>
      </c>
      <c r="L499" vm="4111">
        <f ca="1"/>
        <v>44883</v>
      </c>
      <c r="M499" vm="4117">
        <f ca="1"/>
        <v>76.989999999999995</v>
      </c>
      <c r="N499" vm="4111">
        <f ca="1"/>
        <v>44883</v>
      </c>
      <c r="O499" vm="4118">
        <f ca="1"/>
        <v>262.56</v>
      </c>
      <c r="P499" vm="4111">
        <f ca="1"/>
        <v>44883</v>
      </c>
      <c r="Q499" vm="4119">
        <f ca="1"/>
        <v>17.012</v>
      </c>
      <c r="R499" s="29">
        <f t="shared" ca="1" si="63"/>
        <v>-1.9033432638199601E-3</v>
      </c>
      <c r="S499" s="30">
        <f t="shared" ca="1" si="64"/>
        <v>1.0554089709762309E-3</v>
      </c>
      <c r="T499" s="30">
        <f t="shared" ca="1" si="65"/>
        <v>-9.0051661216170302E-4</v>
      </c>
      <c r="U499" s="30">
        <f t="shared" ca="1" si="66"/>
        <v>1.2115757407920244E-2</v>
      </c>
      <c r="V499" s="30">
        <f t="shared" ca="1" si="67"/>
        <v>-6.7425200168563055E-3</v>
      </c>
      <c r="W499" s="30">
        <f t="shared" ca="1" si="70"/>
        <v>-3.0962869729389653E-2</v>
      </c>
      <c r="X499" s="30">
        <f t="shared" ca="1" si="68"/>
        <v>-1.0253317249698321E-2</v>
      </c>
      <c r="Y499" s="31">
        <f t="shared" ca="1" si="69"/>
        <v>-2.1624108580630387E-2</v>
      </c>
    </row>
    <row r="500" spans="2:25" x14ac:dyDescent="0.45">
      <c r="B500" vm="4120">
        <f ca="1"/>
        <v>44886</v>
      </c>
      <c r="C500" vm="4121">
        <f ca="1"/>
        <v>242.05</v>
      </c>
      <c r="D500" vm="4120">
        <f ca="1"/>
        <v>44886</v>
      </c>
      <c r="E500" vm="4068">
        <f ca="1"/>
        <v>18.84</v>
      </c>
      <c r="F500" vm="4120">
        <f ca="1"/>
        <v>44886</v>
      </c>
      <c r="G500" vm="4122">
        <f ca="1"/>
        <v>206.32</v>
      </c>
      <c r="H500" vm="4120">
        <f ca="1"/>
        <v>44886</v>
      </c>
      <c r="I500" vm="4123">
        <f ca="1"/>
        <v>145.13999999999999</v>
      </c>
      <c r="J500" vm="4120">
        <f ca="1"/>
        <v>44886</v>
      </c>
      <c r="K500" vm="4124">
        <f ca="1"/>
        <v>24.46</v>
      </c>
      <c r="L500" vm="4120">
        <f ca="1"/>
        <v>44886</v>
      </c>
      <c r="M500" vm="4125">
        <f ca="1"/>
        <v>74.12</v>
      </c>
      <c r="N500" vm="4120">
        <f ca="1"/>
        <v>44886</v>
      </c>
      <c r="O500" vm="4126">
        <f ca="1"/>
        <v>255.52</v>
      </c>
      <c r="P500" vm="4120">
        <f ca="1"/>
        <v>44886</v>
      </c>
      <c r="Q500" vm="4127">
        <f ca="1"/>
        <v>15.722</v>
      </c>
      <c r="R500" s="29">
        <f t="shared" ca="1" si="63"/>
        <v>3.4408423845452801E-3</v>
      </c>
      <c r="S500" s="30">
        <f t="shared" ca="1" si="64"/>
        <v>-6.8529256721138118E-3</v>
      </c>
      <c r="T500" s="30">
        <f t="shared" ca="1" si="65"/>
        <v>-2.1252371916508625E-2</v>
      </c>
      <c r="U500" s="30">
        <f t="shared" ca="1" si="66"/>
        <v>-7.1824338190027461E-3</v>
      </c>
      <c r="V500" s="30">
        <f t="shared" ca="1" si="67"/>
        <v>3.7759864234196035E-2</v>
      </c>
      <c r="W500" s="30">
        <f t="shared" ca="1" si="70"/>
        <v>-3.7277568515391483E-2</v>
      </c>
      <c r="X500" s="30">
        <f t="shared" ca="1" si="68"/>
        <v>-2.6812918951858594E-2</v>
      </c>
      <c r="Y500" s="31">
        <f t="shared" ca="1" si="69"/>
        <v>-7.5828826710557309E-2</v>
      </c>
    </row>
    <row r="501" spans="2:25" x14ac:dyDescent="0.45">
      <c r="B501" vm="4128">
        <f ca="1"/>
        <v>44887</v>
      </c>
      <c r="C501" vm="4129">
        <f ca="1"/>
        <v>245.03</v>
      </c>
      <c r="D501" vm="4128">
        <f ca="1"/>
        <v>44887</v>
      </c>
      <c r="E501" vm="3328">
        <f ca="1"/>
        <v>19</v>
      </c>
      <c r="F501" vm="4128">
        <f ca="1"/>
        <v>44887</v>
      </c>
      <c r="G501" vm="4130">
        <f ca="1"/>
        <v>210.33</v>
      </c>
      <c r="H501" vm="4128">
        <f ca="1"/>
        <v>44887</v>
      </c>
      <c r="I501" vm="4131">
        <f ca="1"/>
        <v>156.86000000000001</v>
      </c>
      <c r="J501" vm="4128">
        <f ca="1"/>
        <v>44887</v>
      </c>
      <c r="K501" vm="4132">
        <f ca="1"/>
        <v>25.85</v>
      </c>
      <c r="L501" vm="4128">
        <f ca="1"/>
        <v>44887</v>
      </c>
      <c r="M501" vm="4133">
        <f ca="1"/>
        <v>75.25</v>
      </c>
      <c r="N501" vm="4128">
        <f ca="1"/>
        <v>44887</v>
      </c>
      <c r="O501" vm="4134">
        <f ca="1"/>
        <v>246.72</v>
      </c>
      <c r="P501" vm="4128">
        <f ca="1"/>
        <v>44887</v>
      </c>
      <c r="Q501" vm="4135">
        <f ca="1"/>
        <v>16.707999999999998</v>
      </c>
      <c r="R501" s="29">
        <f t="shared" ca="1" si="63"/>
        <v>1.2311505887213343E-2</v>
      </c>
      <c r="S501" s="30">
        <f t="shared" ca="1" si="64"/>
        <v>8.492569002123149E-3</v>
      </c>
      <c r="T501" s="30">
        <f t="shared" ca="1" si="65"/>
        <v>1.9435827840248252E-2</v>
      </c>
      <c r="U501" s="30">
        <f t="shared" ca="1" si="66"/>
        <v>8.074962105553278E-2</v>
      </c>
      <c r="V501" s="30">
        <f t="shared" ca="1" si="67"/>
        <v>5.6827473426001654E-2</v>
      </c>
      <c r="W501" s="30">
        <f t="shared" ca="1" si="70"/>
        <v>1.5245547760388497E-2</v>
      </c>
      <c r="X501" s="30">
        <f t="shared" ca="1" si="68"/>
        <v>-3.4439574201628097E-2</v>
      </c>
      <c r="Y501" s="31">
        <f t="shared" ca="1" si="69"/>
        <v>6.2714667345121419E-2</v>
      </c>
    </row>
    <row r="502" spans="2:25" x14ac:dyDescent="0.45">
      <c r="B502" vm="4136">
        <f ca="1"/>
        <v>44888</v>
      </c>
      <c r="C502" vm="4137">
        <f ca="1"/>
        <v>247.58</v>
      </c>
      <c r="D502" vm="4136">
        <f ca="1"/>
        <v>44888</v>
      </c>
      <c r="E502" vm="4138">
        <f ca="1"/>
        <v>19.09</v>
      </c>
      <c r="F502" vm="4136">
        <f ca="1"/>
        <v>44888</v>
      </c>
      <c r="G502" vm="709">
        <f ca="1"/>
        <v>211.73</v>
      </c>
      <c r="H502" vm="4136">
        <f ca="1"/>
        <v>44888</v>
      </c>
      <c r="I502" vm="4139">
        <f ca="1"/>
        <v>155.35</v>
      </c>
      <c r="J502" vm="4136">
        <f ca="1"/>
        <v>44888</v>
      </c>
      <c r="K502" vm="4140">
        <f ca="1"/>
        <v>26.01</v>
      </c>
      <c r="L502" vm="4136">
        <f ca="1"/>
        <v>44888</v>
      </c>
      <c r="M502" vm="4141">
        <f ca="1"/>
        <v>78.260000000000005</v>
      </c>
      <c r="N502" vm="4136">
        <f ca="1"/>
        <v>44888</v>
      </c>
      <c r="O502" vm="4142">
        <f ca="1"/>
        <v>241.28</v>
      </c>
      <c r="P502" vm="4136">
        <f ca="1"/>
        <v>44888</v>
      </c>
      <c r="Q502" vm="4143">
        <f ca="1"/>
        <v>17.638999999999999</v>
      </c>
      <c r="R502" s="29">
        <f t="shared" ca="1" si="63"/>
        <v>1.0406888952373225E-2</v>
      </c>
      <c r="S502" s="30">
        <f t="shared" ca="1" si="64"/>
        <v>4.7368421052631504E-3</v>
      </c>
      <c r="T502" s="30">
        <f t="shared" ca="1" si="65"/>
        <v>6.6562069129462139E-3</v>
      </c>
      <c r="U502" s="30">
        <f t="shared" ca="1" si="66"/>
        <v>-9.6264184623232139E-3</v>
      </c>
      <c r="V502" s="30">
        <f t="shared" ca="1" si="67"/>
        <v>6.1895551257253436E-3</v>
      </c>
      <c r="W502" s="30">
        <f t="shared" ca="1" si="70"/>
        <v>4.000000000000007E-2</v>
      </c>
      <c r="X502" s="30">
        <f t="shared" ca="1" si="68"/>
        <v>-2.204928664072632E-2</v>
      </c>
      <c r="Y502" s="31">
        <f t="shared" ca="1" si="69"/>
        <v>5.5721809911419742E-2</v>
      </c>
    </row>
    <row r="503" spans="2:25" x14ac:dyDescent="0.45">
      <c r="B503" vm="4144">
        <f ca="1"/>
        <v>44890</v>
      </c>
      <c r="C503" vm="4145">
        <f ca="1"/>
        <v>247.49</v>
      </c>
      <c r="D503" vm="4144">
        <f ca="1"/>
        <v>44890</v>
      </c>
      <c r="E503" vm="3008">
        <f ca="1"/>
        <v>19.12</v>
      </c>
      <c r="F503" vm="4144">
        <f ca="1"/>
        <v>44890</v>
      </c>
      <c r="G503" vm="4146">
        <f ca="1"/>
        <v>213.79</v>
      </c>
      <c r="H503" vm="4144">
        <f ca="1"/>
        <v>44890</v>
      </c>
      <c r="I503" vm="4147">
        <f ca="1"/>
        <v>156.96</v>
      </c>
      <c r="J503" vm="4144">
        <f ca="1"/>
        <v>44890</v>
      </c>
      <c r="K503" vm="4132">
        <f ca="1"/>
        <v>25.85</v>
      </c>
      <c r="L503" vm="4144">
        <f ca="1"/>
        <v>44890</v>
      </c>
      <c r="M503" vm="4148">
        <f ca="1"/>
        <v>78.73</v>
      </c>
      <c r="N503" vm="4144">
        <f ca="1"/>
        <v>44890</v>
      </c>
      <c r="O503" vm="4149">
        <f ca="1"/>
        <v>242.56</v>
      </c>
      <c r="P503" vm="4144">
        <f ca="1"/>
        <v>44890</v>
      </c>
      <c r="Q503" vm="526">
        <f ca="1"/>
        <v>18.3</v>
      </c>
      <c r="R503" s="29">
        <f t="shared" ca="1" si="63"/>
        <v>-3.635188625898837E-4</v>
      </c>
      <c r="S503" s="30">
        <f t="shared" ca="1" si="64"/>
        <v>1.5715034049241035E-3</v>
      </c>
      <c r="T503" s="30">
        <f t="shared" ca="1" si="65"/>
        <v>9.7293723137958834E-3</v>
      </c>
      <c r="U503" s="30">
        <f t="shared" ca="1" si="66"/>
        <v>1.0363694882523422E-2</v>
      </c>
      <c r="V503" s="30">
        <f t="shared" ca="1" si="67"/>
        <v>-6.1514801999231119E-3</v>
      </c>
      <c r="W503" s="30">
        <f t="shared" ca="1" si="70"/>
        <v>6.0056222846920368E-3</v>
      </c>
      <c r="X503" s="30">
        <f t="shared" ca="1" si="68"/>
        <v>5.3050397877984134E-3</v>
      </c>
      <c r="Y503" s="31">
        <f t="shared" ca="1" si="69"/>
        <v>3.7473779692726424E-2</v>
      </c>
    </row>
    <row r="504" spans="2:25" x14ac:dyDescent="0.45">
      <c r="B504" vm="4150">
        <f ca="1"/>
        <v>44893</v>
      </c>
      <c r="C504" vm="4151">
        <f ca="1"/>
        <v>241.76</v>
      </c>
      <c r="D504" vm="4150">
        <f ca="1"/>
        <v>44893</v>
      </c>
      <c r="E504" vm="4152">
        <f ca="1"/>
        <v>18.82</v>
      </c>
      <c r="F504" vm="4150">
        <f ca="1"/>
        <v>44893</v>
      </c>
      <c r="G504" vm="4153">
        <f ca="1"/>
        <v>211.26</v>
      </c>
      <c r="H504" vm="4150">
        <f ca="1"/>
        <v>44893</v>
      </c>
      <c r="I504" vm="4154">
        <f ca="1"/>
        <v>152.30000000000001</v>
      </c>
      <c r="J504" vm="4150">
        <f ca="1"/>
        <v>44893</v>
      </c>
      <c r="K504" vm="4155">
        <f ca="1"/>
        <v>25.48</v>
      </c>
      <c r="L504" vm="4150">
        <f ca="1"/>
        <v>44893</v>
      </c>
      <c r="M504" vm="4156">
        <f ca="1"/>
        <v>76.73</v>
      </c>
      <c r="N504" vm="4150">
        <f ca="1"/>
        <v>44893</v>
      </c>
      <c r="O504" vm="4157">
        <f ca="1"/>
        <v>251.52</v>
      </c>
      <c r="P504" vm="4150">
        <f ca="1"/>
        <v>44893</v>
      </c>
      <c r="Q504" vm="4158">
        <f ca="1"/>
        <v>17.667000000000002</v>
      </c>
      <c r="R504" s="29">
        <f t="shared" ca="1" si="63"/>
        <v>-2.3152450604064883E-2</v>
      </c>
      <c r="S504" s="30">
        <f t="shared" ca="1" si="64"/>
        <v>-1.5690376569037694E-2</v>
      </c>
      <c r="T504" s="30">
        <f t="shared" ca="1" si="65"/>
        <v>-1.1834042752233506E-2</v>
      </c>
      <c r="U504" s="30">
        <f t="shared" ca="1" si="66"/>
        <v>-2.9689092762487233E-2</v>
      </c>
      <c r="V504" s="30">
        <f t="shared" ca="1" si="67"/>
        <v>-1.4313346228239883E-2</v>
      </c>
      <c r="W504" s="30">
        <f t="shared" ca="1" si="70"/>
        <v>-2.5403277022735933E-2</v>
      </c>
      <c r="X504" s="30">
        <f t="shared" ca="1" si="68"/>
        <v>3.6939313984168901E-2</v>
      </c>
      <c r="Y504" s="31">
        <f t="shared" ca="1" si="69"/>
        <v>-3.4590163934426182E-2</v>
      </c>
    </row>
    <row r="505" spans="2:25" x14ac:dyDescent="0.45">
      <c r="B505" vm="4159">
        <f ca="1"/>
        <v>44894</v>
      </c>
      <c r="C505" vm="4160">
        <f ca="1"/>
        <v>240.33</v>
      </c>
      <c r="D505" vm="4159">
        <f ca="1"/>
        <v>44894</v>
      </c>
      <c r="E505" vm="3306">
        <f ca="1"/>
        <v>19.010000000000002</v>
      </c>
      <c r="F505" vm="4159">
        <f ca="1"/>
        <v>44894</v>
      </c>
      <c r="G505" vm="4161">
        <f ca="1"/>
        <v>209.06</v>
      </c>
      <c r="H505" vm="4159">
        <f ca="1"/>
        <v>44894</v>
      </c>
      <c r="I505" vm="4162">
        <f ca="1"/>
        <v>150.94</v>
      </c>
      <c r="J505" vm="4159">
        <f ca="1"/>
        <v>44894</v>
      </c>
      <c r="K505" vm="4163">
        <f ca="1"/>
        <v>25.75</v>
      </c>
      <c r="L505" vm="4159">
        <f ca="1"/>
        <v>44894</v>
      </c>
      <c r="M505" vm="4164">
        <f ca="1"/>
        <v>75.099999999999994</v>
      </c>
      <c r="N505" vm="4159">
        <f ca="1"/>
        <v>44894</v>
      </c>
      <c r="O505" vm="4165">
        <f ca="1"/>
        <v>247.84</v>
      </c>
      <c r="P505" vm="4159">
        <f ca="1"/>
        <v>44894</v>
      </c>
      <c r="Q505" vm="212">
        <f ca="1"/>
        <v>18.2</v>
      </c>
      <c r="R505" s="29">
        <f t="shared" ca="1" si="63"/>
        <v>-5.9149569821309502E-3</v>
      </c>
      <c r="S505" s="30">
        <f t="shared" ca="1" si="64"/>
        <v>1.0095642933050014E-2</v>
      </c>
      <c r="T505" s="30">
        <f t="shared" ca="1" si="65"/>
        <v>-1.0413708226829447E-2</v>
      </c>
      <c r="U505" s="30">
        <f t="shared" ca="1" si="66"/>
        <v>-8.9297439264610212E-3</v>
      </c>
      <c r="V505" s="30">
        <f t="shared" ca="1" si="67"/>
        <v>1.0596546310832008E-2</v>
      </c>
      <c r="W505" s="30">
        <f t="shared" ca="1" si="70"/>
        <v>-2.1243320735045087E-2</v>
      </c>
      <c r="X505" s="30">
        <f t="shared" ca="1" si="68"/>
        <v>-1.4631043256997482E-2</v>
      </c>
      <c r="Y505" s="31">
        <f t="shared" ca="1" si="69"/>
        <v>3.0169242089771758E-2</v>
      </c>
    </row>
    <row r="506" spans="2:25" x14ac:dyDescent="0.45">
      <c r="B506" vm="4166">
        <f ca="1"/>
        <v>44895</v>
      </c>
      <c r="C506" vm="4167">
        <f ca="1"/>
        <v>255.14</v>
      </c>
      <c r="D506" vm="4166">
        <f ca="1"/>
        <v>44895</v>
      </c>
      <c r="E506" vm="3445">
        <f ca="1"/>
        <v>19.28</v>
      </c>
      <c r="F506" vm="4166">
        <f ca="1"/>
        <v>44895</v>
      </c>
      <c r="G506" vm="4168">
        <f ca="1"/>
        <v>217</v>
      </c>
      <c r="H506" vm="4166">
        <f ca="1"/>
        <v>44895</v>
      </c>
      <c r="I506" vm="4169">
        <f ca="1"/>
        <v>154.97999999999999</v>
      </c>
      <c r="J506" vm="4166">
        <f ca="1"/>
        <v>44895</v>
      </c>
      <c r="K506" vm="4170">
        <f ca="1"/>
        <v>26.29</v>
      </c>
      <c r="L506" vm="4166">
        <f ca="1"/>
        <v>44895</v>
      </c>
      <c r="M506" vm="4171">
        <f ca="1"/>
        <v>79.42</v>
      </c>
      <c r="N506" vm="4166">
        <f ca="1"/>
        <v>44895</v>
      </c>
      <c r="O506" vm="4172">
        <f ca="1"/>
        <v>238.72</v>
      </c>
      <c r="P506" vm="4166">
        <f ca="1"/>
        <v>44895</v>
      </c>
      <c r="Q506" vm="4173">
        <f ca="1"/>
        <v>19.809000000000001</v>
      </c>
      <c r="R506" s="29">
        <f t="shared" ca="1" si="63"/>
        <v>6.1623600882120308E-2</v>
      </c>
      <c r="S506" s="30">
        <f t="shared" ca="1" si="64"/>
        <v>1.4203051025775884E-2</v>
      </c>
      <c r="T506" s="30">
        <f t="shared" ca="1" si="65"/>
        <v>3.7979527408399494E-2</v>
      </c>
      <c r="U506" s="30">
        <f t="shared" ca="1" si="66"/>
        <v>2.6765602226050032E-2</v>
      </c>
      <c r="V506" s="30">
        <f t="shared" ca="1" si="67"/>
        <v>2.0970873786407735E-2</v>
      </c>
      <c r="W506" s="30">
        <f t="shared" ca="1" si="70"/>
        <v>5.7523302263648574E-2</v>
      </c>
      <c r="X506" s="30">
        <f t="shared" ca="1" si="68"/>
        <v>-3.679793415106522E-2</v>
      </c>
      <c r="Y506" s="31">
        <f t="shared" ca="1" si="69"/>
        <v>8.8406593406593501E-2</v>
      </c>
    </row>
    <row r="507" spans="2:25" x14ac:dyDescent="0.45">
      <c r="B507" vm="4174">
        <f ca="1"/>
        <v>44896</v>
      </c>
      <c r="C507" vm="4175">
        <f ca="1"/>
        <v>254.69</v>
      </c>
      <c r="D507" vm="4174">
        <f ca="1"/>
        <v>44896</v>
      </c>
      <c r="E507" vm="4176">
        <f ca="1"/>
        <v>19.190000000000001</v>
      </c>
      <c r="F507" vm="4174">
        <f ca="1"/>
        <v>44896</v>
      </c>
      <c r="G507" vm="4168">
        <f ca="1"/>
        <v>217</v>
      </c>
      <c r="H507" vm="4174">
        <f ca="1"/>
        <v>44896</v>
      </c>
      <c r="I507" vm="4177">
        <f ca="1"/>
        <v>156.12</v>
      </c>
      <c r="J507" vm="4174">
        <f ca="1"/>
        <v>44896</v>
      </c>
      <c r="K507" vm="4178">
        <f ca="1"/>
        <v>26.52</v>
      </c>
      <c r="L507" vm="4174">
        <f ca="1"/>
        <v>44896</v>
      </c>
      <c r="M507" vm="4108">
        <f ca="1"/>
        <v>79.45</v>
      </c>
      <c r="N507" vm="4174">
        <f ca="1"/>
        <v>44896</v>
      </c>
      <c r="O507" vm="1568">
        <f ca="1"/>
        <v>234.24</v>
      </c>
      <c r="P507" vm="4174">
        <f ca="1"/>
        <v>44896</v>
      </c>
      <c r="Q507" vm="4179">
        <f ca="1"/>
        <v>19.898</v>
      </c>
      <c r="R507" s="29">
        <f t="shared" ca="1" si="63"/>
        <v>-1.7637375558516449E-3</v>
      </c>
      <c r="S507" s="30">
        <f t="shared" ca="1" si="64"/>
        <v>-4.6680497925311124E-3</v>
      </c>
      <c r="T507" s="30">
        <f t="shared" ca="1" si="65"/>
        <v>0</v>
      </c>
      <c r="U507" s="30">
        <f t="shared" ca="1" si="66"/>
        <v>7.3557878435928179E-3</v>
      </c>
      <c r="V507" s="30">
        <f t="shared" ca="1" si="67"/>
        <v>8.7485736021301035E-3</v>
      </c>
      <c r="W507" s="30">
        <f t="shared" ca="1" si="70"/>
        <v>3.7773860488543359E-4</v>
      </c>
      <c r="X507" s="30">
        <f t="shared" ca="1" si="68"/>
        <v>-1.8766756032171539E-2</v>
      </c>
      <c r="Y507" s="31">
        <f t="shared" ca="1" si="69"/>
        <v>4.4929072643747096E-3</v>
      </c>
    </row>
    <row r="508" spans="2:25" x14ac:dyDescent="0.45">
      <c r="B508" vm="4180">
        <f ca="1"/>
        <v>44897</v>
      </c>
      <c r="C508" vm="4181">
        <f ca="1"/>
        <v>255.02</v>
      </c>
      <c r="D508" vm="4180">
        <f ca="1"/>
        <v>44897</v>
      </c>
      <c r="E508" vm="4091">
        <f ca="1"/>
        <v>19.02</v>
      </c>
      <c r="F508" vm="4180">
        <f ca="1"/>
        <v>44897</v>
      </c>
      <c r="G508" vm="4182">
        <f ca="1"/>
        <v>217.66</v>
      </c>
      <c r="H508" vm="4180">
        <f ca="1"/>
        <v>44897</v>
      </c>
      <c r="I508" vm="4183">
        <f ca="1"/>
        <v>155.66999999999999</v>
      </c>
      <c r="J508" vm="4180">
        <f ca="1"/>
        <v>44897</v>
      </c>
      <c r="K508" vm="4184">
        <f ca="1"/>
        <v>27.04</v>
      </c>
      <c r="L508" vm="4180">
        <f ca="1"/>
        <v>44897</v>
      </c>
      <c r="M508" vm="4185">
        <f ca="1"/>
        <v>80.31</v>
      </c>
      <c r="N508" vm="4180">
        <f ca="1"/>
        <v>44897</v>
      </c>
      <c r="O508" vm="4186">
        <f ca="1"/>
        <v>230.08</v>
      </c>
      <c r="P508" vm="4180">
        <f ca="1"/>
        <v>44897</v>
      </c>
      <c r="Q508" vm="4187">
        <f ca="1"/>
        <v>20.693999999999999</v>
      </c>
      <c r="R508" s="29">
        <f t="shared" ca="1" si="63"/>
        <v>1.2956928030154796E-3</v>
      </c>
      <c r="S508" s="30">
        <f t="shared" ca="1" si="64"/>
        <v>-8.8587806149036837E-3</v>
      </c>
      <c r="T508" s="30">
        <f t="shared" ca="1" si="65"/>
        <v>3.0414746543778646E-3</v>
      </c>
      <c r="U508" s="30">
        <f t="shared" ca="1" si="66"/>
        <v>-2.8823981552652898E-3</v>
      </c>
      <c r="V508" s="30">
        <f t="shared" ca="1" si="67"/>
        <v>1.9607843137254888E-2</v>
      </c>
      <c r="W508" s="30">
        <f t="shared" ca="1" si="70"/>
        <v>1.0824417872876016E-2</v>
      </c>
      <c r="X508" s="30">
        <f t="shared" ca="1" si="68"/>
        <v>-1.775956284153004E-2</v>
      </c>
      <c r="Y508" s="31">
        <f t="shared" ca="1" si="69"/>
        <v>4.0004020504573294E-2</v>
      </c>
    </row>
    <row r="509" spans="2:25" x14ac:dyDescent="0.45">
      <c r="B509" vm="4188">
        <f ca="1"/>
        <v>44900</v>
      </c>
      <c r="C509" vm="4189">
        <f ca="1"/>
        <v>250.2</v>
      </c>
      <c r="D509" vm="4188">
        <f ca="1"/>
        <v>44900</v>
      </c>
      <c r="E509" vm="543">
        <f ca="1"/>
        <v>18.75</v>
      </c>
      <c r="F509" vm="4188">
        <f ca="1"/>
        <v>44900</v>
      </c>
      <c r="G509" vm="4190">
        <f ca="1"/>
        <v>213.68</v>
      </c>
      <c r="H509" vm="4188">
        <f ca="1"/>
        <v>44900</v>
      </c>
      <c r="I509" vm="4191">
        <f ca="1"/>
        <v>152.69999999999999</v>
      </c>
      <c r="J509" vm="4188">
        <f ca="1"/>
        <v>44900</v>
      </c>
      <c r="K509" vm="4192">
        <f ca="1"/>
        <v>26.27</v>
      </c>
      <c r="L509" vm="4188">
        <f ca="1"/>
        <v>44900</v>
      </c>
      <c r="M509" vm="4193">
        <f ca="1"/>
        <v>78.31</v>
      </c>
      <c r="N509" vm="4188">
        <f ca="1"/>
        <v>44900</v>
      </c>
      <c r="O509" vm="1144">
        <f ca="1"/>
        <v>234.08</v>
      </c>
      <c r="P509" vm="4188">
        <f ca="1"/>
        <v>44900</v>
      </c>
      <c r="Q509" vm="4194">
        <f ca="1"/>
        <v>19.567</v>
      </c>
      <c r="R509" s="29">
        <f t="shared" ca="1" si="63"/>
        <v>-1.8900478393851547E-2</v>
      </c>
      <c r="S509" s="30">
        <f t="shared" ca="1" si="64"/>
        <v>-1.4195583596214489E-2</v>
      </c>
      <c r="T509" s="30">
        <f t="shared" ca="1" si="65"/>
        <v>-1.8285399246531241E-2</v>
      </c>
      <c r="U509" s="30">
        <f t="shared" ca="1" si="66"/>
        <v>-1.9078820582000378E-2</v>
      </c>
      <c r="V509" s="30">
        <f t="shared" ca="1" si="67"/>
        <v>-2.8476331360946731E-2</v>
      </c>
      <c r="W509" s="30">
        <f t="shared" ca="1" si="70"/>
        <v>-2.4903498941601293E-2</v>
      </c>
      <c r="X509" s="30">
        <f t="shared" ca="1" si="68"/>
        <v>1.7385257301808066E-2</v>
      </c>
      <c r="Y509" s="31">
        <f t="shared" ca="1" si="69"/>
        <v>-5.4460230018362761E-2</v>
      </c>
    </row>
    <row r="510" spans="2:25" x14ac:dyDescent="0.45">
      <c r="B510" vm="4195">
        <f ca="1"/>
        <v>44901</v>
      </c>
      <c r="C510" vm="4196">
        <f ca="1"/>
        <v>245.12</v>
      </c>
      <c r="D510" vm="4195">
        <f ca="1"/>
        <v>44901</v>
      </c>
      <c r="E510" vm="4197">
        <f ca="1"/>
        <v>19.170000000000002</v>
      </c>
      <c r="F510" vm="4195">
        <f ca="1"/>
        <v>44901</v>
      </c>
      <c r="G510" vm="4198">
        <f ca="1"/>
        <v>209.08</v>
      </c>
      <c r="H510" vm="4195">
        <f ca="1"/>
        <v>44901</v>
      </c>
      <c r="I510" vm="4199">
        <f ca="1"/>
        <v>151.35</v>
      </c>
      <c r="J510" vm="4195">
        <f ca="1"/>
        <v>44901</v>
      </c>
      <c r="K510" vm="4200">
        <f ca="1"/>
        <v>27.2</v>
      </c>
      <c r="L510" vm="4195">
        <f ca="1"/>
        <v>44901</v>
      </c>
      <c r="M510" vm="4201">
        <f ca="1"/>
        <v>75.16</v>
      </c>
      <c r="N510" vm="4195">
        <f ca="1"/>
        <v>44901</v>
      </c>
      <c r="O510" vm="4202">
        <f ca="1"/>
        <v>241.12</v>
      </c>
      <c r="P510" vm="4195">
        <f ca="1"/>
        <v>44901</v>
      </c>
      <c r="Q510" vm="4203">
        <f ca="1"/>
        <v>19.552</v>
      </c>
      <c r="R510" s="29">
        <f t="shared" ca="1" si="63"/>
        <v>-2.0303756994404412E-2</v>
      </c>
      <c r="S510" s="30">
        <f t="shared" ca="1" si="64"/>
        <v>2.240000000000009E-2</v>
      </c>
      <c r="T510" s="30">
        <f t="shared" ca="1" si="65"/>
        <v>-2.1527517783601621E-2</v>
      </c>
      <c r="U510" s="30">
        <f t="shared" ca="1" si="66"/>
        <v>-8.8408644400785486E-3</v>
      </c>
      <c r="V510" s="30">
        <f t="shared" ca="1" si="67"/>
        <v>3.5401598781880463E-2</v>
      </c>
      <c r="W510" s="30">
        <f t="shared" ca="1" si="70"/>
        <v>-4.0224747797216263E-2</v>
      </c>
      <c r="X510" s="30">
        <f t="shared" ca="1" si="68"/>
        <v>3.0075187969924776E-2</v>
      </c>
      <c r="Y510" s="31">
        <f t="shared" ca="1" si="69"/>
        <v>-7.6659682117854392E-4</v>
      </c>
    </row>
    <row r="511" spans="2:25" x14ac:dyDescent="0.45">
      <c r="B511" vm="4204">
        <f ca="1"/>
        <v>44902</v>
      </c>
      <c r="C511" vm="4205">
        <f ca="1"/>
        <v>244.37</v>
      </c>
      <c r="D511" vm="4204">
        <f ca="1"/>
        <v>44902</v>
      </c>
      <c r="E511" vm="2975">
        <f ca="1"/>
        <v>19.3</v>
      </c>
      <c r="F511" vm="4204">
        <f ca="1"/>
        <v>44902</v>
      </c>
      <c r="G511" vm="4206">
        <f ca="1"/>
        <v>207.81</v>
      </c>
      <c r="H511" vm="4204">
        <f ca="1"/>
        <v>44902</v>
      </c>
      <c r="I511" vm="4207">
        <f ca="1"/>
        <v>153.72999999999999</v>
      </c>
      <c r="J511" vm="4204">
        <f ca="1"/>
        <v>44902</v>
      </c>
      <c r="K511" vm="4208">
        <f ca="1"/>
        <v>26.65</v>
      </c>
      <c r="L511" vm="4204">
        <f ca="1"/>
        <v>44902</v>
      </c>
      <c r="M511" vm="4209">
        <f ca="1"/>
        <v>75.72</v>
      </c>
      <c r="N511" vm="4204">
        <f ca="1"/>
        <v>44902</v>
      </c>
      <c r="O511" vm="4210">
        <f ca="1"/>
        <v>244.64</v>
      </c>
      <c r="P511" vm="4204">
        <f ca="1"/>
        <v>44902</v>
      </c>
      <c r="Q511" vm="4211">
        <f ca="1"/>
        <v>19.349</v>
      </c>
      <c r="R511" s="29">
        <f t="shared" ca="1" si="63"/>
        <v>-3.0597258485639688E-3</v>
      </c>
      <c r="S511" s="30">
        <f t="shared" ca="1" si="64"/>
        <v>6.7814293166405318E-3</v>
      </c>
      <c r="T511" s="30">
        <f t="shared" ca="1" si="65"/>
        <v>-6.0742299598240393E-3</v>
      </c>
      <c r="U511" s="30">
        <f t="shared" ca="1" si="66"/>
        <v>1.5725140403039285E-2</v>
      </c>
      <c r="V511" s="30">
        <f t="shared" ca="1" si="67"/>
        <v>-2.0220588235294143E-2</v>
      </c>
      <c r="W511" s="30">
        <f t="shared" ca="1" si="70"/>
        <v>7.4507716870676199E-3</v>
      </c>
      <c r="X511" s="30">
        <f t="shared" ca="1" si="68"/>
        <v>1.4598540145985326E-2</v>
      </c>
      <c r="Y511" s="31">
        <f t="shared" ca="1" si="69"/>
        <v>-1.0382569558101443E-2</v>
      </c>
    </row>
    <row r="512" spans="2:25" x14ac:dyDescent="0.45">
      <c r="B512" vm="4212">
        <f ca="1"/>
        <v>44903</v>
      </c>
      <c r="C512" vm="1068">
        <f ca="1"/>
        <v>247.4</v>
      </c>
      <c r="D512" vm="4212">
        <f ca="1"/>
        <v>44903</v>
      </c>
      <c r="E512" vm="3008">
        <f ca="1"/>
        <v>19.12</v>
      </c>
      <c r="F512" vm="4212">
        <f ca="1"/>
        <v>44903</v>
      </c>
      <c r="G512" vm="4213">
        <f ca="1"/>
        <v>209.1</v>
      </c>
      <c r="H512" vm="4212">
        <f ca="1"/>
        <v>44903</v>
      </c>
      <c r="I512" vm="4214">
        <f ca="1"/>
        <v>156.28</v>
      </c>
      <c r="J512" vm="4212">
        <f ca="1"/>
        <v>44903</v>
      </c>
      <c r="K512" vm="2018">
        <f ca="1"/>
        <v>26.11</v>
      </c>
      <c r="L512" vm="4212">
        <f ca="1"/>
        <v>44903</v>
      </c>
      <c r="M512" vm="4215">
        <f ca="1"/>
        <v>77.8</v>
      </c>
      <c r="N512" vm="4212">
        <f ca="1"/>
        <v>44903</v>
      </c>
      <c r="O512" vm="4216">
        <f ca="1"/>
        <v>239.68</v>
      </c>
      <c r="P512" vm="4212">
        <f ca="1"/>
        <v>44903</v>
      </c>
      <c r="Q512" vm="4217">
        <f ca="1"/>
        <v>20.257000000000001</v>
      </c>
      <c r="R512" s="29">
        <f t="shared" ca="1" si="63"/>
        <v>1.2399230674796419E-2</v>
      </c>
      <c r="S512" s="30">
        <f t="shared" ca="1" si="64"/>
        <v>-9.3264248704663065E-3</v>
      </c>
      <c r="T512" s="30">
        <f t="shared" ca="1" si="65"/>
        <v>6.2075934748086811E-3</v>
      </c>
      <c r="U512" s="30">
        <f t="shared" ca="1" si="66"/>
        <v>1.6587523580303205E-2</v>
      </c>
      <c r="V512" s="30">
        <f t="shared" ca="1" si="67"/>
        <v>-2.026266416510316E-2</v>
      </c>
      <c r="W512" s="30">
        <f t="shared" ca="1" si="70"/>
        <v>2.7469624933967225E-2</v>
      </c>
      <c r="X512" s="30">
        <f t="shared" ca="1" si="68"/>
        <v>-2.0274689339437459E-2</v>
      </c>
      <c r="Y512" s="31">
        <f t="shared" ca="1" si="69"/>
        <v>4.6927489792754212E-2</v>
      </c>
    </row>
    <row r="513" spans="2:25" x14ac:dyDescent="0.45">
      <c r="B513" vm="4218">
        <f ca="1"/>
        <v>44904</v>
      </c>
      <c r="C513" vm="4219">
        <f ca="1"/>
        <v>245.42</v>
      </c>
      <c r="D513" vm="4218">
        <f ca="1"/>
        <v>44904</v>
      </c>
      <c r="E513" vm="4138">
        <f ca="1"/>
        <v>19.09</v>
      </c>
      <c r="F513" vm="4218">
        <f ca="1"/>
        <v>44904</v>
      </c>
      <c r="G513" vm="157">
        <f ca="1"/>
        <v>208.7</v>
      </c>
      <c r="H513" vm="4218">
        <f ca="1"/>
        <v>44904</v>
      </c>
      <c r="I513" vm="4220">
        <f ca="1"/>
        <v>152.94999999999999</v>
      </c>
      <c r="J513" vm="4218">
        <f ca="1"/>
        <v>44904</v>
      </c>
      <c r="K513" vm="4221">
        <f ca="1"/>
        <v>25.41</v>
      </c>
      <c r="L513" vm="4218">
        <f ca="1"/>
        <v>44904</v>
      </c>
      <c r="M513" vm="4222">
        <f ca="1"/>
        <v>78.17</v>
      </c>
      <c r="N513" vm="4218">
        <f ca="1"/>
        <v>44904</v>
      </c>
      <c r="O513" vm="4223">
        <f ca="1"/>
        <v>244.8</v>
      </c>
      <c r="P513" vm="4218">
        <f ca="1"/>
        <v>44904</v>
      </c>
      <c r="Q513" vm="4224">
        <f ca="1"/>
        <v>20.324999999999999</v>
      </c>
      <c r="R513" s="29">
        <f t="shared" ca="1" si="63"/>
        <v>-8.0032336297494663E-3</v>
      </c>
      <c r="S513" s="30">
        <f t="shared" ca="1" si="64"/>
        <v>-1.5690376569038251E-3</v>
      </c>
      <c r="T513" s="30">
        <f t="shared" ca="1" si="65"/>
        <v>-1.9129603060736762E-3</v>
      </c>
      <c r="U513" s="30">
        <f t="shared" ca="1" si="66"/>
        <v>-2.1307908881494832E-2</v>
      </c>
      <c r="V513" s="30">
        <f t="shared" ca="1" si="67"/>
        <v>-2.6809651474530804E-2</v>
      </c>
      <c r="W513" s="30">
        <f t="shared" ca="1" si="70"/>
        <v>4.7557840616967171E-3</v>
      </c>
      <c r="X513" s="30">
        <f t="shared" ca="1" si="68"/>
        <v>2.1361815754339136E-2</v>
      </c>
      <c r="Y513" s="31">
        <f t="shared" ca="1" si="69"/>
        <v>3.3568642938242503E-3</v>
      </c>
    </row>
    <row r="514" spans="2:25" x14ac:dyDescent="0.45">
      <c r="B514" vm="4225">
        <f ca="1"/>
        <v>44907</v>
      </c>
      <c r="C514" vm="879">
        <f ca="1"/>
        <v>252.51</v>
      </c>
      <c r="D514" vm="4225">
        <f ca="1"/>
        <v>44907</v>
      </c>
      <c r="E514" vm="2975">
        <f ca="1"/>
        <v>19.3</v>
      </c>
      <c r="F514" vm="4225">
        <f ca="1"/>
        <v>44907</v>
      </c>
      <c r="G514" vm="4226">
        <f ca="1"/>
        <v>214.59</v>
      </c>
      <c r="H514" vm="4225">
        <f ca="1"/>
        <v>44907</v>
      </c>
      <c r="I514" vm="4227">
        <f ca="1"/>
        <v>155.33000000000001</v>
      </c>
      <c r="J514" vm="4225">
        <f ca="1"/>
        <v>44907</v>
      </c>
      <c r="K514" vm="4228">
        <f ca="1"/>
        <v>25.81</v>
      </c>
      <c r="L514" vm="4225">
        <f ca="1"/>
        <v>44907</v>
      </c>
      <c r="M514" vm="4229">
        <f ca="1"/>
        <v>79.73</v>
      </c>
      <c r="N514" vm="4225">
        <f ca="1"/>
        <v>44907</v>
      </c>
      <c r="O514" vm="4230">
        <f ca="1"/>
        <v>243.36</v>
      </c>
      <c r="P514" vm="4225">
        <f ca="1"/>
        <v>44907</v>
      </c>
      <c r="Q514" vm="4231">
        <f ca="1"/>
        <v>19.616</v>
      </c>
      <c r="R514" s="29">
        <f t="shared" ca="1" si="63"/>
        <v>2.8889251079781613E-2</v>
      </c>
      <c r="S514" s="30">
        <f t="shared" ca="1" si="64"/>
        <v>1.1000523834468352E-2</v>
      </c>
      <c r="T514" s="30">
        <f t="shared" ca="1" si="65"/>
        <v>2.8222328701485458E-2</v>
      </c>
      <c r="U514" s="30">
        <f t="shared" ca="1" si="66"/>
        <v>1.5560640732265603E-2</v>
      </c>
      <c r="V514" s="30">
        <f t="shared" ca="1" si="67"/>
        <v>1.5741833923652051E-2</v>
      </c>
      <c r="W514" s="30">
        <f t="shared" ca="1" si="70"/>
        <v>1.9956505053089449E-2</v>
      </c>
      <c r="X514" s="30">
        <f t="shared" ca="1" si="68"/>
        <v>-5.882352941176461E-3</v>
      </c>
      <c r="Y514" s="31">
        <f t="shared" ca="1" si="69"/>
        <v>-3.4883148831488298E-2</v>
      </c>
    </row>
    <row r="515" spans="2:25" x14ac:dyDescent="0.45">
      <c r="B515" vm="4232">
        <f ca="1"/>
        <v>44908</v>
      </c>
      <c r="C515" vm="4233">
        <f ca="1"/>
        <v>256.92</v>
      </c>
      <c r="D515" vm="4232">
        <f ca="1"/>
        <v>44908</v>
      </c>
      <c r="E515" vm="3008">
        <f ca="1"/>
        <v>19.12</v>
      </c>
      <c r="F515" vm="4232">
        <f ca="1"/>
        <v>44908</v>
      </c>
      <c r="G515" vm="4234">
        <f ca="1"/>
        <v>213.04</v>
      </c>
      <c r="H515" vm="4232">
        <f ca="1"/>
        <v>44908</v>
      </c>
      <c r="I515" vm="4235">
        <f ca="1"/>
        <v>157.66</v>
      </c>
      <c r="J515" vm="4232">
        <f ca="1"/>
        <v>44908</v>
      </c>
      <c r="K515" vm="4236">
        <f ca="1"/>
        <v>25.77</v>
      </c>
      <c r="L515" vm="4232">
        <f ca="1"/>
        <v>44908</v>
      </c>
      <c r="M515" vm="4237">
        <f ca="1"/>
        <v>80.959999999999994</v>
      </c>
      <c r="N515" vm="4232">
        <f ca="1"/>
        <v>44908</v>
      </c>
      <c r="O515" vm="4238">
        <f ca="1"/>
        <v>233.28</v>
      </c>
      <c r="P515" vm="4232">
        <f ca="1"/>
        <v>44908</v>
      </c>
      <c r="Q515" vm="4239">
        <f ca="1"/>
        <v>20.181000000000001</v>
      </c>
      <c r="R515" s="29">
        <f t="shared" ca="1" si="63"/>
        <v>1.7464654865153955E-2</v>
      </c>
      <c r="S515" s="30">
        <f t="shared" ca="1" si="64"/>
        <v>-9.3264248704663065E-3</v>
      </c>
      <c r="T515" s="30">
        <f t="shared" ca="1" si="65"/>
        <v>-7.223076564611638E-3</v>
      </c>
      <c r="U515" s="30">
        <f t="shared" ca="1" si="66"/>
        <v>1.5000321895319538E-2</v>
      </c>
      <c r="V515" s="30">
        <f t="shared" ca="1" si="67"/>
        <v>-1.5497869043006257E-3</v>
      </c>
      <c r="W515" s="30">
        <f t="shared" ca="1" si="70"/>
        <v>1.5427066348927501E-2</v>
      </c>
      <c r="X515" s="30">
        <f t="shared" ca="1" si="68"/>
        <v>-4.1420118343195318E-2</v>
      </c>
      <c r="Y515" s="31">
        <f t="shared" ca="1" si="69"/>
        <v>2.8803017944535138E-2</v>
      </c>
    </row>
    <row r="516" spans="2:25" x14ac:dyDescent="0.45">
      <c r="B516" vm="4240">
        <f ca="1"/>
        <v>44909</v>
      </c>
      <c r="C516" vm="4241">
        <f ca="1"/>
        <v>257.22000000000003</v>
      </c>
      <c r="D516" vm="4240">
        <f ca="1"/>
        <v>44909</v>
      </c>
      <c r="E516" vm="4242">
        <f ca="1"/>
        <v>18.899999999999999</v>
      </c>
      <c r="F516" vm="4240">
        <f ca="1"/>
        <v>44909</v>
      </c>
      <c r="G516" vm="3556">
        <f ca="1"/>
        <v>213.32</v>
      </c>
      <c r="H516" vm="4240">
        <f ca="1"/>
        <v>44909</v>
      </c>
      <c r="I516" vm="4243">
        <f ca="1"/>
        <v>154.81</v>
      </c>
      <c r="J516" vm="4240">
        <f ca="1"/>
        <v>44909</v>
      </c>
      <c r="K516" vm="4244">
        <f ca="1"/>
        <v>24.56</v>
      </c>
      <c r="L516" vm="4240">
        <f ca="1"/>
        <v>44909</v>
      </c>
      <c r="M516" vm="4245">
        <f ca="1"/>
        <v>79.319999999999993</v>
      </c>
      <c r="N516" vm="4240">
        <f ca="1"/>
        <v>44909</v>
      </c>
      <c r="O516" vm="4246">
        <f ca="1"/>
        <v>225.28</v>
      </c>
      <c r="P516" vm="4240">
        <f ca="1"/>
        <v>44909</v>
      </c>
      <c r="Q516" vm="4247">
        <f ca="1"/>
        <v>20.273</v>
      </c>
      <c r="R516" s="29">
        <f t="shared" ca="1" si="63"/>
        <v>1.1676786548342338E-3</v>
      </c>
      <c r="S516" s="30">
        <f t="shared" ca="1" si="64"/>
        <v>-1.150627615062774E-2</v>
      </c>
      <c r="T516" s="30">
        <f t="shared" ca="1" si="65"/>
        <v>1.3143071723620032E-3</v>
      </c>
      <c r="U516" s="30">
        <f t="shared" ca="1" si="66"/>
        <v>-1.8076874286439136E-2</v>
      </c>
      <c r="V516" s="30">
        <f t="shared" ca="1" si="67"/>
        <v>-4.6953822273962005E-2</v>
      </c>
      <c r="W516" s="30">
        <f t="shared" ca="1" si="70"/>
        <v>-2.0256916996047439E-2</v>
      </c>
      <c r="X516" s="30">
        <f t="shared" ca="1" si="68"/>
        <v>-3.4293552812071332E-2</v>
      </c>
      <c r="Y516" s="31">
        <f t="shared" ca="1" si="69"/>
        <v>4.5587433724790022E-3</v>
      </c>
    </row>
    <row r="517" spans="2:25" x14ac:dyDescent="0.45">
      <c r="B517" vm="4248">
        <f ca="1"/>
        <v>44910</v>
      </c>
      <c r="C517" vm="4249">
        <f ca="1"/>
        <v>249.01</v>
      </c>
      <c r="D517" vm="4248">
        <f ca="1"/>
        <v>44910</v>
      </c>
      <c r="E517" vm="4250">
        <f ca="1"/>
        <v>18.47</v>
      </c>
      <c r="F517" vm="4248">
        <f ca="1"/>
        <v>44910</v>
      </c>
      <c r="G517" vm="4251">
        <f ca="1"/>
        <v>207.91</v>
      </c>
      <c r="H517" vm="4248">
        <f ca="1"/>
        <v>44910</v>
      </c>
      <c r="I517" vm="4252">
        <f ca="1"/>
        <v>150.86000000000001</v>
      </c>
      <c r="J517" vm="4248">
        <f ca="1"/>
        <v>44910</v>
      </c>
      <c r="K517" vm="1223">
        <f ca="1"/>
        <v>23.64</v>
      </c>
      <c r="L517" vm="4248">
        <f ca="1"/>
        <v>44910</v>
      </c>
      <c r="M517" vm="4253">
        <f ca="1"/>
        <v>72.36</v>
      </c>
      <c r="N517" vm="4248">
        <f ca="1"/>
        <v>44910</v>
      </c>
      <c r="O517" vm="4254">
        <f ca="1"/>
        <v>239.36</v>
      </c>
      <c r="P517" vm="4248">
        <f ca="1"/>
        <v>44910</v>
      </c>
      <c r="Q517" vm="4255">
        <f ca="1"/>
        <v>18.8</v>
      </c>
      <c r="R517" s="29">
        <f t="shared" ref="R517:R580" ca="1" si="71">(C517-C516)/C516</f>
        <v>-3.191820231708279E-2</v>
      </c>
      <c r="S517" s="30">
        <f t="shared" ref="S517:S580" ca="1" si="72">(E517-E516)/E516</f>
        <v>-2.2751322751322738E-2</v>
      </c>
      <c r="T517" s="30">
        <f t="shared" ref="T517:T580" ca="1" si="73">(G517-G516)/G516</f>
        <v>-2.5360960060003736E-2</v>
      </c>
      <c r="U517" s="30">
        <f t="shared" ref="U517:U580" ca="1" si="74">(I517-I516)/I516</f>
        <v>-2.5515147600284147E-2</v>
      </c>
      <c r="V517" s="30">
        <f t="shared" ref="V517:V580" ca="1" si="75">(K517-K516)/K516</f>
        <v>-3.7459283387622076E-2</v>
      </c>
      <c r="W517" s="30">
        <f t="shared" ca="1" si="70"/>
        <v>-8.7745839636913694E-2</v>
      </c>
      <c r="X517" s="30">
        <f t="shared" ref="X517:X580" ca="1" si="76">(O517-O516)/O516</f>
        <v>6.2500000000000056E-2</v>
      </c>
      <c r="Y517" s="31">
        <f t="shared" ref="Y517:Y580" ca="1" si="77">(Q517-Q516)/Q516</f>
        <v>-7.265821536033143E-2</v>
      </c>
    </row>
    <row r="518" spans="2:25" x14ac:dyDescent="0.45">
      <c r="B518" vm="4256">
        <f ca="1"/>
        <v>44911</v>
      </c>
      <c r="C518" vm="4257">
        <f ca="1"/>
        <v>244.69</v>
      </c>
      <c r="D518" vm="4256">
        <f ca="1"/>
        <v>44911</v>
      </c>
      <c r="E518" vm="4258">
        <f ca="1"/>
        <v>18.489999999999998</v>
      </c>
      <c r="F518" vm="4256">
        <f ca="1"/>
        <v>44911</v>
      </c>
      <c r="G518" vm="410">
        <f ca="1"/>
        <v>206.89</v>
      </c>
      <c r="H518" vm="4256">
        <f ca="1"/>
        <v>44911</v>
      </c>
      <c r="I518" vm="1356">
        <f ca="1"/>
        <v>149.30000000000001</v>
      </c>
      <c r="J518" vm="4256">
        <f ca="1"/>
        <v>44911</v>
      </c>
      <c r="K518" vm="720">
        <f ca="1"/>
        <v>25</v>
      </c>
      <c r="L518" vm="4256">
        <f ca="1"/>
        <v>44911</v>
      </c>
      <c r="M518" vm="4259">
        <f ca="1"/>
        <v>74.739999999999995</v>
      </c>
      <c r="N518" vm="4256">
        <f ca="1"/>
        <v>44911</v>
      </c>
      <c r="O518" vm="4260">
        <f ca="1"/>
        <v>240.16</v>
      </c>
      <c r="P518" vm="4256">
        <f ca="1"/>
        <v>44911</v>
      </c>
      <c r="Q518" vm="4261">
        <f ca="1"/>
        <v>17.375</v>
      </c>
      <c r="R518" s="29">
        <f t="shared" ca="1" si="71"/>
        <v>-1.7348700855387308E-2</v>
      </c>
      <c r="S518" s="30">
        <f t="shared" ca="1" si="72"/>
        <v>1.0828370330265066E-3</v>
      </c>
      <c r="T518" s="30">
        <f t="shared" ca="1" si="73"/>
        <v>-4.9059689288635001E-3</v>
      </c>
      <c r="U518" s="30">
        <f t="shared" ca="1" si="74"/>
        <v>-1.0340713244067361E-2</v>
      </c>
      <c r="V518" s="30">
        <f t="shared" ca="1" si="75"/>
        <v>5.7529610829103191E-2</v>
      </c>
      <c r="W518" s="30">
        <f t="shared" ref="W518:W581" ca="1" si="78">(M518-M517)/M517</f>
        <v>3.28911000552791E-2</v>
      </c>
      <c r="X518" s="30">
        <f t="shared" ca="1" si="76"/>
        <v>3.3422459893047412E-3</v>
      </c>
      <c r="Y518" s="31">
        <f t="shared" ca="1" si="77"/>
        <v>-7.5797872340425565E-2</v>
      </c>
    </row>
    <row r="519" spans="2:25" x14ac:dyDescent="0.45">
      <c r="B519" vm="4262">
        <f ca="1"/>
        <v>44914</v>
      </c>
      <c r="C519" vm="4263">
        <f ca="1"/>
        <v>240.45</v>
      </c>
      <c r="D519" vm="4262">
        <f ca="1"/>
        <v>44914</v>
      </c>
      <c r="E519" vm="4264">
        <f ca="1"/>
        <v>17.86</v>
      </c>
      <c r="F519" vm="4262">
        <f ca="1"/>
        <v>44914</v>
      </c>
      <c r="G519" vm="3403">
        <f ca="1"/>
        <v>204.82</v>
      </c>
      <c r="H519" vm="4262">
        <f ca="1"/>
        <v>44914</v>
      </c>
      <c r="I519" vm="4265">
        <f ca="1"/>
        <v>146.94999999999999</v>
      </c>
      <c r="J519" vm="4262">
        <f ca="1"/>
        <v>44914</v>
      </c>
      <c r="K519" vm="2370">
        <f ca="1"/>
        <v>24.69</v>
      </c>
      <c r="L519" vm="4262">
        <f ca="1"/>
        <v>44914</v>
      </c>
      <c r="M519" vm="4266">
        <f ca="1"/>
        <v>73.260000000000005</v>
      </c>
      <c r="N519" vm="4262">
        <f ca="1"/>
        <v>44914</v>
      </c>
      <c r="O519" vm="4267">
        <f ca="1"/>
        <v>234.4</v>
      </c>
      <c r="P519" vm="4262">
        <f ca="1"/>
        <v>44914</v>
      </c>
      <c r="Q519" vm="4268">
        <f ca="1"/>
        <v>17.021000000000001</v>
      </c>
      <c r="R519" s="29">
        <f t="shared" ca="1" si="71"/>
        <v>-1.7328047733867379E-2</v>
      </c>
      <c r="S519" s="30">
        <f t="shared" ca="1" si="72"/>
        <v>-3.4072471606273608E-2</v>
      </c>
      <c r="T519" s="30">
        <f t="shared" ca="1" si="73"/>
        <v>-1.0005316835033078E-2</v>
      </c>
      <c r="U519" s="30">
        <f t="shared" ca="1" si="74"/>
        <v>-1.5740120562625737E-2</v>
      </c>
      <c r="V519" s="30">
        <f t="shared" ca="1" si="75"/>
        <v>-1.2399999999999949E-2</v>
      </c>
      <c r="W519" s="30">
        <f t="shared" ca="1" si="78"/>
        <v>-1.9801980198019667E-2</v>
      </c>
      <c r="X519" s="30">
        <f t="shared" ca="1" si="76"/>
        <v>-2.3984010659560257E-2</v>
      </c>
      <c r="Y519" s="31">
        <f t="shared" ca="1" si="77"/>
        <v>-2.0374100719424415E-2</v>
      </c>
    </row>
    <row r="520" spans="2:25" x14ac:dyDescent="0.45">
      <c r="B520" vm="4269">
        <f ca="1"/>
        <v>44915</v>
      </c>
      <c r="C520" vm="4270">
        <f ca="1"/>
        <v>241.8</v>
      </c>
      <c r="D520" vm="4269">
        <f ca="1"/>
        <v>44915</v>
      </c>
      <c r="E520" vm="3412">
        <f ca="1"/>
        <v>18.07</v>
      </c>
      <c r="F520" vm="4269">
        <f ca="1"/>
        <v>44915</v>
      </c>
      <c r="G520" vm="4271">
        <f ca="1"/>
        <v>205.36</v>
      </c>
      <c r="H520" vm="4269">
        <f ca="1"/>
        <v>44915</v>
      </c>
      <c r="I520" vm="1230">
        <f ca="1"/>
        <v>147.93</v>
      </c>
      <c r="J520" vm="4269">
        <f ca="1"/>
        <v>44915</v>
      </c>
      <c r="K520" vm="1703">
        <f ca="1"/>
        <v>25.39</v>
      </c>
      <c r="L520" vm="4269">
        <f ca="1"/>
        <v>44915</v>
      </c>
      <c r="M520" vm="4272">
        <f ca="1"/>
        <v>76.510000000000005</v>
      </c>
      <c r="N520" vm="4269">
        <f ca="1"/>
        <v>44915</v>
      </c>
      <c r="O520" vm="4273">
        <f ca="1"/>
        <v>232.64</v>
      </c>
      <c r="P520" vm="4269">
        <f ca="1"/>
        <v>44915</v>
      </c>
      <c r="Q520" vm="4274">
        <f ca="1"/>
        <v>16.885000000000002</v>
      </c>
      <c r="R520" s="29">
        <f t="shared" ca="1" si="71"/>
        <v>5.6144728633812551E-3</v>
      </c>
      <c r="S520" s="30">
        <f t="shared" ca="1" si="72"/>
        <v>1.1758118701007887E-2</v>
      </c>
      <c r="T520" s="30">
        <f t="shared" ca="1" si="73"/>
        <v>2.6364612830779245E-3</v>
      </c>
      <c r="U520" s="30">
        <f t="shared" ca="1" si="74"/>
        <v>6.6689350119089365E-3</v>
      </c>
      <c r="V520" s="30">
        <f t="shared" ca="1" si="75"/>
        <v>2.8351559335763436E-2</v>
      </c>
      <c r="W520" s="30">
        <f t="shared" ca="1" si="78"/>
        <v>4.4362544362544359E-2</v>
      </c>
      <c r="X520" s="30">
        <f t="shared" ca="1" si="76"/>
        <v>-7.5085324232082732E-3</v>
      </c>
      <c r="Y520" s="31">
        <f t="shared" ca="1" si="77"/>
        <v>-7.990129839609849E-3</v>
      </c>
    </row>
    <row r="521" spans="2:25" x14ac:dyDescent="0.45">
      <c r="B521" vm="4275">
        <f ca="1"/>
        <v>44916</v>
      </c>
      <c r="C521" vm="4276">
        <f ca="1"/>
        <v>244.43</v>
      </c>
      <c r="D521" vm="4275">
        <f ca="1"/>
        <v>44916</v>
      </c>
      <c r="E521" vm="370">
        <f ca="1"/>
        <v>18.149999999999999</v>
      </c>
      <c r="F521" vm="4275">
        <f ca="1"/>
        <v>44916</v>
      </c>
      <c r="G521" vm="4277">
        <f ca="1"/>
        <v>206.81</v>
      </c>
      <c r="H521" vm="4275">
        <f ca="1"/>
        <v>44916</v>
      </c>
      <c r="I521" vm="4278">
        <f ca="1"/>
        <v>150.09</v>
      </c>
      <c r="J521" vm="4275">
        <f ca="1"/>
        <v>44916</v>
      </c>
      <c r="K521" vm="4279">
        <f ca="1"/>
        <v>26.73</v>
      </c>
      <c r="L521" vm="4275">
        <f ca="1"/>
        <v>44916</v>
      </c>
      <c r="M521" vm="4280">
        <f ca="1"/>
        <v>77.489999999999995</v>
      </c>
      <c r="N521" vm="4275">
        <f ca="1"/>
        <v>44916</v>
      </c>
      <c r="O521" vm="4281">
        <f ca="1"/>
        <v>223.84</v>
      </c>
      <c r="P521" vm="4275">
        <f ca="1"/>
        <v>44916</v>
      </c>
      <c r="Q521" vm="4282">
        <f ca="1"/>
        <v>16.882000000000001</v>
      </c>
      <c r="R521" s="29">
        <f t="shared" ca="1" si="71"/>
        <v>1.0876757650951179E-2</v>
      </c>
      <c r="S521" s="30">
        <f t="shared" ca="1" si="72"/>
        <v>4.4272274488100878E-3</v>
      </c>
      <c r="T521" s="30">
        <f t="shared" ca="1" si="73"/>
        <v>7.0607713283988537E-3</v>
      </c>
      <c r="U521" s="30">
        <f t="shared" ca="1" si="74"/>
        <v>1.460150070979515E-2</v>
      </c>
      <c r="V521" s="30">
        <f t="shared" ca="1" si="75"/>
        <v>5.2776683733753438E-2</v>
      </c>
      <c r="W521" s="30">
        <f t="shared" ca="1" si="78"/>
        <v>1.2808783165599134E-2</v>
      </c>
      <c r="X521" s="30">
        <f t="shared" ca="1" si="76"/>
        <v>-3.7826685006877511E-2</v>
      </c>
      <c r="Y521" s="31">
        <f t="shared" ca="1" si="77"/>
        <v>-1.7767249037608016E-4</v>
      </c>
    </row>
    <row r="522" spans="2:25" x14ac:dyDescent="0.45">
      <c r="B522" vm="4283">
        <f ca="1"/>
        <v>44917</v>
      </c>
      <c r="C522" vm="4284">
        <f ca="1"/>
        <v>238.19</v>
      </c>
      <c r="D522" vm="4283">
        <f ca="1"/>
        <v>44917</v>
      </c>
      <c r="E522" vm="3539">
        <f ca="1"/>
        <v>18.27</v>
      </c>
      <c r="F522" vm="4283">
        <f ca="1"/>
        <v>44917</v>
      </c>
      <c r="G522" vm="2068">
        <f ca="1"/>
        <v>205.06</v>
      </c>
      <c r="H522" vm="4283">
        <f ca="1"/>
        <v>44917</v>
      </c>
      <c r="I522" vm="4285">
        <f ca="1"/>
        <v>149.01</v>
      </c>
      <c r="J522" vm="4283">
        <f ca="1"/>
        <v>44917</v>
      </c>
      <c r="K522" vm="4286">
        <f ca="1"/>
        <v>26.06</v>
      </c>
      <c r="L522" vm="4283">
        <f ca="1"/>
        <v>44917</v>
      </c>
      <c r="M522" vm="4287">
        <f ca="1"/>
        <v>77.959999999999994</v>
      </c>
      <c r="N522" vm="4283">
        <f ca="1"/>
        <v>44917</v>
      </c>
      <c r="O522" vm="4288">
        <f ca="1"/>
        <v>236</v>
      </c>
      <c r="P522" vm="4283">
        <f ca="1"/>
        <v>44917</v>
      </c>
      <c r="Q522" vm="4289">
        <f ca="1"/>
        <v>16.623000000000001</v>
      </c>
      <c r="R522" s="29">
        <f t="shared" ca="1" si="71"/>
        <v>-2.5528781246164582E-2</v>
      </c>
      <c r="S522" s="30">
        <f t="shared" ca="1" si="72"/>
        <v>6.6115702479339396E-3</v>
      </c>
      <c r="T522" s="30">
        <f t="shared" ca="1" si="73"/>
        <v>-8.4618732169624289E-3</v>
      </c>
      <c r="U522" s="30">
        <f t="shared" ca="1" si="74"/>
        <v>-7.1956825904458156E-3</v>
      </c>
      <c r="V522" s="30">
        <f t="shared" ca="1" si="75"/>
        <v>-2.5065469509914017E-2</v>
      </c>
      <c r="W522" s="30">
        <f t="shared" ca="1" si="78"/>
        <v>6.0652987482255633E-3</v>
      </c>
      <c r="X522" s="30">
        <f t="shared" ca="1" si="76"/>
        <v>5.432451751250892E-2</v>
      </c>
      <c r="Y522" s="31">
        <f t="shared" ca="1" si="77"/>
        <v>-1.5341784148797555E-2</v>
      </c>
    </row>
    <row r="523" spans="2:25" x14ac:dyDescent="0.45">
      <c r="B523" vm="4290">
        <f ca="1"/>
        <v>44918</v>
      </c>
      <c r="C523" vm="4291">
        <f ca="1"/>
        <v>238.73</v>
      </c>
      <c r="D523" vm="4290">
        <f ca="1"/>
        <v>44918</v>
      </c>
      <c r="E523" vm="78">
        <f ca="1"/>
        <v>18.309999999999999</v>
      </c>
      <c r="F523" vm="4290">
        <f ca="1"/>
        <v>44918</v>
      </c>
      <c r="G523" vm="4292">
        <f ca="1"/>
        <v>205.83</v>
      </c>
      <c r="H523" vm="4290">
        <f ca="1"/>
        <v>44918</v>
      </c>
      <c r="I523" vm="4293">
        <f ca="1"/>
        <v>149.22999999999999</v>
      </c>
      <c r="J523" vm="4290">
        <f ca="1"/>
        <v>44918</v>
      </c>
      <c r="K523" vm="928">
        <f ca="1"/>
        <v>25.96</v>
      </c>
      <c r="L523" vm="4290">
        <f ca="1"/>
        <v>44918</v>
      </c>
      <c r="M523" vm="4294">
        <f ca="1"/>
        <v>77.7</v>
      </c>
      <c r="N523" vm="4290">
        <f ca="1"/>
        <v>44918</v>
      </c>
      <c r="O523" vm="1162">
        <f ca="1"/>
        <v>229.6</v>
      </c>
      <c r="P523" vm="4290">
        <f ca="1"/>
        <v>44918</v>
      </c>
      <c r="Q523" vm="4295">
        <f ca="1"/>
        <v>16.266999999999999</v>
      </c>
      <c r="R523" s="29">
        <f t="shared" ca="1" si="71"/>
        <v>2.2670976951173101E-3</v>
      </c>
      <c r="S523" s="30">
        <f t="shared" ca="1" si="72"/>
        <v>2.1893814997262805E-3</v>
      </c>
      <c r="T523" s="30">
        <f t="shared" ca="1" si="73"/>
        <v>3.754998537013607E-3</v>
      </c>
      <c r="U523" s="30">
        <f t="shared" ca="1" si="74"/>
        <v>1.4764109791289099E-3</v>
      </c>
      <c r="V523" s="30">
        <f t="shared" ca="1" si="75"/>
        <v>-3.8372985418264724E-3</v>
      </c>
      <c r="W523" s="30">
        <f t="shared" ca="1" si="78"/>
        <v>-3.3350436121086574E-3</v>
      </c>
      <c r="X523" s="30">
        <f t="shared" ca="1" si="76"/>
        <v>-2.7118644067796634E-2</v>
      </c>
      <c r="Y523" s="31">
        <f t="shared" ca="1" si="77"/>
        <v>-2.1416110208747015E-2</v>
      </c>
    </row>
    <row r="524" spans="2:25" x14ac:dyDescent="0.45">
      <c r="B524" vm="4296">
        <f ca="1"/>
        <v>44922</v>
      </c>
      <c r="C524" vm="4297">
        <f ca="1"/>
        <v>236.96</v>
      </c>
      <c r="D524" vm="4296">
        <f ca="1"/>
        <v>44922</v>
      </c>
      <c r="E524" vm="4298">
        <f ca="1"/>
        <v>18.46</v>
      </c>
      <c r="F524" vm="4296">
        <f ca="1"/>
        <v>44922</v>
      </c>
      <c r="G524" vm="4299">
        <f ca="1"/>
        <v>206.29</v>
      </c>
      <c r="H524" vm="4296">
        <f ca="1"/>
        <v>44922</v>
      </c>
      <c r="I524" vm="4300">
        <f ca="1"/>
        <v>149.55000000000001</v>
      </c>
      <c r="J524" vm="4296">
        <f ca="1"/>
        <v>44922</v>
      </c>
      <c r="K524" vm="4286">
        <f ca="1"/>
        <v>26.06</v>
      </c>
      <c r="L524" vm="4296">
        <f ca="1"/>
        <v>44922</v>
      </c>
      <c r="M524" vm="4301">
        <f ca="1"/>
        <v>76.52</v>
      </c>
      <c r="N524" vm="4296">
        <f ca="1"/>
        <v>44922</v>
      </c>
      <c r="O524" vm="4302">
        <f ca="1"/>
        <v>229.44</v>
      </c>
      <c r="P524" vm="4296">
        <f ca="1"/>
        <v>44922</v>
      </c>
      <c r="Q524" vm="4303">
        <f ca="1"/>
        <v>14.773999999999999</v>
      </c>
      <c r="R524" s="29">
        <f t="shared" ca="1" si="71"/>
        <v>-7.4142336530808109E-3</v>
      </c>
      <c r="S524" s="30">
        <f t="shared" ca="1" si="72"/>
        <v>8.1922446750410782E-3</v>
      </c>
      <c r="T524" s="30">
        <f t="shared" ca="1" si="73"/>
        <v>2.2348540057327867E-3</v>
      </c>
      <c r="U524" s="30">
        <f t="shared" ca="1" si="74"/>
        <v>2.1443409502112285E-3</v>
      </c>
      <c r="V524" s="30">
        <f t="shared" ca="1" si="75"/>
        <v>3.8520801232664816E-3</v>
      </c>
      <c r="W524" s="30">
        <f t="shared" ca="1" si="78"/>
        <v>-1.5186615186615274E-2</v>
      </c>
      <c r="X524" s="30">
        <f t="shared" ca="1" si="76"/>
        <v>-6.9686411149824299E-4</v>
      </c>
      <c r="Y524" s="31">
        <f t="shared" ca="1" si="77"/>
        <v>-9.1780906128972786E-2</v>
      </c>
    </row>
    <row r="525" spans="2:25" x14ac:dyDescent="0.45">
      <c r="B525" vm="4304">
        <f ca="1"/>
        <v>44923</v>
      </c>
      <c r="C525" vm="1523">
        <f ca="1"/>
        <v>234.53</v>
      </c>
      <c r="D525" vm="4304">
        <f ca="1"/>
        <v>44923</v>
      </c>
      <c r="E525" vm="4305">
        <f ca="1"/>
        <v>18.22</v>
      </c>
      <c r="F525" vm="4304">
        <f ca="1"/>
        <v>44923</v>
      </c>
      <c r="G525" vm="4306">
        <f ca="1"/>
        <v>204.99</v>
      </c>
      <c r="H525" vm="4304">
        <f ca="1"/>
        <v>44923</v>
      </c>
      <c r="I525" vm="4307">
        <f ca="1"/>
        <v>148.09</v>
      </c>
      <c r="J525" vm="4304">
        <f ca="1"/>
        <v>44923</v>
      </c>
      <c r="K525" vm="3604">
        <f ca="1"/>
        <v>24.89</v>
      </c>
      <c r="L525" vm="4304">
        <f ca="1"/>
        <v>44923</v>
      </c>
      <c r="M525" vm="4308">
        <f ca="1"/>
        <v>76.61</v>
      </c>
      <c r="N525" vm="4304">
        <f ca="1"/>
        <v>44923</v>
      </c>
      <c r="O525" vm="4309">
        <f ca="1"/>
        <v>228.96</v>
      </c>
      <c r="P525" vm="4304">
        <f ca="1"/>
        <v>44923</v>
      </c>
      <c r="Q525" vm="4310">
        <f ca="1"/>
        <v>13.808999999999999</v>
      </c>
      <c r="R525" s="29">
        <f t="shared" ca="1" si="71"/>
        <v>-1.0254895340985849E-2</v>
      </c>
      <c r="S525" s="30">
        <f t="shared" ca="1" si="72"/>
        <v>-1.3001083423618743E-2</v>
      </c>
      <c r="T525" s="30">
        <f t="shared" ca="1" si="73"/>
        <v>-6.3018081341799552E-3</v>
      </c>
      <c r="U525" s="30">
        <f t="shared" ca="1" si="74"/>
        <v>-9.7626211969241584E-3</v>
      </c>
      <c r="V525" s="30">
        <f t="shared" ca="1" si="75"/>
        <v>-4.4896392939370616E-2</v>
      </c>
      <c r="W525" s="30">
        <f t="shared" ca="1" si="78"/>
        <v>1.1761630946158313E-3</v>
      </c>
      <c r="X525" s="30">
        <f t="shared" ca="1" si="76"/>
        <v>-2.0920502092049765E-3</v>
      </c>
      <c r="Y525" s="31">
        <f t="shared" ca="1" si="77"/>
        <v>-6.5317449573575187E-2</v>
      </c>
    </row>
    <row r="526" spans="2:25" x14ac:dyDescent="0.45">
      <c r="B526" vm="4311">
        <f ca="1"/>
        <v>44924</v>
      </c>
      <c r="C526" vm="4312">
        <f ca="1"/>
        <v>241.01</v>
      </c>
      <c r="D526" vm="4311">
        <f ca="1"/>
        <v>44924</v>
      </c>
      <c r="E526" vm="4313">
        <f ca="1"/>
        <v>18.45</v>
      </c>
      <c r="F526" vm="4311">
        <f ca="1"/>
        <v>44924</v>
      </c>
      <c r="G526" vm="4314">
        <f ca="1"/>
        <v>208.06</v>
      </c>
      <c r="H526" vm="4311">
        <f ca="1"/>
        <v>44924</v>
      </c>
      <c r="I526" vm="4315">
        <f ca="1"/>
        <v>151.09</v>
      </c>
      <c r="J526" vm="4311">
        <f ca="1"/>
        <v>44924</v>
      </c>
      <c r="K526" vm="2096">
        <f ca="1"/>
        <v>25.57</v>
      </c>
      <c r="L526" vm="4311">
        <f ca="1"/>
        <v>44924</v>
      </c>
      <c r="M526" vm="4316">
        <f ca="1"/>
        <v>79.010000000000005</v>
      </c>
      <c r="N526" vm="4311">
        <f ca="1"/>
        <v>44924</v>
      </c>
      <c r="O526" vm="4317">
        <f ca="1"/>
        <v>226.08</v>
      </c>
      <c r="P526" vm="4311">
        <f ca="1"/>
        <v>44924</v>
      </c>
      <c r="Q526" vm="4318">
        <f ca="1"/>
        <v>13.663</v>
      </c>
      <c r="R526" s="29">
        <f t="shared" ca="1" si="71"/>
        <v>2.7629727540186711E-2</v>
      </c>
      <c r="S526" s="30">
        <f t="shared" ca="1" si="72"/>
        <v>1.2623490669593876E-2</v>
      </c>
      <c r="T526" s="30">
        <f t="shared" ca="1" si="73"/>
        <v>1.4976340309283345E-2</v>
      </c>
      <c r="U526" s="30">
        <f t="shared" ca="1" si="74"/>
        <v>2.0257951245864003E-2</v>
      </c>
      <c r="V526" s="30">
        <f t="shared" ca="1" si="75"/>
        <v>2.7320208919244665E-2</v>
      </c>
      <c r="W526" s="30">
        <f t="shared" ca="1" si="78"/>
        <v>3.1327502936953473E-2</v>
      </c>
      <c r="X526" s="30">
        <f t="shared" ca="1" si="76"/>
        <v>-1.2578616352201238E-2</v>
      </c>
      <c r="Y526" s="31">
        <f t="shared" ca="1" si="77"/>
        <v>-1.0572814830907308E-2</v>
      </c>
    </row>
    <row r="527" spans="2:25" x14ac:dyDescent="0.45">
      <c r="B527" vm="4319">
        <f ca="1"/>
        <v>44925</v>
      </c>
      <c r="C527" vm="4320">
        <f ca="1"/>
        <v>239.82</v>
      </c>
      <c r="D527" vm="4319">
        <f ca="1"/>
        <v>44925</v>
      </c>
      <c r="E527" vm="4321">
        <f ca="1"/>
        <v>18.41</v>
      </c>
      <c r="F527" vm="4319">
        <f ca="1"/>
        <v>44925</v>
      </c>
      <c r="G527" vm="4322">
        <f ca="1"/>
        <v>207.76</v>
      </c>
      <c r="H527" vm="4319">
        <f ca="1"/>
        <v>44925</v>
      </c>
      <c r="I527" vm="4323">
        <f ca="1"/>
        <v>149.65</v>
      </c>
      <c r="J527" vm="4319">
        <f ca="1"/>
        <v>44925</v>
      </c>
      <c r="K527" vm="4324">
        <f ca="1"/>
        <v>25.05</v>
      </c>
      <c r="L527" vm="4319">
        <f ca="1"/>
        <v>44925</v>
      </c>
      <c r="M527" vm="4325">
        <f ca="1"/>
        <v>78.95</v>
      </c>
      <c r="N527" vm="4319">
        <f ca="1"/>
        <v>44925</v>
      </c>
      <c r="O527" vm="4326">
        <f ca="1"/>
        <v>225.92</v>
      </c>
      <c r="P527" vm="4319">
        <f ca="1"/>
        <v>44925</v>
      </c>
      <c r="Q527" vm="4327">
        <f ca="1"/>
        <v>14.157</v>
      </c>
      <c r="R527" s="29">
        <f t="shared" ca="1" si="71"/>
        <v>-4.9375544583212224E-3</v>
      </c>
      <c r="S527" s="30">
        <f t="shared" ca="1" si="72"/>
        <v>-2.1680216802167562E-3</v>
      </c>
      <c r="T527" s="30">
        <f t="shared" ca="1" si="73"/>
        <v>-1.4418917619917879E-3</v>
      </c>
      <c r="U527" s="30">
        <f t="shared" ca="1" si="74"/>
        <v>-9.5307432656032681E-3</v>
      </c>
      <c r="V527" s="30">
        <f t="shared" ca="1" si="75"/>
        <v>-2.0336331638639012E-2</v>
      </c>
      <c r="W527" s="30">
        <f t="shared" ca="1" si="78"/>
        <v>-7.5939754461463451E-4</v>
      </c>
      <c r="X527" s="30">
        <f t="shared" ca="1" si="76"/>
        <v>-7.0771408351037247E-4</v>
      </c>
      <c r="Y527" s="31">
        <f t="shared" ca="1" si="77"/>
        <v>3.6156041864890562E-2</v>
      </c>
    </row>
    <row r="528" spans="2:25" x14ac:dyDescent="0.45">
      <c r="B528" vm="4328">
        <f ca="1"/>
        <v>44929</v>
      </c>
      <c r="C528" vm="4329">
        <f ca="1"/>
        <v>239.58</v>
      </c>
      <c r="D528" vm="4328">
        <f ca="1"/>
        <v>44929</v>
      </c>
      <c r="E528" vm="4330">
        <f ca="1"/>
        <v>18.739999999999998</v>
      </c>
      <c r="F528" vm="4328">
        <f ca="1"/>
        <v>44929</v>
      </c>
      <c r="G528" vm="4331">
        <f ca="1"/>
        <v>207.39</v>
      </c>
      <c r="H528" vm="4328">
        <f ca="1"/>
        <v>44929</v>
      </c>
      <c r="I528" vm="4332">
        <f ca="1"/>
        <v>150.04</v>
      </c>
      <c r="J528" vm="4328">
        <f ca="1"/>
        <v>44929</v>
      </c>
      <c r="K528" vm="4333">
        <f ca="1"/>
        <v>25.04</v>
      </c>
      <c r="L528" vm="4328">
        <f ca="1"/>
        <v>44929</v>
      </c>
      <c r="M528" vm="4334">
        <f ca="1"/>
        <v>81.900000000000006</v>
      </c>
      <c r="N528" vm="4328">
        <f ca="1"/>
        <v>44929</v>
      </c>
      <c r="O528" vm="4281">
        <f ca="1"/>
        <v>223.84</v>
      </c>
      <c r="P528" vm="4328">
        <f ca="1"/>
        <v>44929</v>
      </c>
      <c r="Q528" vm="4335">
        <f ca="1"/>
        <v>14.502000000000001</v>
      </c>
      <c r="R528" s="29">
        <f t="shared" ca="1" si="71"/>
        <v>-1.0007505629221112E-3</v>
      </c>
      <c r="S528" s="30">
        <f t="shared" ca="1" si="72"/>
        <v>1.7925040738728859E-2</v>
      </c>
      <c r="T528" s="30">
        <f t="shared" ca="1" si="73"/>
        <v>-1.7809010396611694E-3</v>
      </c>
      <c r="U528" s="30">
        <f t="shared" ca="1" si="74"/>
        <v>2.6060808553290101E-3</v>
      </c>
      <c r="V528" s="30">
        <f t="shared" ca="1" si="75"/>
        <v>-3.992015968064496E-4</v>
      </c>
      <c r="W528" s="30">
        <f t="shared" ca="1" si="78"/>
        <v>3.7365421152628281E-2</v>
      </c>
      <c r="X528" s="30">
        <f t="shared" ca="1" si="76"/>
        <v>-9.2067988668554541E-3</v>
      </c>
      <c r="Y528" s="31">
        <f t="shared" ca="1" si="77"/>
        <v>2.4369569824115325E-2</v>
      </c>
    </row>
    <row r="529" spans="2:25" x14ac:dyDescent="0.45">
      <c r="B529" vm="4336">
        <f ca="1"/>
        <v>44930</v>
      </c>
      <c r="C529" vm="1613">
        <f ca="1"/>
        <v>229.1</v>
      </c>
      <c r="D529" vm="4336">
        <f ca="1"/>
        <v>44930</v>
      </c>
      <c r="E529" vm="4337">
        <f ca="1"/>
        <v>19.14</v>
      </c>
      <c r="F529" vm="4336">
        <f ca="1"/>
        <v>44930</v>
      </c>
      <c r="G529" vm="4338">
        <f ca="1"/>
        <v>212.61</v>
      </c>
      <c r="H529" vm="4336">
        <f ca="1"/>
        <v>44930</v>
      </c>
      <c r="I529" vm="4339">
        <f ca="1"/>
        <v>151.66999999999999</v>
      </c>
      <c r="J529" vm="4336">
        <f ca="1"/>
        <v>44930</v>
      </c>
      <c r="K529" vm="2027">
        <f ca="1"/>
        <v>25.23</v>
      </c>
      <c r="L529" vm="4336">
        <f ca="1"/>
        <v>44930</v>
      </c>
      <c r="M529" vm="4340">
        <f ca="1"/>
        <v>81.33</v>
      </c>
      <c r="N529" vm="4336">
        <f ca="1"/>
        <v>44930</v>
      </c>
      <c r="O529" vm="201">
        <f ca="1"/>
        <v>217.76</v>
      </c>
      <c r="P529" vm="4336">
        <f ca="1"/>
        <v>44930</v>
      </c>
      <c r="Q529" vm="4341">
        <f ca="1"/>
        <v>16.506</v>
      </c>
      <c r="R529" s="29">
        <f t="shared" ca="1" si="71"/>
        <v>-4.3743217296936379E-2</v>
      </c>
      <c r="S529" s="30">
        <f t="shared" ca="1" si="72"/>
        <v>2.1344717182497447E-2</v>
      </c>
      <c r="T529" s="30">
        <f t="shared" ca="1" si="73"/>
        <v>2.5169969622450588E-2</v>
      </c>
      <c r="U529" s="30">
        <f t="shared" ca="1" si="74"/>
        <v>1.086376966142359E-2</v>
      </c>
      <c r="V529" s="30">
        <f t="shared" ca="1" si="75"/>
        <v>7.5878594249201795E-3</v>
      </c>
      <c r="W529" s="30">
        <f t="shared" ca="1" si="78"/>
        <v>-6.9597069597070495E-3</v>
      </c>
      <c r="X529" s="30">
        <f t="shared" ca="1" si="76"/>
        <v>-2.7162258756254522E-2</v>
      </c>
      <c r="Y529" s="31">
        <f t="shared" ca="1" si="77"/>
        <v>0.13818783616052954</v>
      </c>
    </row>
    <row r="530" spans="2:25" x14ac:dyDescent="0.45">
      <c r="B530" vm="4342">
        <f ca="1"/>
        <v>44931</v>
      </c>
      <c r="C530" vm="4343">
        <f ca="1"/>
        <v>222.31</v>
      </c>
      <c r="D530" vm="4342">
        <f ca="1"/>
        <v>44931</v>
      </c>
      <c r="E530" vm="4344">
        <f ca="1"/>
        <v>19.21</v>
      </c>
      <c r="F530" vm="4342">
        <f ca="1"/>
        <v>44931</v>
      </c>
      <c r="G530" vm="4345">
        <f ca="1"/>
        <v>211.11</v>
      </c>
      <c r="H530" vm="4342">
        <f ca="1"/>
        <v>44931</v>
      </c>
      <c r="I530" vm="4346">
        <f ca="1"/>
        <v>152.11000000000001</v>
      </c>
      <c r="J530" vm="4342">
        <f ca="1"/>
        <v>44931</v>
      </c>
      <c r="K530" vm="4347">
        <f ca="1"/>
        <v>25.45</v>
      </c>
      <c r="L530" vm="4342">
        <f ca="1"/>
        <v>44931</v>
      </c>
      <c r="M530" vm="4348">
        <f ca="1"/>
        <v>81.58</v>
      </c>
      <c r="N530" vm="4342">
        <f ca="1"/>
        <v>44931</v>
      </c>
      <c r="O530" vm="4349">
        <f ca="1"/>
        <v>219.52</v>
      </c>
      <c r="P530" vm="4342">
        <f ca="1"/>
        <v>44931</v>
      </c>
      <c r="Q530" vm="4350">
        <f ca="1"/>
        <v>15.656000000000001</v>
      </c>
      <c r="R530" s="29">
        <f t="shared" ca="1" si="71"/>
        <v>-2.9637712789175E-2</v>
      </c>
      <c r="S530" s="30">
        <f t="shared" ca="1" si="72"/>
        <v>3.657262277951948E-3</v>
      </c>
      <c r="T530" s="30">
        <f t="shared" ca="1" si="73"/>
        <v>-7.0551714406660079E-3</v>
      </c>
      <c r="U530" s="30">
        <f t="shared" ca="1" si="74"/>
        <v>2.901035142084962E-3</v>
      </c>
      <c r="V530" s="30">
        <f t="shared" ca="1" si="75"/>
        <v>8.7197780420134301E-3</v>
      </c>
      <c r="W530" s="30">
        <f t="shared" ca="1" si="78"/>
        <v>3.0738964711668512E-3</v>
      </c>
      <c r="X530" s="30">
        <f t="shared" ca="1" si="76"/>
        <v>8.0822924320353567E-3</v>
      </c>
      <c r="Y530" s="31">
        <f t="shared" ca="1" si="77"/>
        <v>-5.1496425542227046E-2</v>
      </c>
    </row>
    <row r="531" spans="2:25" x14ac:dyDescent="0.45">
      <c r="B531" vm="4351">
        <f ca="1"/>
        <v>44932</v>
      </c>
      <c r="C531" vm="4352">
        <f ca="1"/>
        <v>224.93</v>
      </c>
      <c r="D531" vm="4351">
        <f ca="1"/>
        <v>44932</v>
      </c>
      <c r="E531" vm="4353">
        <f ca="1"/>
        <v>19.53</v>
      </c>
      <c r="F531" vm="4351">
        <f ca="1"/>
        <v>44932</v>
      </c>
      <c r="G531" vm="4354">
        <f ca="1"/>
        <v>217.75</v>
      </c>
      <c r="H531" vm="4351">
        <f ca="1"/>
        <v>44932</v>
      </c>
      <c r="I531" vm="4355">
        <f ca="1"/>
        <v>147.66999999999999</v>
      </c>
      <c r="J531" vm="4351">
        <f ca="1"/>
        <v>44932</v>
      </c>
      <c r="K531" vm="4356">
        <f ca="1"/>
        <v>26.9</v>
      </c>
      <c r="L531" vm="4351">
        <f ca="1"/>
        <v>44932</v>
      </c>
      <c r="M531" vm="4357">
        <f ca="1"/>
        <v>83.54</v>
      </c>
      <c r="N531" vm="4351">
        <f ca="1"/>
        <v>44932</v>
      </c>
      <c r="O531" vm="4358">
        <f ca="1"/>
        <v>214.4</v>
      </c>
      <c r="P531" vm="4351">
        <f ca="1"/>
        <v>44932</v>
      </c>
      <c r="Q531" vm="4359">
        <f ca="1"/>
        <v>16.045000000000002</v>
      </c>
      <c r="R531" s="29">
        <f t="shared" ca="1" si="71"/>
        <v>1.1785344788808442E-2</v>
      </c>
      <c r="S531" s="30">
        <f t="shared" ca="1" si="72"/>
        <v>1.6657990629880284E-2</v>
      </c>
      <c r="T531" s="30">
        <f t="shared" ca="1" si="73"/>
        <v>3.1452797119984777E-2</v>
      </c>
      <c r="U531" s="30">
        <f t="shared" ca="1" si="74"/>
        <v>-2.918940240615361E-2</v>
      </c>
      <c r="V531" s="30">
        <f t="shared" ca="1" si="75"/>
        <v>5.6974459724950854E-2</v>
      </c>
      <c r="W531" s="30">
        <f t="shared" ca="1" si="78"/>
        <v>2.4025496445207257E-2</v>
      </c>
      <c r="X531" s="30">
        <f t="shared" ca="1" si="76"/>
        <v>-2.3323615160349875E-2</v>
      </c>
      <c r="Y531" s="31">
        <f t="shared" ca="1" si="77"/>
        <v>2.4846704138988318E-2</v>
      </c>
    </row>
    <row r="532" spans="2:25" x14ac:dyDescent="0.45">
      <c r="B532" vm="4360">
        <f ca="1"/>
        <v>44935</v>
      </c>
      <c r="C532" vm="4361">
        <f ca="1"/>
        <v>227.12</v>
      </c>
      <c r="D532" vm="4360">
        <f ca="1"/>
        <v>44935</v>
      </c>
      <c r="E532" vm="4362">
        <f ca="1"/>
        <v>19.04</v>
      </c>
      <c r="F532" vm="4360">
        <f ca="1"/>
        <v>44935</v>
      </c>
      <c r="G532" vm="4363">
        <f ca="1"/>
        <v>218.6</v>
      </c>
      <c r="H532" vm="4360">
        <f ca="1"/>
        <v>44935</v>
      </c>
      <c r="I532" vm="2779">
        <f ca="1"/>
        <v>147.47</v>
      </c>
      <c r="J532" vm="4360">
        <f ca="1"/>
        <v>44935</v>
      </c>
      <c r="K532" vm="4364">
        <f ca="1"/>
        <v>26.47</v>
      </c>
      <c r="L532" vm="4360">
        <f ca="1"/>
        <v>44935</v>
      </c>
      <c r="M532" vm="4365">
        <f ca="1"/>
        <v>85.04</v>
      </c>
      <c r="N532" vm="4360">
        <f ca="1"/>
        <v>44935</v>
      </c>
      <c r="O532" vm="4366">
        <f ca="1"/>
        <v>215.52</v>
      </c>
      <c r="P532" vm="4360">
        <f ca="1"/>
        <v>44935</v>
      </c>
      <c r="Q532" vm="4367">
        <f ca="1"/>
        <v>17.501000000000001</v>
      </c>
      <c r="R532" s="29">
        <f t="shared" ca="1" si="71"/>
        <v>9.7363624238651914E-3</v>
      </c>
      <c r="S532" s="30">
        <f t="shared" ca="1" si="72"/>
        <v>-2.5089605734767127E-2</v>
      </c>
      <c r="T532" s="30">
        <f t="shared" ca="1" si="73"/>
        <v>3.9035591274396981E-3</v>
      </c>
      <c r="U532" s="30">
        <f t="shared" ca="1" si="74"/>
        <v>-1.354371233154931E-3</v>
      </c>
      <c r="V532" s="30">
        <f t="shared" ca="1" si="75"/>
        <v>-1.5985130111524155E-2</v>
      </c>
      <c r="W532" s="30">
        <f t="shared" ca="1" si="78"/>
        <v>1.7955470433325352E-2</v>
      </c>
      <c r="X532" s="30">
        <f t="shared" ca="1" si="76"/>
        <v>5.2238805970149464E-3</v>
      </c>
      <c r="Y532" s="31">
        <f t="shared" ca="1" si="77"/>
        <v>9.0744780305391043E-2</v>
      </c>
    </row>
    <row r="533" spans="2:25" x14ac:dyDescent="0.45">
      <c r="B533" vm="4368">
        <f ca="1"/>
        <v>44936</v>
      </c>
      <c r="C533" vm="4369">
        <f ca="1"/>
        <v>228.85</v>
      </c>
      <c r="D533" vm="4368">
        <f ca="1"/>
        <v>44936</v>
      </c>
      <c r="E533" vm="51">
        <f ca="1"/>
        <v>19.47</v>
      </c>
      <c r="F533" vm="4368">
        <f ca="1"/>
        <v>44936</v>
      </c>
      <c r="G533" vm="4370">
        <f ca="1"/>
        <v>221.09</v>
      </c>
      <c r="H533" vm="4368">
        <f ca="1"/>
        <v>44936</v>
      </c>
      <c r="I533" vm="4371">
        <f ca="1"/>
        <v>155.22999999999999</v>
      </c>
      <c r="J533" vm="4368">
        <f ca="1"/>
        <v>44936</v>
      </c>
      <c r="K533" vm="4372">
        <f ca="1"/>
        <v>27.69</v>
      </c>
      <c r="L533" vm="4368">
        <f ca="1"/>
        <v>44936</v>
      </c>
      <c r="M533" vm="4373">
        <f ca="1"/>
        <v>90.79</v>
      </c>
      <c r="N533" vm="4368">
        <f ca="1"/>
        <v>44936</v>
      </c>
      <c r="O533" vm="4374">
        <f ca="1"/>
        <v>206.56</v>
      </c>
      <c r="P533" vm="4368">
        <f ca="1"/>
        <v>44936</v>
      </c>
      <c r="Q533" vm="3328">
        <f ca="1"/>
        <v>19</v>
      </c>
      <c r="R533" s="29">
        <f t="shared" ca="1" si="71"/>
        <v>7.6171187037688878E-3</v>
      </c>
      <c r="S533" s="30">
        <f t="shared" ca="1" si="72"/>
        <v>2.2584033613445364E-2</v>
      </c>
      <c r="T533" s="30">
        <f t="shared" ca="1" si="73"/>
        <v>1.1390667886550819E-2</v>
      </c>
      <c r="U533" s="30">
        <f t="shared" ca="1" si="74"/>
        <v>5.2620872041771148E-2</v>
      </c>
      <c r="V533" s="30">
        <f t="shared" ca="1" si="75"/>
        <v>4.60899131091803E-2</v>
      </c>
      <c r="W533" s="30">
        <f t="shared" ca="1" si="78"/>
        <v>6.7615239887111947E-2</v>
      </c>
      <c r="X533" s="30">
        <f t="shared" ca="1" si="76"/>
        <v>-4.1573867854491499E-2</v>
      </c>
      <c r="Y533" s="31">
        <f t="shared" ca="1" si="77"/>
        <v>8.5652248442946041E-2</v>
      </c>
    </row>
    <row r="534" spans="2:25" x14ac:dyDescent="0.45">
      <c r="B534" vm="4375">
        <f ca="1"/>
        <v>44937</v>
      </c>
      <c r="C534" vm="707">
        <f ca="1"/>
        <v>235.77</v>
      </c>
      <c r="D534" vm="4375">
        <f ca="1"/>
        <v>44937</v>
      </c>
      <c r="E534" vm="4376">
        <f ca="1"/>
        <v>19.41</v>
      </c>
      <c r="F534" vm="4375">
        <f ca="1"/>
        <v>44937</v>
      </c>
      <c r="G534" vm="4377">
        <f ca="1"/>
        <v>222.1</v>
      </c>
      <c r="H534" vm="4375">
        <f ca="1"/>
        <v>44937</v>
      </c>
      <c r="I534" vm="4378">
        <f ca="1"/>
        <v>158.16999999999999</v>
      </c>
      <c r="J534" vm="4375">
        <f ca="1"/>
        <v>44937</v>
      </c>
      <c r="K534" vm="4379">
        <f ca="1"/>
        <v>27.56</v>
      </c>
      <c r="L534" vm="4375">
        <f ca="1"/>
        <v>44937</v>
      </c>
      <c r="M534" vm="4380">
        <f ca="1"/>
        <v>91.75</v>
      </c>
      <c r="N534" vm="4375">
        <f ca="1"/>
        <v>44937</v>
      </c>
      <c r="O534" vm="4381">
        <f ca="1"/>
        <v>207.52</v>
      </c>
      <c r="P534" vm="4375">
        <f ca="1"/>
        <v>44937</v>
      </c>
      <c r="Q534" vm="4382">
        <f ca="1"/>
        <v>19.475999999999999</v>
      </c>
      <c r="R534" s="29">
        <f t="shared" ca="1" si="71"/>
        <v>3.0238147258029348E-2</v>
      </c>
      <c r="S534" s="30">
        <f t="shared" ca="1" si="72"/>
        <v>-3.0816640986131858E-3</v>
      </c>
      <c r="T534" s="30">
        <f t="shared" ca="1" si="73"/>
        <v>4.568275362974313E-3</v>
      </c>
      <c r="U534" s="30">
        <f t="shared" ca="1" si="74"/>
        <v>1.8939637956580546E-2</v>
      </c>
      <c r="V534" s="30">
        <f t="shared" ca="1" si="75"/>
        <v>-4.6948356807512658E-3</v>
      </c>
      <c r="W534" s="30">
        <f t="shared" ca="1" si="78"/>
        <v>1.0573851745786912E-2</v>
      </c>
      <c r="X534" s="30">
        <f t="shared" ca="1" si="76"/>
        <v>4.6475600309837722E-3</v>
      </c>
      <c r="Y534" s="31">
        <f t="shared" ca="1" si="77"/>
        <v>2.5052631578947319E-2</v>
      </c>
    </row>
    <row r="535" spans="2:25" x14ac:dyDescent="0.45">
      <c r="B535" vm="4383">
        <f ca="1"/>
        <v>44938</v>
      </c>
      <c r="C535" vm="2183">
        <f ca="1"/>
        <v>238.51</v>
      </c>
      <c r="D535" vm="4383">
        <f ca="1"/>
        <v>44938</v>
      </c>
      <c r="E535" vm="4376">
        <f ca="1"/>
        <v>19.41</v>
      </c>
      <c r="F535" vm="4383">
        <f ca="1"/>
        <v>44938</v>
      </c>
      <c r="G535" vm="4384">
        <f ca="1"/>
        <v>223.62</v>
      </c>
      <c r="H535" vm="4383">
        <f ca="1"/>
        <v>44938</v>
      </c>
      <c r="I535" vm="4385">
        <f ca="1"/>
        <v>156.49</v>
      </c>
      <c r="J535" vm="4383">
        <f ca="1"/>
        <v>44938</v>
      </c>
      <c r="K535" vm="4386">
        <f ca="1"/>
        <v>28.77</v>
      </c>
      <c r="L535" vm="4383">
        <f ca="1"/>
        <v>44938</v>
      </c>
      <c r="M535" vm="4387">
        <f ca="1"/>
        <v>91.2</v>
      </c>
      <c r="N535" vm="4383">
        <f ca="1"/>
        <v>44938</v>
      </c>
      <c r="O535" vm="4388">
        <f ca="1"/>
        <v>197.28</v>
      </c>
      <c r="P535" vm="4383">
        <f ca="1"/>
        <v>44938</v>
      </c>
      <c r="Q535" vm="4389">
        <f ca="1"/>
        <v>21.016999999999999</v>
      </c>
      <c r="R535" s="29">
        <f t="shared" ca="1" si="71"/>
        <v>1.1621495525299999E-2</v>
      </c>
      <c r="S535" s="30">
        <f t="shared" ca="1" si="72"/>
        <v>0</v>
      </c>
      <c r="T535" s="30">
        <f t="shared" ca="1" si="73"/>
        <v>6.8437640702386773E-3</v>
      </c>
      <c r="U535" s="30">
        <f t="shared" ca="1" si="74"/>
        <v>-1.0621483214262999E-2</v>
      </c>
      <c r="V535" s="30">
        <f t="shared" ca="1" si="75"/>
        <v>4.3904208998548654E-2</v>
      </c>
      <c r="W535" s="30">
        <f t="shared" ca="1" si="78"/>
        <v>-5.9945504087193149E-3</v>
      </c>
      <c r="X535" s="30">
        <f t="shared" ca="1" si="76"/>
        <v>-4.9344641480339284E-2</v>
      </c>
      <c r="Y535" s="31">
        <f t="shared" ca="1" si="77"/>
        <v>7.9123023208050952E-2</v>
      </c>
    </row>
    <row r="536" spans="2:25" x14ac:dyDescent="0.45">
      <c r="B536" vm="4390">
        <f ca="1"/>
        <v>44939</v>
      </c>
      <c r="C536" vm="4391">
        <f ca="1"/>
        <v>239.23</v>
      </c>
      <c r="D536" vm="4390">
        <f ca="1"/>
        <v>44939</v>
      </c>
      <c r="E536" vm="3048">
        <f ca="1"/>
        <v>19.55</v>
      </c>
      <c r="F536" vm="4390">
        <f ca="1"/>
        <v>44939</v>
      </c>
      <c r="G536" vm="4392">
        <f ca="1"/>
        <v>223.06</v>
      </c>
      <c r="H536" vm="4390">
        <f ca="1"/>
        <v>44939</v>
      </c>
      <c r="I536" vm="4393">
        <f ca="1"/>
        <v>156.91999999999999</v>
      </c>
      <c r="J536" vm="4390">
        <f ca="1"/>
        <v>44939</v>
      </c>
      <c r="K536" vm="1493">
        <f ca="1"/>
        <v>28.35</v>
      </c>
      <c r="L536" vm="4390">
        <f ca="1"/>
        <v>44939</v>
      </c>
      <c r="M536" vm="4394">
        <f ca="1"/>
        <v>92.06</v>
      </c>
      <c r="N536" vm="4390">
        <f ca="1"/>
        <v>44939</v>
      </c>
      <c r="O536" vm="4395">
        <f ca="1"/>
        <v>192.32</v>
      </c>
      <c r="P536" vm="4390">
        <f ca="1"/>
        <v>44939</v>
      </c>
      <c r="Q536" vm="4396">
        <f ca="1"/>
        <v>21.696999999999999</v>
      </c>
      <c r="R536" s="29">
        <f t="shared" ca="1" si="71"/>
        <v>3.018741352563829E-3</v>
      </c>
      <c r="S536" s="30">
        <f t="shared" ca="1" si="72"/>
        <v>7.212776919113888E-3</v>
      </c>
      <c r="T536" s="30">
        <f t="shared" ca="1" si="73"/>
        <v>-2.5042482783293189E-3</v>
      </c>
      <c r="U536" s="30">
        <f t="shared" ca="1" si="74"/>
        <v>2.7477794108248348E-3</v>
      </c>
      <c r="V536" s="30">
        <f t="shared" ca="1" si="75"/>
        <v>-1.4598540145985337E-2</v>
      </c>
      <c r="W536" s="30">
        <f t="shared" ca="1" si="78"/>
        <v>9.4298245614035017E-3</v>
      </c>
      <c r="X536" s="30">
        <f t="shared" ca="1" si="76"/>
        <v>-2.5141930251419344E-2</v>
      </c>
      <c r="Y536" s="31">
        <f t="shared" ca="1" si="77"/>
        <v>3.2354760432031199E-2</v>
      </c>
    </row>
    <row r="537" spans="2:25" x14ac:dyDescent="0.45">
      <c r="B537" vm="4397">
        <f ca="1"/>
        <v>44943</v>
      </c>
      <c r="C537" vm="4398">
        <f ca="1"/>
        <v>240.35</v>
      </c>
      <c r="D537" vm="4397">
        <f ca="1"/>
        <v>44943</v>
      </c>
      <c r="E537" vm="3017">
        <f ca="1"/>
        <v>19.329999999999998</v>
      </c>
      <c r="F537" vm="4397">
        <f ca="1"/>
        <v>44943</v>
      </c>
      <c r="G537" vm="4399">
        <f ca="1"/>
        <v>223</v>
      </c>
      <c r="H537" vm="4397">
        <f ca="1"/>
        <v>44943</v>
      </c>
      <c r="I537" vm="4400">
        <f ca="1"/>
        <v>155.4</v>
      </c>
      <c r="J537" vm="4397">
        <f ca="1"/>
        <v>44943</v>
      </c>
      <c r="K537" vm="4401">
        <f ca="1"/>
        <v>28.11</v>
      </c>
      <c r="L537" vm="4397">
        <f ca="1"/>
        <v>44943</v>
      </c>
      <c r="M537" vm="4380">
        <f ca="1"/>
        <v>91.75</v>
      </c>
      <c r="N537" vm="4397">
        <f ca="1"/>
        <v>44943</v>
      </c>
      <c r="O537" vm="4402">
        <f ca="1"/>
        <v>193.92</v>
      </c>
      <c r="P537" vm="4397">
        <f ca="1"/>
        <v>44943</v>
      </c>
      <c r="Q537" vm="4403">
        <f ca="1"/>
        <v>23.591999999999999</v>
      </c>
      <c r="R537" s="29">
        <f t="shared" ca="1" si="71"/>
        <v>4.6816870793796959E-3</v>
      </c>
      <c r="S537" s="30">
        <f t="shared" ca="1" si="72"/>
        <v>-1.1253196930946415E-2</v>
      </c>
      <c r="T537" s="30">
        <f t="shared" ca="1" si="73"/>
        <v>-2.6898592307003617E-4</v>
      </c>
      <c r="U537" s="30">
        <f t="shared" ca="1" si="74"/>
        <v>-9.6864644404791103E-3</v>
      </c>
      <c r="V537" s="30">
        <f t="shared" ca="1" si="75"/>
        <v>-8.4656084656085356E-3</v>
      </c>
      <c r="W537" s="30">
        <f t="shared" ca="1" si="78"/>
        <v>-3.3673691071040871E-3</v>
      </c>
      <c r="X537" s="30">
        <f t="shared" ca="1" si="76"/>
        <v>8.3194675540765092E-3</v>
      </c>
      <c r="Y537" s="31">
        <f t="shared" ca="1" si="77"/>
        <v>8.7339263492648742E-2</v>
      </c>
    </row>
    <row r="538" spans="2:25" x14ac:dyDescent="0.45">
      <c r="B538" vm="4404">
        <f ca="1"/>
        <v>44944</v>
      </c>
      <c r="C538" vm="4405">
        <f ca="1"/>
        <v>235.81</v>
      </c>
      <c r="D538" vm="4404">
        <f ca="1"/>
        <v>44944</v>
      </c>
      <c r="E538" vm="4091">
        <f ca="1"/>
        <v>19.02</v>
      </c>
      <c r="F538" vm="4404">
        <f ca="1"/>
        <v>44944</v>
      </c>
      <c r="G538" vm="4406">
        <f ca="1"/>
        <v>219.46</v>
      </c>
      <c r="H538" vm="4404">
        <f ca="1"/>
        <v>44944</v>
      </c>
      <c r="I538" vm="4407">
        <f ca="1"/>
        <v>154.07</v>
      </c>
      <c r="J538" vm="4404">
        <f ca="1"/>
        <v>44944</v>
      </c>
      <c r="K538" vm="4408">
        <f ca="1"/>
        <v>27.84</v>
      </c>
      <c r="L538" vm="4404">
        <f ca="1"/>
        <v>44944</v>
      </c>
      <c r="M538" vm="4409">
        <f ca="1"/>
        <v>92.73</v>
      </c>
      <c r="N538" vm="4404">
        <f ca="1"/>
        <v>44944</v>
      </c>
      <c r="O538" vm="4410">
        <f ca="1"/>
        <v>200.8</v>
      </c>
      <c r="P538" vm="4404">
        <f ca="1"/>
        <v>44944</v>
      </c>
      <c r="Q538" vm="4411">
        <f ca="1"/>
        <v>22.119</v>
      </c>
      <c r="R538" s="29">
        <f t="shared" ca="1" si="71"/>
        <v>-1.8889120033284759E-2</v>
      </c>
      <c r="S538" s="30">
        <f t="shared" ca="1" si="72"/>
        <v>-1.6037247801344995E-2</v>
      </c>
      <c r="T538" s="30">
        <f t="shared" ca="1" si="73"/>
        <v>-1.5874439461883372E-2</v>
      </c>
      <c r="U538" s="30">
        <f t="shared" ca="1" si="74"/>
        <v>-8.5585585585586394E-3</v>
      </c>
      <c r="V538" s="30">
        <f t="shared" ca="1" si="75"/>
        <v>-9.6051227321237841E-3</v>
      </c>
      <c r="W538" s="30">
        <f t="shared" ca="1" si="78"/>
        <v>1.0681198910081787E-2</v>
      </c>
      <c r="X538" s="30">
        <f t="shared" ca="1" si="76"/>
        <v>3.5478547854785603E-2</v>
      </c>
      <c r="Y538" s="31">
        <f t="shared" ca="1" si="77"/>
        <v>-6.2436419125127124E-2</v>
      </c>
    </row>
    <row r="539" spans="2:25" x14ac:dyDescent="0.45">
      <c r="B539" vm="4412">
        <f ca="1"/>
        <v>44945</v>
      </c>
      <c r="C539" vm="4413">
        <f ca="1"/>
        <v>231.93</v>
      </c>
      <c r="D539" vm="4412">
        <f ca="1"/>
        <v>44945</v>
      </c>
      <c r="E539" vm="4414">
        <f ca="1"/>
        <v>18.940000000000001</v>
      </c>
      <c r="F539" vm="4412">
        <f ca="1"/>
        <v>44945</v>
      </c>
      <c r="G539" vm="4415">
        <f ca="1"/>
        <v>220.41</v>
      </c>
      <c r="H539" vm="4412">
        <f ca="1"/>
        <v>44945</v>
      </c>
      <c r="I539" vm="4416">
        <f ca="1"/>
        <v>152.87</v>
      </c>
      <c r="J539" vm="4412">
        <f ca="1"/>
        <v>44945</v>
      </c>
      <c r="K539" vm="4417">
        <f ca="1"/>
        <v>27.64</v>
      </c>
      <c r="L539" vm="4412">
        <f ca="1"/>
        <v>44945</v>
      </c>
      <c r="M539" vm="4418">
        <f ca="1"/>
        <v>93.58</v>
      </c>
      <c r="N539" vm="4412">
        <f ca="1"/>
        <v>44945</v>
      </c>
      <c r="O539" vm="4419">
        <f ca="1"/>
        <v>201.92</v>
      </c>
      <c r="P539" vm="4412">
        <f ca="1"/>
        <v>44945</v>
      </c>
      <c r="Q539" vm="4420">
        <f ca="1"/>
        <v>22.145</v>
      </c>
      <c r="R539" s="29">
        <f t="shared" ca="1" si="71"/>
        <v>-1.6453924769941883E-2</v>
      </c>
      <c r="S539" s="30">
        <f t="shared" ca="1" si="72"/>
        <v>-4.2060988433227286E-3</v>
      </c>
      <c r="T539" s="30">
        <f t="shared" ca="1" si="73"/>
        <v>4.3288070719037118E-3</v>
      </c>
      <c r="U539" s="30">
        <f t="shared" ca="1" si="74"/>
        <v>-7.7886674888037171E-3</v>
      </c>
      <c r="V539" s="30">
        <f t="shared" ca="1" si="75"/>
        <v>-7.1839080459769862E-3</v>
      </c>
      <c r="W539" s="30">
        <f t="shared" ca="1" si="78"/>
        <v>9.1663970667528773E-3</v>
      </c>
      <c r="X539" s="30">
        <f t="shared" ca="1" si="76"/>
        <v>5.5776892430277692E-3</v>
      </c>
      <c r="Y539" s="31">
        <f t="shared" ca="1" si="77"/>
        <v>1.1754600117545911E-3</v>
      </c>
    </row>
    <row r="540" spans="2:25" x14ac:dyDescent="0.45">
      <c r="B540" vm="4421">
        <f ca="1"/>
        <v>44946</v>
      </c>
      <c r="C540" vm="4422">
        <f ca="1"/>
        <v>240.22</v>
      </c>
      <c r="D540" vm="4421">
        <f ca="1"/>
        <v>44946</v>
      </c>
      <c r="E540" vm="308">
        <f ca="1"/>
        <v>19.23</v>
      </c>
      <c r="F540" vm="4421">
        <f ca="1"/>
        <v>44946</v>
      </c>
      <c r="G540" vm="4423">
        <f ca="1"/>
        <v>224.31</v>
      </c>
      <c r="H540" vm="4421">
        <f ca="1"/>
        <v>44946</v>
      </c>
      <c r="I540" vm="4424">
        <f ca="1"/>
        <v>155.91999999999999</v>
      </c>
      <c r="J540" vm="4421">
        <f ca="1"/>
        <v>44946</v>
      </c>
      <c r="K540" vm="4425">
        <f ca="1"/>
        <v>28.21</v>
      </c>
      <c r="L540" vm="4421">
        <f ca="1"/>
        <v>44946</v>
      </c>
      <c r="M540" vm="4426">
        <f ca="1"/>
        <v>97.91</v>
      </c>
      <c r="N540" vm="4421">
        <f ca="1"/>
        <v>44946</v>
      </c>
      <c r="O540" vm="4427">
        <f ca="1"/>
        <v>194.72</v>
      </c>
      <c r="P540" vm="4421">
        <f ca="1"/>
        <v>44946</v>
      </c>
      <c r="Q540" vm="4428">
        <f ca="1"/>
        <v>24.003</v>
      </c>
      <c r="R540" s="29">
        <f t="shared" ca="1" si="71"/>
        <v>3.5743543310481574E-2</v>
      </c>
      <c r="S540" s="30">
        <f t="shared" ca="1" si="72"/>
        <v>1.5311510031678939E-2</v>
      </c>
      <c r="T540" s="30">
        <f t="shared" ca="1" si="73"/>
        <v>1.7694296991969536E-2</v>
      </c>
      <c r="U540" s="30">
        <f t="shared" ca="1" si="74"/>
        <v>1.9951592856675495E-2</v>
      </c>
      <c r="V540" s="30">
        <f t="shared" ca="1" si="75"/>
        <v>2.0622286541244584E-2</v>
      </c>
      <c r="W540" s="30">
        <f t="shared" ca="1" si="78"/>
        <v>4.6270570634750999E-2</v>
      </c>
      <c r="X540" s="30">
        <f t="shared" ca="1" si="76"/>
        <v>-3.5657686212361275E-2</v>
      </c>
      <c r="Y540" s="31">
        <f t="shared" ca="1" si="77"/>
        <v>8.3901557913750313E-2</v>
      </c>
    </row>
    <row r="541" spans="2:25" x14ac:dyDescent="0.45">
      <c r="B541" vm="4429">
        <f ca="1"/>
        <v>44949</v>
      </c>
      <c r="C541" vm="4430">
        <f ca="1"/>
        <v>242.58</v>
      </c>
      <c r="D541" vm="4429">
        <f ca="1"/>
        <v>44949</v>
      </c>
      <c r="E541" vm="4431">
        <f ca="1"/>
        <v>19.100000000000001</v>
      </c>
      <c r="F541" vm="4429">
        <f ca="1"/>
        <v>44949</v>
      </c>
      <c r="G541" vm="1630">
        <f ca="1"/>
        <v>224.18</v>
      </c>
      <c r="H541" vm="4429">
        <f ca="1"/>
        <v>44949</v>
      </c>
      <c r="I541" vm="4432">
        <f ca="1"/>
        <v>159.06</v>
      </c>
      <c r="J541" vm="4429">
        <f ca="1"/>
        <v>44949</v>
      </c>
      <c r="K541" vm="4433">
        <f ca="1"/>
        <v>28.2</v>
      </c>
      <c r="L541" vm="4429">
        <f ca="1"/>
        <v>44949</v>
      </c>
      <c r="M541" vm="4434">
        <f ca="1"/>
        <v>99.94</v>
      </c>
      <c r="N541" vm="4429">
        <f ca="1"/>
        <v>44949</v>
      </c>
      <c r="O541" vm="4435">
        <f ca="1"/>
        <v>193.28</v>
      </c>
      <c r="P541" vm="4429">
        <f ca="1"/>
        <v>44949</v>
      </c>
      <c r="Q541" vm="4436">
        <f ca="1"/>
        <v>25.0215</v>
      </c>
      <c r="R541" s="29">
        <f t="shared" ca="1" si="71"/>
        <v>9.8243276996087484E-3</v>
      </c>
      <c r="S541" s="30">
        <f t="shared" ca="1" si="72"/>
        <v>-6.7602704108163806E-3</v>
      </c>
      <c r="T541" s="30">
        <f t="shared" ca="1" si="73"/>
        <v>-5.7955508002316197E-4</v>
      </c>
      <c r="U541" s="30">
        <f t="shared" ca="1" si="74"/>
        <v>2.0138532580810768E-2</v>
      </c>
      <c r="V541" s="30">
        <f t="shared" ca="1" si="75"/>
        <v>-3.5448422545202279E-4</v>
      </c>
      <c r="W541" s="30">
        <f t="shared" ca="1" si="78"/>
        <v>2.0733326524359118E-2</v>
      </c>
      <c r="X541" s="30">
        <f t="shared" ca="1" si="76"/>
        <v>-7.3952341824157644E-3</v>
      </c>
      <c r="Y541" s="31">
        <f t="shared" ca="1" si="77"/>
        <v>4.2432195975503038E-2</v>
      </c>
    </row>
    <row r="542" spans="2:25" x14ac:dyDescent="0.45">
      <c r="B542" vm="4437">
        <f ca="1"/>
        <v>44950</v>
      </c>
      <c r="C542" vm="4438">
        <f ca="1"/>
        <v>242.04</v>
      </c>
      <c r="D542" vm="4437">
        <f ca="1"/>
        <v>44950</v>
      </c>
      <c r="E542" vm="4439">
        <f ca="1"/>
        <v>19.16</v>
      </c>
      <c r="F542" vm="4437">
        <f ca="1"/>
        <v>44950</v>
      </c>
      <c r="G542" vm="4440">
        <f ca="1"/>
        <v>223.89</v>
      </c>
      <c r="H542" vm="4437">
        <f ca="1"/>
        <v>44950</v>
      </c>
      <c r="I542" vm="4441">
        <f ca="1"/>
        <v>155.69</v>
      </c>
      <c r="J542" vm="4437">
        <f ca="1"/>
        <v>44950</v>
      </c>
      <c r="K542" vm="4442">
        <f ca="1"/>
        <v>27.93</v>
      </c>
      <c r="L542" vm="4437">
        <f ca="1"/>
        <v>44950</v>
      </c>
      <c r="M542" vm="4443">
        <f ca="1"/>
        <v>99.29</v>
      </c>
      <c r="N542" vm="4437">
        <f ca="1"/>
        <v>44950</v>
      </c>
      <c r="O542" vm="4444">
        <f ca="1"/>
        <v>185.76</v>
      </c>
      <c r="P542" vm="4437">
        <f ca="1"/>
        <v>44950</v>
      </c>
      <c r="Q542" vm="856">
        <f ca="1"/>
        <v>24.75</v>
      </c>
      <c r="R542" s="29">
        <f t="shared" ca="1" si="71"/>
        <v>-2.2260697501855901E-3</v>
      </c>
      <c r="S542" s="30">
        <f t="shared" ca="1" si="72"/>
        <v>3.1413612565444355E-3</v>
      </c>
      <c r="T542" s="30">
        <f t="shared" ca="1" si="73"/>
        <v>-1.2936033544474104E-3</v>
      </c>
      <c r="U542" s="30">
        <f t="shared" ca="1" si="74"/>
        <v>-2.1186973469131173E-2</v>
      </c>
      <c r="V542" s="30">
        <f t="shared" ca="1" si="75"/>
        <v>-9.5744680851063673E-3</v>
      </c>
      <c r="W542" s="30">
        <f t="shared" ca="1" si="78"/>
        <v>-6.5039023414047575E-3</v>
      </c>
      <c r="X542" s="30">
        <f t="shared" ca="1" si="76"/>
        <v>-3.8907284768211974E-2</v>
      </c>
      <c r="Y542" s="31">
        <f t="shared" ca="1" si="77"/>
        <v>-1.0850668425154352E-2</v>
      </c>
    </row>
    <row r="543" spans="2:25" x14ac:dyDescent="0.45">
      <c r="B543" vm="4445">
        <f ca="1"/>
        <v>44951</v>
      </c>
      <c r="C543" vm="4446">
        <f ca="1"/>
        <v>240.61</v>
      </c>
      <c r="D543" vm="4445">
        <f ca="1"/>
        <v>44951</v>
      </c>
      <c r="E543" vm="4447">
        <f ca="1"/>
        <v>20.420000000000002</v>
      </c>
      <c r="F543" vm="4445">
        <f ca="1"/>
        <v>44951</v>
      </c>
      <c r="G543" vm="4448">
        <f ca="1"/>
        <v>224.9</v>
      </c>
      <c r="H543" vm="4445">
        <f ca="1"/>
        <v>44951</v>
      </c>
      <c r="I543" vm="1950">
        <f ca="1"/>
        <v>155.76</v>
      </c>
      <c r="J543" vm="4445">
        <f ca="1"/>
        <v>44951</v>
      </c>
      <c r="K543" vm="4449">
        <f ca="1"/>
        <v>28.79</v>
      </c>
      <c r="L543" vm="4445">
        <f ca="1"/>
        <v>44951</v>
      </c>
      <c r="M543" vm="4450">
        <f ca="1"/>
        <v>100.03</v>
      </c>
      <c r="N543" vm="4445">
        <f ca="1"/>
        <v>44951</v>
      </c>
      <c r="O543" vm="4451">
        <f ca="1"/>
        <v>186.08</v>
      </c>
      <c r="P543" vm="4445">
        <f ca="1"/>
        <v>44951</v>
      </c>
      <c r="Q543" vm="4452">
        <f ca="1"/>
        <v>24.584</v>
      </c>
      <c r="R543" s="29">
        <f t="shared" ca="1" si="71"/>
        <v>-5.908114361262512E-3</v>
      </c>
      <c r="S543" s="30">
        <f t="shared" ca="1" si="72"/>
        <v>6.5762004175365429E-2</v>
      </c>
      <c r="T543" s="30">
        <f t="shared" ca="1" si="73"/>
        <v>4.5111438652910779E-3</v>
      </c>
      <c r="U543" s="30">
        <f t="shared" ca="1" si="74"/>
        <v>4.49611407283661E-4</v>
      </c>
      <c r="V543" s="30">
        <f t="shared" ca="1" si="75"/>
        <v>3.0791263873970621E-2</v>
      </c>
      <c r="W543" s="30">
        <f t="shared" ca="1" si="78"/>
        <v>7.4529157014804597E-3</v>
      </c>
      <c r="X543" s="30">
        <f t="shared" ca="1" si="76"/>
        <v>1.7226528854436996E-3</v>
      </c>
      <c r="Y543" s="31">
        <f t="shared" ca="1" si="77"/>
        <v>-6.7070707070707222E-3</v>
      </c>
    </row>
    <row r="544" spans="2:25" x14ac:dyDescent="0.45">
      <c r="B544" vm="4453">
        <f ca="1"/>
        <v>44952</v>
      </c>
      <c r="C544" vm="4454">
        <f ca="1"/>
        <v>248</v>
      </c>
      <c r="D544" vm="4453">
        <f ca="1"/>
        <v>44952</v>
      </c>
      <c r="E544" vm="4455">
        <f ca="1"/>
        <v>20</v>
      </c>
      <c r="F544" vm="4453">
        <f ca="1"/>
        <v>44952</v>
      </c>
      <c r="G544" vm="4456">
        <f ca="1"/>
        <v>224.71</v>
      </c>
      <c r="H544" vm="4453">
        <f ca="1"/>
        <v>44952</v>
      </c>
      <c r="I544" vm="4457">
        <f ca="1"/>
        <v>156.22999999999999</v>
      </c>
      <c r="J544" vm="4453">
        <f ca="1"/>
        <v>44952</v>
      </c>
      <c r="K544" vm="4458">
        <f ca="1"/>
        <v>29.26</v>
      </c>
      <c r="L544" vm="4453">
        <f ca="1"/>
        <v>44952</v>
      </c>
      <c r="M544" vm="4459">
        <f ca="1"/>
        <v>101.3</v>
      </c>
      <c r="N544" vm="4453">
        <f ca="1"/>
        <v>44952</v>
      </c>
      <c r="O544" vm="4460">
        <f ca="1"/>
        <v>183.2</v>
      </c>
      <c r="P544" vm="4453">
        <f ca="1"/>
        <v>44952</v>
      </c>
      <c r="Q544" vm="4461">
        <f ca="1"/>
        <v>24.532</v>
      </c>
      <c r="R544" s="29">
        <f t="shared" ca="1" si="71"/>
        <v>3.0713602925896619E-2</v>
      </c>
      <c r="S544" s="30">
        <f t="shared" ca="1" si="72"/>
        <v>-2.0568070519099004E-2</v>
      </c>
      <c r="T544" s="30">
        <f t="shared" ca="1" si="73"/>
        <v>-8.4481991996441846E-4</v>
      </c>
      <c r="U544" s="30">
        <f t="shared" ca="1" si="74"/>
        <v>3.0174627632254679E-3</v>
      </c>
      <c r="V544" s="30">
        <f t="shared" ca="1" si="75"/>
        <v>1.6325112886418979E-2</v>
      </c>
      <c r="W544" s="30">
        <f t="shared" ca="1" si="78"/>
        <v>1.2696191142657163E-2</v>
      </c>
      <c r="X544" s="30">
        <f t="shared" ca="1" si="76"/>
        <v>-1.5477214101461865E-2</v>
      </c>
      <c r="Y544" s="31">
        <f t="shared" ca="1" si="77"/>
        <v>-2.1151968760169055E-3</v>
      </c>
    </row>
    <row r="545" spans="2:25" x14ac:dyDescent="0.45">
      <c r="B545" vm="4462">
        <f ca="1"/>
        <v>44953</v>
      </c>
      <c r="C545" vm="4463">
        <f ca="1"/>
        <v>248.16</v>
      </c>
      <c r="D545" vm="4462">
        <f ca="1"/>
        <v>44953</v>
      </c>
      <c r="E545" vm="3026">
        <f ca="1"/>
        <v>19.95</v>
      </c>
      <c r="F545" vm="4462">
        <f ca="1"/>
        <v>44953</v>
      </c>
      <c r="G545" vm="4464">
        <f ca="1"/>
        <v>231.44</v>
      </c>
      <c r="H545" vm="4462">
        <f ca="1"/>
        <v>44953</v>
      </c>
      <c r="I545" vm="4441">
        <f ca="1"/>
        <v>155.69</v>
      </c>
      <c r="J545" vm="4462">
        <f ca="1"/>
        <v>44953</v>
      </c>
      <c r="K545" vm="4465">
        <f ca="1"/>
        <v>28.83</v>
      </c>
      <c r="L545" vm="4462">
        <f ca="1"/>
        <v>44953</v>
      </c>
      <c r="M545" vm="4466">
        <f ca="1"/>
        <v>102.24</v>
      </c>
      <c r="N545" vm="4462">
        <f ca="1"/>
        <v>44953</v>
      </c>
      <c r="O545" vm="4467">
        <f ca="1"/>
        <v>180.8</v>
      </c>
      <c r="P545" vm="4462">
        <f ca="1"/>
        <v>44953</v>
      </c>
      <c r="Q545" vm="4468">
        <f ca="1"/>
        <v>25.835999999999999</v>
      </c>
      <c r="R545" s="29">
        <f t="shared" ca="1" si="71"/>
        <v>6.4516129032256688E-4</v>
      </c>
      <c r="S545" s="30">
        <f t="shared" ca="1" si="72"/>
        <v>-2.5000000000000356E-3</v>
      </c>
      <c r="T545" s="30">
        <f t="shared" ca="1" si="73"/>
        <v>2.994971296337497E-2</v>
      </c>
      <c r="U545" s="30">
        <f t="shared" ca="1" si="74"/>
        <v>-3.4564424246303019E-3</v>
      </c>
      <c r="V545" s="30">
        <f t="shared" ca="1" si="75"/>
        <v>-1.4695830485304281E-2</v>
      </c>
      <c r="W545" s="30">
        <f t="shared" ca="1" si="78"/>
        <v>9.279368213228013E-3</v>
      </c>
      <c r="X545" s="30">
        <f t="shared" ca="1" si="76"/>
        <v>-1.3100436681222584E-2</v>
      </c>
      <c r="Y545" s="31">
        <f t="shared" ca="1" si="77"/>
        <v>5.3155062775150759E-2</v>
      </c>
    </row>
    <row r="546" spans="2:25" x14ac:dyDescent="0.45">
      <c r="B546" vm="4469">
        <f ca="1"/>
        <v>44956</v>
      </c>
      <c r="C546" vm="4470">
        <f ca="1"/>
        <v>242.71</v>
      </c>
      <c r="D546" vm="4469">
        <f ca="1"/>
        <v>44956</v>
      </c>
      <c r="E546" vm="4471">
        <f ca="1"/>
        <v>20.16</v>
      </c>
      <c r="F546" vm="4469">
        <f ca="1"/>
        <v>44956</v>
      </c>
      <c r="G546" vm="1613">
        <f ca="1"/>
        <v>229.1</v>
      </c>
      <c r="H546" vm="4469">
        <f ca="1"/>
        <v>44956</v>
      </c>
      <c r="I546" vm="4472">
        <f ca="1"/>
        <v>151.74</v>
      </c>
      <c r="J546" vm="4469">
        <f ca="1"/>
        <v>44956</v>
      </c>
      <c r="K546" vm="1493">
        <f ca="1"/>
        <v>28.35</v>
      </c>
      <c r="L546" vm="4469">
        <f ca="1"/>
        <v>44956</v>
      </c>
      <c r="M546" vm="4473">
        <f ca="1"/>
        <v>100</v>
      </c>
      <c r="N546" vm="4469">
        <f ca="1"/>
        <v>44956</v>
      </c>
      <c r="O546" vm="4474">
        <f ca="1"/>
        <v>185.28</v>
      </c>
      <c r="P546" vm="4469">
        <f ca="1"/>
        <v>44956</v>
      </c>
      <c r="Q546" vm="4475">
        <f ca="1"/>
        <v>24.568999999999999</v>
      </c>
      <c r="R546" s="29">
        <f t="shared" ca="1" si="71"/>
        <v>-2.1961637653126968E-2</v>
      </c>
      <c r="S546" s="30">
        <f t="shared" ca="1" si="72"/>
        <v>1.0526315789473727E-2</v>
      </c>
      <c r="T546" s="30">
        <f t="shared" ca="1" si="73"/>
        <v>-1.0110611821638452E-2</v>
      </c>
      <c r="U546" s="30">
        <f t="shared" ca="1" si="74"/>
        <v>-2.5370929411008984E-2</v>
      </c>
      <c r="V546" s="30">
        <f t="shared" ca="1" si="75"/>
        <v>-1.6649323621227782E-2</v>
      </c>
      <c r="W546" s="30">
        <f t="shared" ca="1" si="78"/>
        <v>-2.1909233176838763E-2</v>
      </c>
      <c r="X546" s="30">
        <f t="shared" ca="1" si="76"/>
        <v>2.4778761061946843E-2</v>
      </c>
      <c r="Y546" s="31">
        <f t="shared" ca="1" si="77"/>
        <v>-4.9040099086545885E-2</v>
      </c>
    </row>
    <row r="547" spans="2:25" x14ac:dyDescent="0.45">
      <c r="B547" vm="4476">
        <f ca="1"/>
        <v>44957</v>
      </c>
      <c r="C547" vm="4477">
        <f ca="1"/>
        <v>247.81</v>
      </c>
      <c r="D547" vm="4476">
        <f ca="1"/>
        <v>44957</v>
      </c>
      <c r="E547" vm="676">
        <f ca="1"/>
        <v>20.37</v>
      </c>
      <c r="F547" vm="4476">
        <f ca="1"/>
        <v>44957</v>
      </c>
      <c r="G547" vm="4478">
        <f ca="1"/>
        <v>230.21</v>
      </c>
      <c r="H547" vm="4476">
        <f ca="1"/>
        <v>44957</v>
      </c>
      <c r="I547" vm="4479">
        <f ca="1"/>
        <v>152.08000000000001</v>
      </c>
      <c r="J547" vm="4476">
        <f ca="1"/>
        <v>44957</v>
      </c>
      <c r="K547" vm="4480">
        <f ca="1"/>
        <v>28.49</v>
      </c>
      <c r="L547" vm="4476">
        <f ca="1"/>
        <v>44957</v>
      </c>
      <c r="M547" vm="4481">
        <f ca="1"/>
        <v>112.72</v>
      </c>
      <c r="N547" vm="4476">
        <f ca="1"/>
        <v>44957</v>
      </c>
      <c r="O547" vm="4482">
        <f ca="1"/>
        <v>181.12</v>
      </c>
      <c r="P547" vm="4476">
        <f ca="1"/>
        <v>44957</v>
      </c>
      <c r="Q547" vm="4483">
        <f ca="1"/>
        <v>25.172999999999998</v>
      </c>
      <c r="R547" s="29">
        <f t="shared" ca="1" si="71"/>
        <v>2.1012731243047235E-2</v>
      </c>
      <c r="S547" s="30">
        <f t="shared" ca="1" si="72"/>
        <v>1.0416666666666709E-2</v>
      </c>
      <c r="T547" s="30">
        <f t="shared" ca="1" si="73"/>
        <v>4.8450458315146818E-3</v>
      </c>
      <c r="U547" s="30">
        <f t="shared" ca="1" si="74"/>
        <v>2.2406748385396295E-3</v>
      </c>
      <c r="V547" s="30">
        <f t="shared" ca="1" si="75"/>
        <v>4.9382716049381657E-3</v>
      </c>
      <c r="W547" s="30">
        <f t="shared" ca="1" si="78"/>
        <v>0.12719999999999998</v>
      </c>
      <c r="X547" s="30">
        <f t="shared" ca="1" si="76"/>
        <v>-2.2452504317789272E-2</v>
      </c>
      <c r="Y547" s="31">
        <f t="shared" ca="1" si="77"/>
        <v>2.4583825145508536E-2</v>
      </c>
    </row>
    <row r="548" spans="2:25" x14ac:dyDescent="0.45">
      <c r="B548" vm="4484">
        <f ca="1"/>
        <v>44958</v>
      </c>
      <c r="C548" vm="4485">
        <f ca="1"/>
        <v>252.75</v>
      </c>
      <c r="D548" vm="4484">
        <f ca="1"/>
        <v>44958</v>
      </c>
      <c r="E548" vm="4486">
        <f ca="1"/>
        <v>20.18</v>
      </c>
      <c r="F548" vm="4484">
        <f ca="1"/>
        <v>44958</v>
      </c>
      <c r="G548" vm="4487">
        <f ca="1"/>
        <v>230.9</v>
      </c>
      <c r="H548" vm="4484">
        <f ca="1"/>
        <v>44958</v>
      </c>
      <c r="I548" vm="4488">
        <f ca="1"/>
        <v>155.44999999999999</v>
      </c>
      <c r="J548" vm="4484">
        <f ca="1"/>
        <v>44958</v>
      </c>
      <c r="K548" vm="4489">
        <f ca="1"/>
        <v>29.34</v>
      </c>
      <c r="L548" vm="4484">
        <f ca="1"/>
        <v>44958</v>
      </c>
      <c r="M548" vm="4490">
        <f ca="1"/>
        <v>118.14</v>
      </c>
      <c r="N548" vm="4484">
        <f ca="1"/>
        <v>44958</v>
      </c>
      <c r="O548" vm="4491">
        <f ca="1"/>
        <v>175.68</v>
      </c>
      <c r="P548" vm="4484">
        <f ca="1"/>
        <v>44958</v>
      </c>
      <c r="Q548" vm="4492">
        <f ca="1"/>
        <v>26.792000000000002</v>
      </c>
      <c r="R548" s="29">
        <f t="shared" ca="1" si="71"/>
        <v>1.9934627335458609E-2</v>
      </c>
      <c r="S548" s="30">
        <f t="shared" ca="1" si="72"/>
        <v>-9.3274423171331011E-3</v>
      </c>
      <c r="T548" s="30">
        <f t="shared" ca="1" si="73"/>
        <v>2.9972633682289985E-3</v>
      </c>
      <c r="U548" s="30">
        <f t="shared" ca="1" si="74"/>
        <v>2.215938979484466E-2</v>
      </c>
      <c r="V548" s="30">
        <f t="shared" ca="1" si="75"/>
        <v>2.9835029835029888E-2</v>
      </c>
      <c r="W548" s="30">
        <f t="shared" ca="1" si="78"/>
        <v>4.8083747338537985E-2</v>
      </c>
      <c r="X548" s="30">
        <f t="shared" ca="1" si="76"/>
        <v>-3.0035335689045924E-2</v>
      </c>
      <c r="Y548" s="31">
        <f t="shared" ca="1" si="77"/>
        <v>6.4314940610972204E-2</v>
      </c>
    </row>
    <row r="549" spans="2:25" x14ac:dyDescent="0.45">
      <c r="B549" vm="4493">
        <f ca="1"/>
        <v>44959</v>
      </c>
      <c r="C549" vm="4494">
        <f ca="1"/>
        <v>264.60000000000002</v>
      </c>
      <c r="D549" vm="4493">
        <f ca="1"/>
        <v>44959</v>
      </c>
      <c r="E549" vm="3090">
        <f ca="1"/>
        <v>20.28</v>
      </c>
      <c r="F549" vm="4493">
        <f ca="1"/>
        <v>44959</v>
      </c>
      <c r="G549" vm="4495">
        <f ca="1"/>
        <v>229.56</v>
      </c>
      <c r="H549" vm="4493">
        <f ca="1"/>
        <v>44959</v>
      </c>
      <c r="I549" vm="4496">
        <f ca="1"/>
        <v>155.5</v>
      </c>
      <c r="J549" vm="4493">
        <f ca="1"/>
        <v>44959</v>
      </c>
      <c r="K549" vm="4497">
        <f ca="1"/>
        <v>29.23</v>
      </c>
      <c r="L549" vm="4493">
        <f ca="1"/>
        <v>44959</v>
      </c>
      <c r="M549" vm="4498">
        <f ca="1"/>
        <v>122.57</v>
      </c>
      <c r="N549" vm="4493">
        <f ca="1"/>
        <v>44959</v>
      </c>
      <c r="O549" vm="4499">
        <f ca="1"/>
        <v>179.36</v>
      </c>
      <c r="P549" vm="4493">
        <f ca="1"/>
        <v>44959</v>
      </c>
      <c r="Q549" vm="4500">
        <f ca="1"/>
        <v>29.213000000000001</v>
      </c>
      <c r="R549" s="29">
        <f t="shared" ca="1" si="71"/>
        <v>4.6884272997032732E-2</v>
      </c>
      <c r="S549" s="30">
        <f t="shared" ca="1" si="72"/>
        <v>4.9554013875124587E-3</v>
      </c>
      <c r="T549" s="30">
        <f t="shared" ca="1" si="73"/>
        <v>-5.8033780857514221E-3</v>
      </c>
      <c r="U549" s="30">
        <f t="shared" ca="1" si="74"/>
        <v>3.2164683177878016E-4</v>
      </c>
      <c r="V549" s="30">
        <f t="shared" ca="1" si="75"/>
        <v>-3.7491479209270425E-3</v>
      </c>
      <c r="W549" s="30">
        <f t="shared" ca="1" si="78"/>
        <v>3.7497883866598886E-2</v>
      </c>
      <c r="X549" s="30">
        <f t="shared" ca="1" si="76"/>
        <v>2.0947176684881642E-2</v>
      </c>
      <c r="Y549" s="31">
        <f t="shared" ca="1" si="77"/>
        <v>9.0362794864138521E-2</v>
      </c>
    </row>
    <row r="550" spans="2:25" x14ac:dyDescent="0.45">
      <c r="B550" vm="4501">
        <f ca="1"/>
        <v>44960</v>
      </c>
      <c r="C550" vm="4502">
        <f ca="1"/>
        <v>258.35000000000002</v>
      </c>
      <c r="D550" vm="4501">
        <f ca="1"/>
        <v>44960</v>
      </c>
      <c r="E550" vm="4503">
        <f ca="1"/>
        <v>19.829999999999998</v>
      </c>
      <c r="F550" vm="4501">
        <f ca="1"/>
        <v>44960</v>
      </c>
      <c r="G550" vm="4504">
        <f ca="1"/>
        <v>230.13</v>
      </c>
      <c r="H550" vm="4501">
        <f ca="1"/>
        <v>44960</v>
      </c>
      <c r="I550" vm="4505">
        <f ca="1"/>
        <v>154.55000000000001</v>
      </c>
      <c r="J550" vm="4501">
        <f ca="1"/>
        <v>44960</v>
      </c>
      <c r="K550" vm="4506">
        <f ca="1"/>
        <v>30.05</v>
      </c>
      <c r="L550" vm="4501">
        <f ca="1"/>
        <v>44960</v>
      </c>
      <c r="M550" vm="4507">
        <f ca="1"/>
        <v>121.17</v>
      </c>
      <c r="N550" vm="4501">
        <f ca="1"/>
        <v>44960</v>
      </c>
      <c r="O550" vm="4482">
        <f ca="1"/>
        <v>181.12</v>
      </c>
      <c r="P550" vm="4501">
        <f ca="1"/>
        <v>44960</v>
      </c>
      <c r="Q550" vm="4508">
        <f ca="1"/>
        <v>28.475999999999999</v>
      </c>
      <c r="R550" s="29">
        <f t="shared" ca="1" si="71"/>
        <v>-2.3620559334845047E-2</v>
      </c>
      <c r="S550" s="30">
        <f t="shared" ca="1" si="72"/>
        <v>-2.2189349112426173E-2</v>
      </c>
      <c r="T550" s="30">
        <f t="shared" ca="1" si="73"/>
        <v>2.4830109775221868E-3</v>
      </c>
      <c r="U550" s="30">
        <f t="shared" ca="1" si="74"/>
        <v>-6.1093247588423702E-3</v>
      </c>
      <c r="V550" s="30">
        <f t="shared" ca="1" si="75"/>
        <v>2.8053369825521732E-2</v>
      </c>
      <c r="W550" s="30">
        <f t="shared" ca="1" si="78"/>
        <v>-1.142204454597366E-2</v>
      </c>
      <c r="X550" s="30">
        <f t="shared" ca="1" si="76"/>
        <v>9.8126672613737219E-3</v>
      </c>
      <c r="Y550" s="31">
        <f t="shared" ca="1" si="77"/>
        <v>-2.5228494163557384E-2</v>
      </c>
    </row>
    <row r="551" spans="2:25" x14ac:dyDescent="0.45">
      <c r="B551" vm="4509">
        <f ca="1"/>
        <v>44963</v>
      </c>
      <c r="C551" vm="4510">
        <f ca="1"/>
        <v>256.77</v>
      </c>
      <c r="D551" vm="4509">
        <f ca="1"/>
        <v>44963</v>
      </c>
      <c r="E551" vm="3271">
        <f ca="1"/>
        <v>19.579999999999998</v>
      </c>
      <c r="F551" vm="4509">
        <f ca="1"/>
        <v>44963</v>
      </c>
      <c r="G551" vm="4302">
        <f ca="1"/>
        <v>229.44</v>
      </c>
      <c r="H551" vm="4509">
        <f ca="1"/>
        <v>44963</v>
      </c>
      <c r="I551" vm="4511">
        <f ca="1"/>
        <v>152.24</v>
      </c>
      <c r="J551" vm="4509">
        <f ca="1"/>
        <v>44963</v>
      </c>
      <c r="K551" vm="4512">
        <f ca="1"/>
        <v>30.08</v>
      </c>
      <c r="L551" vm="4509">
        <f ca="1"/>
        <v>44963</v>
      </c>
      <c r="M551" vm="4513">
        <f ca="1"/>
        <v>122.92</v>
      </c>
      <c r="N551" vm="4509">
        <f ca="1"/>
        <v>44963</v>
      </c>
      <c r="O551" vm="4514">
        <f ca="1"/>
        <v>185.6</v>
      </c>
      <c r="P551" vm="4509">
        <f ca="1"/>
        <v>44963</v>
      </c>
      <c r="Q551" vm="4515">
        <f ca="1"/>
        <v>28.204999999999998</v>
      </c>
      <c r="R551" s="29">
        <f t="shared" ca="1" si="71"/>
        <v>-6.1157344687441098E-3</v>
      </c>
      <c r="S551" s="30">
        <f t="shared" ca="1" si="72"/>
        <v>-1.2607160867372669E-2</v>
      </c>
      <c r="T551" s="30">
        <f t="shared" ca="1" si="73"/>
        <v>-2.9983053056967701E-3</v>
      </c>
      <c r="U551" s="30">
        <f t="shared" ca="1" si="74"/>
        <v>-1.4946619217081864E-2</v>
      </c>
      <c r="V551" s="30">
        <f t="shared" ca="1" si="75"/>
        <v>9.9833610648910427E-4</v>
      </c>
      <c r="W551" s="30">
        <f t="shared" ca="1" si="78"/>
        <v>1.4442518775274407E-2</v>
      </c>
      <c r="X551" s="30">
        <f t="shared" ca="1" si="76"/>
        <v>2.473498233215542E-2</v>
      </c>
      <c r="Y551" s="31">
        <f t="shared" ca="1" si="77"/>
        <v>-9.5167860654586604E-3</v>
      </c>
    </row>
    <row r="552" spans="2:25" x14ac:dyDescent="0.45">
      <c r="B552" vm="4516">
        <f ca="1"/>
        <v>44964</v>
      </c>
      <c r="C552" vm="4517">
        <f ca="1"/>
        <v>267.56</v>
      </c>
      <c r="D552" vm="4516">
        <f ca="1"/>
        <v>44964</v>
      </c>
      <c r="E552" vm="2435">
        <f ca="1"/>
        <v>19.25</v>
      </c>
      <c r="F552" vm="4516">
        <f ca="1"/>
        <v>44964</v>
      </c>
      <c r="G552" vm="926">
        <f ca="1"/>
        <v>231.32</v>
      </c>
      <c r="H552" vm="4516">
        <f ca="1"/>
        <v>44964</v>
      </c>
      <c r="I552" vm="4518">
        <f ca="1"/>
        <v>154.51</v>
      </c>
      <c r="J552" vm="4516">
        <f ca="1"/>
        <v>44964</v>
      </c>
      <c r="K552" vm="4519">
        <f ca="1"/>
        <v>28.1</v>
      </c>
      <c r="L552" vm="4516">
        <f ca="1"/>
        <v>44964</v>
      </c>
      <c r="M552" vm="4520">
        <f ca="1"/>
        <v>125.38</v>
      </c>
      <c r="N552" vm="4516">
        <f ca="1"/>
        <v>44964</v>
      </c>
      <c r="O552" vm="4521">
        <f ca="1"/>
        <v>179.84</v>
      </c>
      <c r="P552" vm="4516">
        <f ca="1"/>
        <v>44964</v>
      </c>
      <c r="Q552" vm="4522">
        <f ca="1"/>
        <v>28.387</v>
      </c>
      <c r="R552" s="29">
        <f t="shared" ca="1" si="71"/>
        <v>4.2022043073567869E-2</v>
      </c>
      <c r="S552" s="30">
        <f t="shared" ca="1" si="72"/>
        <v>-1.6853932584269576E-2</v>
      </c>
      <c r="T552" s="30">
        <f t="shared" ca="1" si="73"/>
        <v>8.1938633193863117E-3</v>
      </c>
      <c r="U552" s="30">
        <f t="shared" ca="1" si="74"/>
        <v>1.4910667367314646E-2</v>
      </c>
      <c r="V552" s="30">
        <f t="shared" ca="1" si="75"/>
        <v>-6.582446808510628E-2</v>
      </c>
      <c r="W552" s="30">
        <f t="shared" ca="1" si="78"/>
        <v>2.0013016596160053E-2</v>
      </c>
      <c r="X552" s="30">
        <f t="shared" ca="1" si="76"/>
        <v>-3.1034482758620641E-2</v>
      </c>
      <c r="Y552" s="31">
        <f t="shared" ca="1" si="77"/>
        <v>6.4527566034391836E-3</v>
      </c>
    </row>
    <row r="553" spans="2:25" x14ac:dyDescent="0.45">
      <c r="B553" vm="4523">
        <f ca="1"/>
        <v>44965</v>
      </c>
      <c r="C553" vm="4524">
        <f ca="1"/>
        <v>266.73</v>
      </c>
      <c r="D553" vm="4523">
        <f ca="1"/>
        <v>44965</v>
      </c>
      <c r="E553" vm="4439">
        <f ca="1"/>
        <v>19.16</v>
      </c>
      <c r="F553" vm="4523">
        <f ca="1"/>
        <v>44965</v>
      </c>
      <c r="G553" vm="1750">
        <f ca="1"/>
        <v>230.2</v>
      </c>
      <c r="H553" vm="4523">
        <f ca="1"/>
        <v>44965</v>
      </c>
      <c r="I553" vm="4525">
        <f ca="1"/>
        <v>154.41999999999999</v>
      </c>
      <c r="J553" vm="4523">
        <f ca="1"/>
        <v>44965</v>
      </c>
      <c r="K553" vm="4526">
        <f ca="1"/>
        <v>28.67</v>
      </c>
      <c r="L553" vm="4523">
        <f ca="1"/>
        <v>44965</v>
      </c>
      <c r="M553" vm="4527">
        <f ca="1"/>
        <v>123.68</v>
      </c>
      <c r="N553" vm="4523">
        <f ca="1"/>
        <v>44965</v>
      </c>
      <c r="O553" vm="4528">
        <f ca="1"/>
        <v>186.56</v>
      </c>
      <c r="P553" vm="4523">
        <f ca="1"/>
        <v>44965</v>
      </c>
      <c r="Q553" vm="4529">
        <f ca="1"/>
        <v>27.596</v>
      </c>
      <c r="R553" s="29">
        <f t="shared" ca="1" si="71"/>
        <v>-3.1021079384062791E-3</v>
      </c>
      <c r="S553" s="30">
        <f t="shared" ca="1" si="72"/>
        <v>-4.6753246753246675E-3</v>
      </c>
      <c r="T553" s="30">
        <f t="shared" ca="1" si="73"/>
        <v>-4.8417776240705715E-3</v>
      </c>
      <c r="U553" s="30">
        <f t="shared" ca="1" si="74"/>
        <v>-5.8248657044853672E-4</v>
      </c>
      <c r="V553" s="30">
        <f t="shared" ca="1" si="75"/>
        <v>2.0284697508896807E-2</v>
      </c>
      <c r="W553" s="30">
        <f t="shared" ca="1" si="78"/>
        <v>-1.3558781304833217E-2</v>
      </c>
      <c r="X553" s="30">
        <f t="shared" ca="1" si="76"/>
        <v>3.7366548042704617E-2</v>
      </c>
      <c r="Y553" s="31">
        <f t="shared" ca="1" si="77"/>
        <v>-2.7864867721139972E-2</v>
      </c>
    </row>
    <row r="554" spans="2:25" x14ac:dyDescent="0.45">
      <c r="B554" vm="4530">
        <f ca="1"/>
        <v>44966</v>
      </c>
      <c r="C554" vm="4531">
        <f ca="1"/>
        <v>263.62</v>
      </c>
      <c r="D554" vm="4530">
        <f ca="1"/>
        <v>44966</v>
      </c>
      <c r="E554" vm="4113">
        <f ca="1"/>
        <v>18.97</v>
      </c>
      <c r="F554" vm="4530">
        <f ca="1"/>
        <v>44966</v>
      </c>
      <c r="G554" vm="4532">
        <f ca="1"/>
        <v>229.35</v>
      </c>
      <c r="H554" vm="4530">
        <f ca="1"/>
        <v>44966</v>
      </c>
      <c r="I554" vm="4533">
        <f ca="1"/>
        <v>152.38</v>
      </c>
      <c r="J554" vm="4530">
        <f ca="1"/>
        <v>44966</v>
      </c>
      <c r="K554" vm="4519">
        <f ca="1"/>
        <v>28.1</v>
      </c>
      <c r="L554" vm="4530">
        <f ca="1"/>
        <v>44966</v>
      </c>
      <c r="M554" vm="369">
        <f ca="1"/>
        <v>120.83</v>
      </c>
      <c r="N554" vm="4530">
        <f ca="1"/>
        <v>44966</v>
      </c>
      <c r="O554" vm="4534">
        <f ca="1"/>
        <v>192.48</v>
      </c>
      <c r="P554" vm="4530">
        <f ca="1"/>
        <v>44966</v>
      </c>
      <c r="Q554" vm="4535">
        <f ca="1"/>
        <v>24.904</v>
      </c>
      <c r="R554" s="29">
        <f t="shared" ca="1" si="71"/>
        <v>-1.1659730813931742E-2</v>
      </c>
      <c r="S554" s="30">
        <f t="shared" ca="1" si="72"/>
        <v>-9.9164926931107136E-3</v>
      </c>
      <c r="T554" s="30">
        <f t="shared" ca="1" si="73"/>
        <v>-3.6924413553431554E-3</v>
      </c>
      <c r="U554" s="30">
        <f t="shared" ca="1" si="74"/>
        <v>-1.3210723999481882E-2</v>
      </c>
      <c r="V554" s="30">
        <f t="shared" ca="1" si="75"/>
        <v>-1.9881409138472278E-2</v>
      </c>
      <c r="W554" s="30">
        <f t="shared" ca="1" si="78"/>
        <v>-2.3043337645536937E-2</v>
      </c>
      <c r="X554" s="30">
        <f t="shared" ca="1" si="76"/>
        <v>3.1732418524871291E-2</v>
      </c>
      <c r="Y554" s="31">
        <f t="shared" ca="1" si="77"/>
        <v>-9.755036961878534E-2</v>
      </c>
    </row>
    <row r="555" spans="2:25" x14ac:dyDescent="0.45">
      <c r="B555" vm="4536">
        <f ca="1"/>
        <v>44967</v>
      </c>
      <c r="C555" vm="4537">
        <f ca="1"/>
        <v>263.10000000000002</v>
      </c>
      <c r="D555" vm="4536">
        <f ca="1"/>
        <v>44967</v>
      </c>
      <c r="E555" vm="2984">
        <f ca="1"/>
        <v>19.07</v>
      </c>
      <c r="F555" vm="4536">
        <f ca="1"/>
        <v>44967</v>
      </c>
      <c r="G555" vm="4538">
        <f ca="1"/>
        <v>227.2</v>
      </c>
      <c r="H555" vm="4536">
        <f ca="1"/>
        <v>44967</v>
      </c>
      <c r="I555" vm="4539">
        <f ca="1"/>
        <v>152.55000000000001</v>
      </c>
      <c r="J555" vm="4536">
        <f ca="1"/>
        <v>44967</v>
      </c>
      <c r="K555" vm="4540">
        <f ca="1"/>
        <v>27.95</v>
      </c>
      <c r="L555" vm="4536">
        <f ca="1"/>
        <v>44967</v>
      </c>
      <c r="M555" vm="4541">
        <f ca="1"/>
        <v>125.16</v>
      </c>
      <c r="N555" vm="4536">
        <f ca="1"/>
        <v>44967</v>
      </c>
      <c r="O555" vm="4427">
        <f ca="1"/>
        <v>194.72</v>
      </c>
      <c r="P555" vm="4536">
        <f ca="1"/>
        <v>44967</v>
      </c>
      <c r="Q555" vm="4542">
        <f ca="1"/>
        <v>24.337</v>
      </c>
      <c r="R555" s="29">
        <f t="shared" ca="1" si="71"/>
        <v>-1.9725362263863962E-3</v>
      </c>
      <c r="S555" s="30">
        <f t="shared" ca="1" si="72"/>
        <v>5.2714812862415094E-3</v>
      </c>
      <c r="T555" s="30">
        <f t="shared" ca="1" si="73"/>
        <v>-9.3743187268367379E-3</v>
      </c>
      <c r="U555" s="30">
        <f t="shared" ca="1" si="74"/>
        <v>1.1156319726999338E-3</v>
      </c>
      <c r="V555" s="30">
        <f t="shared" ca="1" si="75"/>
        <v>-5.3380782918150222E-3</v>
      </c>
      <c r="W555" s="30">
        <f t="shared" ca="1" si="78"/>
        <v>3.5835471323346836E-2</v>
      </c>
      <c r="X555" s="30">
        <f t="shared" ca="1" si="76"/>
        <v>1.163757273482964E-2</v>
      </c>
      <c r="Y555" s="31">
        <f t="shared" ca="1" si="77"/>
        <v>-2.2767426919370389E-2</v>
      </c>
    </row>
    <row r="556" spans="2:25" x14ac:dyDescent="0.45">
      <c r="B556" vm="4543">
        <f ca="1"/>
        <v>44970</v>
      </c>
      <c r="C556" vm="4544">
        <f ca="1"/>
        <v>271.32</v>
      </c>
      <c r="D556" vm="4543">
        <f ca="1"/>
        <v>44970</v>
      </c>
      <c r="E556" vm="4545">
        <f ca="1"/>
        <v>19.260000000000002</v>
      </c>
      <c r="F556" vm="4543">
        <f ca="1"/>
        <v>44970</v>
      </c>
      <c r="G556" vm="4546">
        <f ca="1"/>
        <v>228.88</v>
      </c>
      <c r="H556" vm="4543">
        <f ca="1"/>
        <v>44970</v>
      </c>
      <c r="I556" vm="4547">
        <f ca="1"/>
        <v>154.6</v>
      </c>
      <c r="J556" vm="4543">
        <f ca="1"/>
        <v>44970</v>
      </c>
      <c r="K556" vm="4548">
        <f ca="1"/>
        <v>28.24</v>
      </c>
      <c r="L556" vm="4543">
        <f ca="1"/>
        <v>44970</v>
      </c>
      <c r="M556" vm="4549">
        <f ca="1"/>
        <v>122.32</v>
      </c>
      <c r="N556" vm="4543">
        <f ca="1"/>
        <v>44970</v>
      </c>
      <c r="O556" vm="4550">
        <f ca="1"/>
        <v>187.04</v>
      </c>
      <c r="P556" vm="4543">
        <f ca="1"/>
        <v>44970</v>
      </c>
      <c r="Q556" vm="4551">
        <f ca="1"/>
        <v>24.925000000000001</v>
      </c>
      <c r="R556" s="29">
        <f t="shared" ca="1" si="71"/>
        <v>3.1242873432154959E-2</v>
      </c>
      <c r="S556" s="30">
        <f t="shared" ca="1" si="72"/>
        <v>9.9632931305716453E-3</v>
      </c>
      <c r="T556" s="30">
        <f t="shared" ca="1" si="73"/>
        <v>7.3943661971831286E-3</v>
      </c>
      <c r="U556" s="30">
        <f t="shared" ca="1" si="74"/>
        <v>1.3438216978039874E-2</v>
      </c>
      <c r="V556" s="30">
        <f t="shared" ca="1" si="75"/>
        <v>1.0375670840787089E-2</v>
      </c>
      <c r="W556" s="30">
        <f t="shared" ca="1" si="78"/>
        <v>-2.2690955576861644E-2</v>
      </c>
      <c r="X556" s="30">
        <f t="shared" ca="1" si="76"/>
        <v>-3.9441248972884174E-2</v>
      </c>
      <c r="Y556" s="31">
        <f t="shared" ca="1" si="77"/>
        <v>2.4160742901754569E-2</v>
      </c>
    </row>
    <row r="557" spans="2:25" x14ac:dyDescent="0.45">
      <c r="B557" vm="4552">
        <f ca="1"/>
        <v>44971</v>
      </c>
      <c r="C557" vm="4553">
        <f ca="1"/>
        <v>272.17</v>
      </c>
      <c r="D557" vm="4552">
        <f ca="1"/>
        <v>44971</v>
      </c>
      <c r="E557" vm="4554">
        <f ca="1"/>
        <v>19.149999999999999</v>
      </c>
      <c r="F557" vm="4552">
        <f ca="1"/>
        <v>44971</v>
      </c>
      <c r="G557" vm="4555">
        <f ca="1"/>
        <v>229.39</v>
      </c>
      <c r="H557" vm="4552">
        <f ca="1"/>
        <v>44971</v>
      </c>
      <c r="I557" vm="4556">
        <f ca="1"/>
        <v>153.04</v>
      </c>
      <c r="J557" vm="4552">
        <f ca="1"/>
        <v>44971</v>
      </c>
      <c r="K557" vm="4557">
        <f ca="1"/>
        <v>29.21</v>
      </c>
      <c r="L557" vm="4552">
        <f ca="1"/>
        <v>44971</v>
      </c>
      <c r="M557" vm="4558">
        <f ca="1"/>
        <v>126.1</v>
      </c>
      <c r="N557" vm="4552">
        <f ca="1"/>
        <v>44971</v>
      </c>
      <c r="O557" vm="4467">
        <f ca="1"/>
        <v>180.8</v>
      </c>
      <c r="P557" vm="4552">
        <f ca="1"/>
        <v>44971</v>
      </c>
      <c r="Q557" vm="4559">
        <f ca="1"/>
        <v>27.114000000000001</v>
      </c>
      <c r="R557" s="29">
        <f t="shared" ca="1" si="71"/>
        <v>3.1328320802005852E-3</v>
      </c>
      <c r="S557" s="30">
        <f t="shared" ca="1" si="72"/>
        <v>-5.7113187954310994E-3</v>
      </c>
      <c r="T557" s="30">
        <f t="shared" ca="1" si="73"/>
        <v>2.2282418734707746E-3</v>
      </c>
      <c r="U557" s="30">
        <f t="shared" ca="1" si="74"/>
        <v>-1.009055627425616E-2</v>
      </c>
      <c r="V557" s="30">
        <f t="shared" ca="1" si="75"/>
        <v>3.4348441926345695E-2</v>
      </c>
      <c r="W557" s="30">
        <f t="shared" ca="1" si="78"/>
        <v>3.090255068672336E-2</v>
      </c>
      <c r="X557" s="30">
        <f t="shared" ca="1" si="76"/>
        <v>-3.3361847733105118E-2</v>
      </c>
      <c r="Y557" s="31">
        <f t="shared" ca="1" si="77"/>
        <v>8.7823470411233701E-2</v>
      </c>
    </row>
    <row r="558" spans="2:25" x14ac:dyDescent="0.45">
      <c r="B558" vm="4560">
        <f ca="1"/>
        <v>44972</v>
      </c>
      <c r="C558" vm="4561">
        <f ca="1"/>
        <v>269.32</v>
      </c>
      <c r="D558" vm="4560">
        <f ca="1"/>
        <v>44972</v>
      </c>
      <c r="E558" vm="2435">
        <f ca="1"/>
        <v>19.25</v>
      </c>
      <c r="F558" vm="4560">
        <f ca="1"/>
        <v>44972</v>
      </c>
      <c r="G558" vm="4562">
        <f ca="1"/>
        <v>228.92</v>
      </c>
      <c r="H558" vm="4560">
        <f ca="1"/>
        <v>44972</v>
      </c>
      <c r="I558" vm="4563">
        <f ca="1"/>
        <v>151.75</v>
      </c>
      <c r="J558" vm="4560">
        <f ca="1"/>
        <v>44972</v>
      </c>
      <c r="K558" vm="4564">
        <f ca="1"/>
        <v>29.92</v>
      </c>
      <c r="L558" vm="4560">
        <f ca="1"/>
        <v>44972</v>
      </c>
      <c r="M558" vm="4565">
        <f ca="1"/>
        <v>128.27000000000001</v>
      </c>
      <c r="N558" vm="4560">
        <f ca="1"/>
        <v>44972</v>
      </c>
      <c r="O558" vm="4566">
        <f ca="1"/>
        <v>177.12</v>
      </c>
      <c r="P558" vm="4560">
        <f ca="1"/>
        <v>44972</v>
      </c>
      <c r="Q558" vm="4567">
        <f ca="1"/>
        <v>29.84</v>
      </c>
      <c r="R558" s="29">
        <f t="shared" ca="1" si="71"/>
        <v>-1.0471396553624656E-2</v>
      </c>
      <c r="S558" s="30">
        <f t="shared" ca="1" si="72"/>
        <v>5.2219321148825812E-3</v>
      </c>
      <c r="T558" s="30">
        <f t="shared" ca="1" si="73"/>
        <v>-2.0489123327084827E-3</v>
      </c>
      <c r="U558" s="30">
        <f t="shared" ca="1" si="74"/>
        <v>-8.4291688447464194E-3</v>
      </c>
      <c r="V558" s="30">
        <f t="shared" ca="1" si="75"/>
        <v>2.4306744265662473E-2</v>
      </c>
      <c r="W558" s="30">
        <f t="shared" ca="1" si="78"/>
        <v>1.720856463124517E-2</v>
      </c>
      <c r="X558" s="30">
        <f t="shared" ca="1" si="76"/>
        <v>-2.0353982300884994E-2</v>
      </c>
      <c r="Y558" s="31">
        <f t="shared" ca="1" si="77"/>
        <v>0.1005384672125101</v>
      </c>
    </row>
    <row r="559" spans="2:25" x14ac:dyDescent="0.45">
      <c r="B559" vm="4568">
        <f ca="1"/>
        <v>44973</v>
      </c>
      <c r="C559" vm="884">
        <f ca="1"/>
        <v>262.14999999999998</v>
      </c>
      <c r="D559" vm="4568">
        <f ca="1"/>
        <v>44973</v>
      </c>
      <c r="E559" vm="4545">
        <f ca="1"/>
        <v>19.260000000000002</v>
      </c>
      <c r="F559" vm="4568">
        <f ca="1"/>
        <v>44973</v>
      </c>
      <c r="G559" vm="4569">
        <f ca="1"/>
        <v>225.83</v>
      </c>
      <c r="H559" vm="4568">
        <f ca="1"/>
        <v>44973</v>
      </c>
      <c r="I559" vm="4570">
        <f ca="1"/>
        <v>148.28</v>
      </c>
      <c r="J559" vm="4568">
        <f ca="1"/>
        <v>44973</v>
      </c>
      <c r="K559" vm="4571">
        <f ca="1"/>
        <v>29.79</v>
      </c>
      <c r="L559" vm="4568">
        <f ca="1"/>
        <v>44973</v>
      </c>
      <c r="M559" vm="4572">
        <f ca="1"/>
        <v>125.57</v>
      </c>
      <c r="N559" vm="4568">
        <f ca="1"/>
        <v>44973</v>
      </c>
      <c r="O559" vm="4573">
        <f ca="1"/>
        <v>186.88</v>
      </c>
      <c r="P559" vm="4568">
        <f ca="1"/>
        <v>44973</v>
      </c>
      <c r="Q559" vm="4574">
        <f ca="1"/>
        <v>28.402999999999999</v>
      </c>
      <c r="R559" s="29">
        <f t="shared" ca="1" si="71"/>
        <v>-2.662260507945944E-2</v>
      </c>
      <c r="S559" s="30">
        <f t="shared" ca="1" si="72"/>
        <v>5.1948051948060069E-4</v>
      </c>
      <c r="T559" s="30">
        <f t="shared" ca="1" si="73"/>
        <v>-1.3498165297920563E-2</v>
      </c>
      <c r="U559" s="30">
        <f t="shared" ca="1" si="74"/>
        <v>-2.2866556836902793E-2</v>
      </c>
      <c r="V559" s="30">
        <f t="shared" ca="1" si="75"/>
        <v>-4.3449197860963417E-3</v>
      </c>
      <c r="W559" s="30">
        <f t="shared" ca="1" si="78"/>
        <v>-2.1049349029391259E-2</v>
      </c>
      <c r="X559" s="30">
        <f t="shared" ca="1" si="76"/>
        <v>5.5103884372177003E-2</v>
      </c>
      <c r="Y559" s="31">
        <f t="shared" ca="1" si="77"/>
        <v>-4.8156836461126042E-2</v>
      </c>
    </row>
    <row r="560" spans="2:25" x14ac:dyDescent="0.45">
      <c r="B560" vm="4575">
        <f ca="1"/>
        <v>44974</v>
      </c>
      <c r="C560" vm="4576">
        <f ca="1"/>
        <v>258.06</v>
      </c>
      <c r="D560" vm="4575">
        <f ca="1"/>
        <v>44974</v>
      </c>
      <c r="E560" vm="3259">
        <f ca="1"/>
        <v>19.440000000000001</v>
      </c>
      <c r="F560" vm="4575">
        <f ca="1"/>
        <v>44974</v>
      </c>
      <c r="G560" vm="4577">
        <f ca="1"/>
        <v>223.56</v>
      </c>
      <c r="H560" vm="4575">
        <f ca="1"/>
        <v>44974</v>
      </c>
      <c r="I560" vm="4578">
        <f ca="1"/>
        <v>148.26</v>
      </c>
      <c r="J560" vm="4575">
        <f ca="1"/>
        <v>44974</v>
      </c>
      <c r="K560" vm="4579">
        <f ca="1"/>
        <v>28.02</v>
      </c>
      <c r="L560" vm="4575">
        <f ca="1"/>
        <v>44974</v>
      </c>
      <c r="M560" vm="4580">
        <f ca="1"/>
        <v>125.33</v>
      </c>
      <c r="N560" vm="4575">
        <f ca="1"/>
        <v>44974</v>
      </c>
      <c r="O560" vm="4581">
        <f ca="1"/>
        <v>186.72</v>
      </c>
      <c r="P560" vm="4575">
        <f ca="1"/>
        <v>44974</v>
      </c>
      <c r="Q560" vm="4582">
        <f ca="1"/>
        <v>29.405000000000001</v>
      </c>
      <c r="R560" s="29">
        <f t="shared" ca="1" si="71"/>
        <v>-1.5601754720579727E-2</v>
      </c>
      <c r="S560" s="30">
        <f t="shared" ca="1" si="72"/>
        <v>9.3457943925233482E-3</v>
      </c>
      <c r="T560" s="30">
        <f t="shared" ca="1" si="73"/>
        <v>-1.0051808882787982E-2</v>
      </c>
      <c r="U560" s="30">
        <f t="shared" ca="1" si="74"/>
        <v>-1.3487995683848282E-4</v>
      </c>
      <c r="V560" s="30">
        <f t="shared" ca="1" si="75"/>
        <v>-5.9415911379657592E-2</v>
      </c>
      <c r="W560" s="30">
        <f t="shared" ca="1" si="78"/>
        <v>-1.911284542486222E-3</v>
      </c>
      <c r="X560" s="30">
        <f t="shared" ca="1" si="76"/>
        <v>-8.5616438356162557E-4</v>
      </c>
      <c r="Y560" s="31">
        <f t="shared" ca="1" si="77"/>
        <v>3.5277963595394937E-2</v>
      </c>
    </row>
    <row r="561" spans="2:25" x14ac:dyDescent="0.45">
      <c r="B561" vm="4583">
        <f ca="1"/>
        <v>44978</v>
      </c>
      <c r="C561" vm="4584">
        <f ca="1"/>
        <v>252.67</v>
      </c>
      <c r="D561" vm="4583">
        <f ca="1"/>
        <v>44978</v>
      </c>
      <c r="E561" vm="4344">
        <f ca="1"/>
        <v>19.21</v>
      </c>
      <c r="F561" vm="4583">
        <f ca="1"/>
        <v>44978</v>
      </c>
      <c r="G561" vm="4585">
        <f ca="1"/>
        <v>220.62</v>
      </c>
      <c r="H561" vm="4583">
        <f ca="1"/>
        <v>44978</v>
      </c>
      <c r="I561" vm="4586">
        <f ca="1"/>
        <v>143.41999999999999</v>
      </c>
      <c r="J561" vm="4583">
        <f ca="1"/>
        <v>44978</v>
      </c>
      <c r="K561" vm="4587">
        <f ca="1"/>
        <v>28.34</v>
      </c>
      <c r="L561" vm="4583">
        <f ca="1"/>
        <v>44978</v>
      </c>
      <c r="M561" vm="4588">
        <f ca="1"/>
        <v>120.35</v>
      </c>
      <c r="N561" vm="4583">
        <f ca="1"/>
        <v>44978</v>
      </c>
      <c r="O561" vm="4589">
        <f ca="1"/>
        <v>201.28</v>
      </c>
      <c r="P561" vm="4583">
        <f ca="1"/>
        <v>44978</v>
      </c>
      <c r="Q561" vm="4590">
        <f ca="1"/>
        <v>26.992000000000001</v>
      </c>
      <c r="R561" s="29">
        <f t="shared" ca="1" si="71"/>
        <v>-2.0886615515771582E-2</v>
      </c>
      <c r="S561" s="30">
        <f t="shared" ca="1" si="72"/>
        <v>-1.183127572016463E-2</v>
      </c>
      <c r="T561" s="30">
        <f t="shared" ca="1" si="73"/>
        <v>-1.3150831991411691E-2</v>
      </c>
      <c r="U561" s="30">
        <f t="shared" ca="1" si="74"/>
        <v>-3.2645352758667229E-2</v>
      </c>
      <c r="V561" s="30">
        <f t="shared" ca="1" si="75"/>
        <v>1.1420413990007148E-2</v>
      </c>
      <c r="W561" s="30">
        <f t="shared" ca="1" si="78"/>
        <v>-3.9735099337748374E-2</v>
      </c>
      <c r="X561" s="30">
        <f t="shared" ca="1" si="76"/>
        <v>7.7977720651242519E-2</v>
      </c>
      <c r="Y561" s="31">
        <f t="shared" ca="1" si="77"/>
        <v>-8.2060874001020245E-2</v>
      </c>
    </row>
    <row r="562" spans="2:25" x14ac:dyDescent="0.45">
      <c r="B562" vm="4591">
        <f ca="1"/>
        <v>44979</v>
      </c>
      <c r="C562" vm="1147">
        <f ca="1"/>
        <v>251.51</v>
      </c>
      <c r="D562" vm="4591">
        <f ca="1"/>
        <v>44979</v>
      </c>
      <c r="E562" vm="3277">
        <f ca="1"/>
        <v>19.38</v>
      </c>
      <c r="F562" vm="4591">
        <f ca="1"/>
        <v>44979</v>
      </c>
      <c r="G562" vm="4592">
        <f ca="1"/>
        <v>220.02</v>
      </c>
      <c r="H562" vm="4591">
        <f ca="1"/>
        <v>44979</v>
      </c>
      <c r="I562" vm="4593">
        <f ca="1"/>
        <v>142.08000000000001</v>
      </c>
      <c r="J562" vm="4591">
        <f ca="1"/>
        <v>44979</v>
      </c>
      <c r="K562" vm="4594">
        <f ca="1"/>
        <v>28.39</v>
      </c>
      <c r="L562" vm="4591">
        <f ca="1"/>
        <v>44979</v>
      </c>
      <c r="M562" vm="4595">
        <f ca="1"/>
        <v>120.07</v>
      </c>
      <c r="N562" vm="4591">
        <f ca="1"/>
        <v>44979</v>
      </c>
      <c r="O562" vm="4596">
        <f ca="1"/>
        <v>195.52</v>
      </c>
      <c r="P562" vm="4591">
        <f ca="1"/>
        <v>44979</v>
      </c>
      <c r="Q562" vm="4597">
        <f ca="1"/>
        <v>26.858000000000001</v>
      </c>
      <c r="R562" s="29">
        <f t="shared" ca="1" si="71"/>
        <v>-4.590968456880503E-3</v>
      </c>
      <c r="S562" s="30">
        <f t="shared" ca="1" si="72"/>
        <v>8.8495575221237965E-3</v>
      </c>
      <c r="T562" s="30">
        <f t="shared" ca="1" si="73"/>
        <v>-2.7196083763937734E-3</v>
      </c>
      <c r="U562" s="30">
        <f t="shared" ca="1" si="74"/>
        <v>-9.3431878399105779E-3</v>
      </c>
      <c r="V562" s="30">
        <f t="shared" ca="1" si="75"/>
        <v>1.7642907551164682E-3</v>
      </c>
      <c r="W562" s="30">
        <f t="shared" ca="1" si="78"/>
        <v>-2.3265475695887091E-3</v>
      </c>
      <c r="X562" s="30">
        <f t="shared" ca="1" si="76"/>
        <v>-2.8616852146263867E-2</v>
      </c>
      <c r="Y562" s="31">
        <f t="shared" ca="1" si="77"/>
        <v>-4.9644339063426328E-3</v>
      </c>
    </row>
    <row r="563" spans="2:25" x14ac:dyDescent="0.45">
      <c r="B563" vm="4598">
        <f ca="1"/>
        <v>44980</v>
      </c>
      <c r="C563" vm="4599">
        <f ca="1"/>
        <v>254.77</v>
      </c>
      <c r="D563" vm="4598">
        <f ca="1"/>
        <v>44980</v>
      </c>
      <c r="E563" vm="4600">
        <f ca="1"/>
        <v>19.350000000000001</v>
      </c>
      <c r="F563" vm="4598">
        <f ca="1"/>
        <v>44980</v>
      </c>
      <c r="G563" vm="1462">
        <f ca="1"/>
        <v>221.13</v>
      </c>
      <c r="H563" vm="4598">
        <f ca="1"/>
        <v>44980</v>
      </c>
      <c r="I563" vm="4601">
        <f ca="1"/>
        <v>143.19999999999999</v>
      </c>
      <c r="J563" vm="4598">
        <f ca="1"/>
        <v>44980</v>
      </c>
      <c r="K563" vm="1485">
        <f ca="1"/>
        <v>28.31</v>
      </c>
      <c r="L563" vm="4598">
        <f ca="1"/>
        <v>44980</v>
      </c>
      <c r="M563" vm="4602">
        <f ca="1"/>
        <v>118.86</v>
      </c>
      <c r="N563" vm="4598">
        <f ca="1"/>
        <v>44980</v>
      </c>
      <c r="O563" vm="4603">
        <f ca="1"/>
        <v>188.64</v>
      </c>
      <c r="P563" vm="4598">
        <f ca="1"/>
        <v>44980</v>
      </c>
      <c r="Q563" vm="4604">
        <f ca="1"/>
        <v>26.574999999999999</v>
      </c>
      <c r="R563" s="29">
        <f t="shared" ca="1" si="71"/>
        <v>1.2961711263965725E-2</v>
      </c>
      <c r="S563" s="30">
        <f t="shared" ca="1" si="72"/>
        <v>-1.5479876160989466E-3</v>
      </c>
      <c r="T563" s="30">
        <f t="shared" ca="1" si="73"/>
        <v>5.0449959094627083E-3</v>
      </c>
      <c r="U563" s="30">
        <f t="shared" ca="1" si="74"/>
        <v>7.8828828828827139E-3</v>
      </c>
      <c r="V563" s="30">
        <f t="shared" ca="1" si="75"/>
        <v>-2.8178936245157396E-3</v>
      </c>
      <c r="W563" s="30">
        <f t="shared" ca="1" si="78"/>
        <v>-1.0077454818022769E-2</v>
      </c>
      <c r="X563" s="30">
        <f t="shared" ca="1" si="76"/>
        <v>-3.518821603927999E-2</v>
      </c>
      <c r="Y563" s="31">
        <f t="shared" ca="1" si="77"/>
        <v>-1.053689775858222E-2</v>
      </c>
    </row>
    <row r="564" spans="2:25" x14ac:dyDescent="0.45">
      <c r="B564" vm="4605">
        <f ca="1"/>
        <v>44981</v>
      </c>
      <c r="C564" vm="4606">
        <f ca="1"/>
        <v>249.22</v>
      </c>
      <c r="D564" vm="4605">
        <f ca="1"/>
        <v>44981</v>
      </c>
      <c r="E564" vm="4607">
        <f ca="1"/>
        <v>19.239999999999998</v>
      </c>
      <c r="F564" vm="4605">
        <f ca="1"/>
        <v>44981</v>
      </c>
      <c r="G564" vm="4608">
        <f ca="1"/>
        <v>219.55</v>
      </c>
      <c r="H564" vm="4605">
        <f ca="1"/>
        <v>44981</v>
      </c>
      <c r="I564" vm="4609">
        <f ca="1"/>
        <v>141.19999999999999</v>
      </c>
      <c r="J564" vm="4605">
        <f ca="1"/>
        <v>44981</v>
      </c>
      <c r="K564" vm="4610">
        <f ca="1"/>
        <v>28.27</v>
      </c>
      <c r="L564" vm="4605">
        <f ca="1"/>
        <v>44981</v>
      </c>
      <c r="M564" vm="4611">
        <f ca="1"/>
        <v>117.14</v>
      </c>
      <c r="N564" vm="4605">
        <f ca="1"/>
        <v>44981</v>
      </c>
      <c r="O564" vm="4612">
        <f ca="1"/>
        <v>196</v>
      </c>
      <c r="P564" vm="4605">
        <f ca="1"/>
        <v>44981</v>
      </c>
      <c r="Q564" vm="4613">
        <f ca="1"/>
        <v>25.58</v>
      </c>
      <c r="R564" s="29">
        <f t="shared" ca="1" si="71"/>
        <v>-2.1784354515837857E-2</v>
      </c>
      <c r="S564" s="30">
        <f t="shared" ca="1" si="72"/>
        <v>-5.6847545219639783E-3</v>
      </c>
      <c r="T564" s="30">
        <f t="shared" ca="1" si="73"/>
        <v>-7.1451182562292954E-3</v>
      </c>
      <c r="U564" s="30">
        <f t="shared" ca="1" si="74"/>
        <v>-1.3966480446927375E-2</v>
      </c>
      <c r="V564" s="30">
        <f t="shared" ca="1" si="75"/>
        <v>-1.4129282938890552E-3</v>
      </c>
      <c r="W564" s="30">
        <f t="shared" ca="1" si="78"/>
        <v>-1.447080599024061E-2</v>
      </c>
      <c r="X564" s="30">
        <f t="shared" ca="1" si="76"/>
        <v>3.9016115351993293E-2</v>
      </c>
      <c r="Y564" s="31">
        <f t="shared" ca="1" si="77"/>
        <v>-3.7441204139228634E-2</v>
      </c>
    </row>
    <row r="565" spans="2:25" x14ac:dyDescent="0.45">
      <c r="B565" vm="4614">
        <f ca="1"/>
        <v>44984</v>
      </c>
      <c r="C565" vm="4615">
        <f ca="1"/>
        <v>250.16</v>
      </c>
      <c r="D565" vm="4614">
        <f ca="1"/>
        <v>44984</v>
      </c>
      <c r="E565" vm="326">
        <f ca="1"/>
        <v>19.03</v>
      </c>
      <c r="F565" vm="4614">
        <f ca="1"/>
        <v>44984</v>
      </c>
      <c r="G565" vm="4616">
        <f ca="1"/>
        <v>220.35</v>
      </c>
      <c r="H565" vm="4614">
        <f ca="1"/>
        <v>44984</v>
      </c>
      <c r="I565" vm="4617">
        <f ca="1"/>
        <v>142.18</v>
      </c>
      <c r="J565" vm="4614">
        <f ca="1"/>
        <v>44984</v>
      </c>
      <c r="K565" vm="4618">
        <f ca="1"/>
        <v>28.91</v>
      </c>
      <c r="L565" vm="4614">
        <f ca="1"/>
        <v>44984</v>
      </c>
      <c r="M565" vm="4619">
        <f ca="1"/>
        <v>116.84</v>
      </c>
      <c r="N565" vm="4614">
        <f ca="1"/>
        <v>44984</v>
      </c>
      <c r="O565" vm="4620">
        <f ca="1"/>
        <v>188.48</v>
      </c>
      <c r="P565" vm="4614">
        <f ca="1"/>
        <v>44984</v>
      </c>
      <c r="Q565" vm="4621">
        <f ca="1"/>
        <v>25.864999999999998</v>
      </c>
      <c r="R565" s="29">
        <f t="shared" ca="1" si="71"/>
        <v>3.7717679158975914E-3</v>
      </c>
      <c r="S565" s="30">
        <f t="shared" ca="1" si="72"/>
        <v>-1.0914760914760775E-2</v>
      </c>
      <c r="T565" s="30">
        <f t="shared" ca="1" si="73"/>
        <v>3.6438168982007874E-3</v>
      </c>
      <c r="U565" s="30">
        <f t="shared" ca="1" si="74"/>
        <v>6.9405099150142936E-3</v>
      </c>
      <c r="V565" s="30">
        <f t="shared" ca="1" si="75"/>
        <v>2.2638839759462348E-2</v>
      </c>
      <c r="W565" s="30">
        <f t="shared" ca="1" si="78"/>
        <v>-2.5610380740993441E-3</v>
      </c>
      <c r="X565" s="30">
        <f t="shared" ca="1" si="76"/>
        <v>-3.8367346938775561E-2</v>
      </c>
      <c r="Y565" s="31">
        <f t="shared" ca="1" si="77"/>
        <v>1.1141516810007825E-2</v>
      </c>
    </row>
    <row r="566" spans="2:25" x14ac:dyDescent="0.45">
      <c r="B566" vm="4622">
        <f ca="1"/>
        <v>44985</v>
      </c>
      <c r="C566" vm="4623">
        <f ca="1"/>
        <v>249.42</v>
      </c>
      <c r="D566" vm="4622">
        <f ca="1"/>
        <v>44985</v>
      </c>
      <c r="E566" vm="317">
        <f ca="1"/>
        <v>18.91</v>
      </c>
      <c r="F566" vm="4622">
        <f ca="1"/>
        <v>44985</v>
      </c>
      <c r="G566" vm="4624">
        <f ca="1"/>
        <v>219.94</v>
      </c>
      <c r="H566" vm="4622">
        <f ca="1"/>
        <v>44985</v>
      </c>
      <c r="I566" vm="4625">
        <f ca="1"/>
        <v>141.97</v>
      </c>
      <c r="J566" vm="4622">
        <f ca="1"/>
        <v>44985</v>
      </c>
      <c r="K566" vm="4626">
        <f ca="1"/>
        <v>30.63</v>
      </c>
      <c r="L566" vm="4622">
        <f ca="1"/>
        <v>44985</v>
      </c>
      <c r="M566" vm="4627">
        <f ca="1"/>
        <v>116.3</v>
      </c>
      <c r="N566" vm="4622">
        <f ca="1"/>
        <v>44985</v>
      </c>
      <c r="O566" vm="4628">
        <f ca="1"/>
        <v>184.64</v>
      </c>
      <c r="P566" vm="4622">
        <f ca="1"/>
        <v>44985</v>
      </c>
      <c r="Q566" vm="4629">
        <f ca="1"/>
        <v>26.227</v>
      </c>
      <c r="R566" s="29">
        <f t="shared" ca="1" si="71"/>
        <v>-2.9581068116405866E-3</v>
      </c>
      <c r="S566" s="30">
        <f t="shared" ca="1" si="72"/>
        <v>-6.3058328954283234E-3</v>
      </c>
      <c r="T566" s="30">
        <f t="shared" ca="1" si="73"/>
        <v>-1.8606761969593673E-3</v>
      </c>
      <c r="U566" s="30">
        <f t="shared" ca="1" si="74"/>
        <v>-1.4770009846673791E-3</v>
      </c>
      <c r="V566" s="30">
        <f t="shared" ca="1" si="75"/>
        <v>5.9494984434451705E-2</v>
      </c>
      <c r="W566" s="30">
        <f t="shared" ca="1" si="78"/>
        <v>-4.6217048955837572E-3</v>
      </c>
      <c r="X566" s="30">
        <f t="shared" ca="1" si="76"/>
        <v>-2.0373514431239408E-2</v>
      </c>
      <c r="Y566" s="31">
        <f t="shared" ca="1" si="77"/>
        <v>1.3995747148656559E-2</v>
      </c>
    </row>
    <row r="567" spans="2:25" x14ac:dyDescent="0.45">
      <c r="B567" vm="4630">
        <f ca="1"/>
        <v>44986</v>
      </c>
      <c r="C567" vm="4631">
        <f ca="1"/>
        <v>246.27</v>
      </c>
      <c r="D567" vm="4630">
        <f ca="1"/>
        <v>44986</v>
      </c>
      <c r="E567" vm="4632">
        <f ca="1"/>
        <v>18.66</v>
      </c>
      <c r="F567" vm="4630">
        <f ca="1"/>
        <v>44986</v>
      </c>
      <c r="G567" vm="184">
        <f ca="1"/>
        <v>218.36</v>
      </c>
      <c r="H567" vm="4630">
        <f ca="1"/>
        <v>44986</v>
      </c>
      <c r="I567" vm="2434">
        <f ca="1"/>
        <v>137.51</v>
      </c>
      <c r="J567" vm="4630">
        <f ca="1"/>
        <v>44986</v>
      </c>
      <c r="K567" vm="4633">
        <f ca="1"/>
        <v>30.64</v>
      </c>
      <c r="L567" vm="4630">
        <f ca="1"/>
        <v>44986</v>
      </c>
      <c r="M567" vm="4634">
        <f ca="1"/>
        <v>117.2</v>
      </c>
      <c r="N567" vm="4630">
        <f ca="1"/>
        <v>44986</v>
      </c>
      <c r="O567" vm="4635">
        <f ca="1"/>
        <v>186.4</v>
      </c>
      <c r="P567" vm="4630">
        <f ca="1"/>
        <v>44986</v>
      </c>
      <c r="Q567" vm="4636">
        <f ca="1"/>
        <v>25.791</v>
      </c>
      <c r="R567" s="29">
        <f t="shared" ca="1" si="71"/>
        <v>-1.26292999759441E-2</v>
      </c>
      <c r="S567" s="30">
        <f t="shared" ca="1" si="72"/>
        <v>-1.3220518244315176E-2</v>
      </c>
      <c r="T567" s="30">
        <f t="shared" ca="1" si="73"/>
        <v>-7.1837773938346096E-3</v>
      </c>
      <c r="U567" s="30">
        <f t="shared" ca="1" si="74"/>
        <v>-3.141508769458342E-2</v>
      </c>
      <c r="V567" s="30">
        <f t="shared" ca="1" si="75"/>
        <v>3.2647730982701808E-4</v>
      </c>
      <c r="W567" s="30">
        <f t="shared" ca="1" si="78"/>
        <v>7.7386070507309175E-3</v>
      </c>
      <c r="X567" s="30">
        <f t="shared" ca="1" si="76"/>
        <v>9.5320623916812144E-3</v>
      </c>
      <c r="Y567" s="31">
        <f t="shared" ca="1" si="77"/>
        <v>-1.662408967857551E-2</v>
      </c>
    </row>
    <row r="568" spans="2:25" x14ac:dyDescent="0.45">
      <c r="B568" vm="4637">
        <f ca="1"/>
        <v>44987</v>
      </c>
      <c r="C568" vm="4638">
        <f ca="1"/>
        <v>251.11</v>
      </c>
      <c r="D568" vm="4637">
        <f ca="1"/>
        <v>44987</v>
      </c>
      <c r="E568" vm="4632">
        <f ca="1"/>
        <v>18.66</v>
      </c>
      <c r="F568" vm="4637">
        <f ca="1"/>
        <v>44987</v>
      </c>
      <c r="G568" vm="4639">
        <f ca="1"/>
        <v>219.06</v>
      </c>
      <c r="H568" vm="4637">
        <f ca="1"/>
        <v>44987</v>
      </c>
      <c r="I568" vm="4640">
        <f ca="1"/>
        <v>141.66999999999999</v>
      </c>
      <c r="J568" vm="4637">
        <f ca="1"/>
        <v>44987</v>
      </c>
      <c r="K568" vm="4641">
        <f ca="1"/>
        <v>31.02</v>
      </c>
      <c r="L568" vm="4637">
        <f ca="1"/>
        <v>44987</v>
      </c>
      <c r="M568" vm="77">
        <f ca="1"/>
        <v>118.48</v>
      </c>
      <c r="N568" vm="4637">
        <f ca="1"/>
        <v>44987</v>
      </c>
      <c r="O568" vm="4642">
        <f ca="1"/>
        <v>179.52</v>
      </c>
      <c r="P568" vm="4637">
        <f ca="1"/>
        <v>44987</v>
      </c>
      <c r="Q568" vm="4643">
        <f ca="1"/>
        <v>25.289000000000001</v>
      </c>
      <c r="R568" s="29">
        <f t="shared" ca="1" si="71"/>
        <v>1.965322613391807E-2</v>
      </c>
      <c r="S568" s="30">
        <f t="shared" ca="1" si="72"/>
        <v>0</v>
      </c>
      <c r="T568" s="30">
        <f t="shared" ca="1" si="73"/>
        <v>3.2057153324784237E-3</v>
      </c>
      <c r="U568" s="30">
        <f t="shared" ca="1" si="74"/>
        <v>3.0252345283979323E-2</v>
      </c>
      <c r="V568" s="30">
        <f t="shared" ca="1" si="75"/>
        <v>1.240208877284592E-2</v>
      </c>
      <c r="W568" s="30">
        <f t="shared" ca="1" si="78"/>
        <v>1.092150170648465E-2</v>
      </c>
      <c r="X568" s="30">
        <f t="shared" ca="1" si="76"/>
        <v>-3.690987124463517E-2</v>
      </c>
      <c r="Y568" s="31">
        <f t="shared" ca="1" si="77"/>
        <v>-1.9464154162304636E-2</v>
      </c>
    </row>
    <row r="569" spans="2:25" x14ac:dyDescent="0.45">
      <c r="B569" vm="4644">
        <f ca="1"/>
        <v>44988</v>
      </c>
      <c r="C569" vm="4645">
        <f ca="1"/>
        <v>255.29</v>
      </c>
      <c r="D569" vm="4644">
        <f ca="1"/>
        <v>44988</v>
      </c>
      <c r="E569" vm="3887">
        <f ca="1"/>
        <v>18.809999999999999</v>
      </c>
      <c r="F569" vm="4644">
        <f ca="1"/>
        <v>44988</v>
      </c>
      <c r="G569" vm="4646">
        <f ca="1"/>
        <v>223.77</v>
      </c>
      <c r="H569" vm="4644">
        <f ca="1"/>
        <v>44988</v>
      </c>
      <c r="I569" vm="4647">
        <f ca="1"/>
        <v>143.93</v>
      </c>
      <c r="J569" vm="4644">
        <f ca="1"/>
        <v>44988</v>
      </c>
      <c r="K569" vm="4648">
        <f ca="1"/>
        <v>31.37</v>
      </c>
      <c r="L569" vm="4644">
        <f ca="1"/>
        <v>44988</v>
      </c>
      <c r="M569" vm="4649">
        <f ca="1"/>
        <v>123.74</v>
      </c>
      <c r="N569" vm="4644">
        <f ca="1"/>
        <v>44988</v>
      </c>
      <c r="O569" vm="4650">
        <f ca="1"/>
        <v>174.4</v>
      </c>
      <c r="P569" vm="4644">
        <f ca="1"/>
        <v>44988</v>
      </c>
      <c r="Q569" vm="4651">
        <f ca="1"/>
        <v>24.690999999999999</v>
      </c>
      <c r="R569" s="29">
        <f t="shared" ca="1" si="71"/>
        <v>1.6646091354386439E-2</v>
      </c>
      <c r="S569" s="30">
        <f t="shared" ca="1" si="72"/>
        <v>8.0385852090031386E-3</v>
      </c>
      <c r="T569" s="30">
        <f t="shared" ca="1" si="73"/>
        <v>2.1500958641468126E-2</v>
      </c>
      <c r="U569" s="30">
        <f t="shared" ca="1" si="74"/>
        <v>1.5952565821980798E-2</v>
      </c>
      <c r="V569" s="30">
        <f t="shared" ca="1" si="75"/>
        <v>1.1283043197936861E-2</v>
      </c>
      <c r="W569" s="30">
        <f t="shared" ca="1" si="78"/>
        <v>4.4395678595543477E-2</v>
      </c>
      <c r="X569" s="30">
        <f t="shared" ca="1" si="76"/>
        <v>-2.8520499108734425E-2</v>
      </c>
      <c r="Y569" s="31">
        <f t="shared" ca="1" si="77"/>
        <v>-2.364664478627081E-2</v>
      </c>
    </row>
    <row r="570" spans="2:25" x14ac:dyDescent="0.45">
      <c r="B570" vm="4652">
        <f ca="1"/>
        <v>44991</v>
      </c>
      <c r="C570" vm="4653">
        <f ca="1"/>
        <v>256.87</v>
      </c>
      <c r="D570" vm="4652">
        <f ca="1"/>
        <v>44991</v>
      </c>
      <c r="E570" vm="4654">
        <f ca="1"/>
        <v>18.77</v>
      </c>
      <c r="F570" vm="4652">
        <f ca="1"/>
        <v>44991</v>
      </c>
      <c r="G570" vm="3993">
        <f ca="1"/>
        <v>226.75</v>
      </c>
      <c r="H570" vm="4652">
        <f ca="1"/>
        <v>44991</v>
      </c>
      <c r="I570" vm="4655">
        <f ca="1"/>
        <v>143.22999999999999</v>
      </c>
      <c r="J570" vm="4652">
        <f ca="1"/>
        <v>44991</v>
      </c>
      <c r="K570" vm="4656">
        <f ca="1"/>
        <v>29.99</v>
      </c>
      <c r="L570" vm="4652">
        <f ca="1"/>
        <v>44991</v>
      </c>
      <c r="M570" vm="3854">
        <f ca="1"/>
        <v>126.38</v>
      </c>
      <c r="N570" vm="4652">
        <f ca="1"/>
        <v>44991</v>
      </c>
      <c r="O570" vm="4657">
        <f ca="1"/>
        <v>171.36</v>
      </c>
      <c r="P570" vm="4652">
        <f ca="1"/>
        <v>44991</v>
      </c>
      <c r="Q570" vm="4658">
        <f ca="1"/>
        <v>23.745000000000001</v>
      </c>
      <c r="R570" s="29">
        <f t="shared" ca="1" si="71"/>
        <v>6.1890399153903897E-3</v>
      </c>
      <c r="S570" s="30">
        <f t="shared" ca="1" si="72"/>
        <v>-2.1265284423178706E-3</v>
      </c>
      <c r="T570" s="30">
        <f t="shared" ca="1" si="73"/>
        <v>1.3317245385887249E-2</v>
      </c>
      <c r="U570" s="30">
        <f t="shared" ca="1" si="74"/>
        <v>-4.8634753004934139E-3</v>
      </c>
      <c r="V570" s="30">
        <f t="shared" ca="1" si="75"/>
        <v>-4.3991074274784908E-2</v>
      </c>
      <c r="W570" s="30">
        <f t="shared" ca="1" si="78"/>
        <v>2.1335057378374017E-2</v>
      </c>
      <c r="X570" s="30">
        <f t="shared" ca="1" si="76"/>
        <v>-1.7431192660550411E-2</v>
      </c>
      <c r="Y570" s="31">
        <f t="shared" ca="1" si="77"/>
        <v>-3.8313555546555342E-2</v>
      </c>
    </row>
    <row r="571" spans="2:25" x14ac:dyDescent="0.45">
      <c r="B571" vm="4659">
        <f ca="1"/>
        <v>44992</v>
      </c>
      <c r="C571" vm="4660">
        <f ca="1"/>
        <v>254.15</v>
      </c>
      <c r="D571" vm="4659">
        <f ca="1"/>
        <v>44992</v>
      </c>
      <c r="E571" vm="4661">
        <f ca="1"/>
        <v>18.71</v>
      </c>
      <c r="F571" vm="4659">
        <f ca="1"/>
        <v>44992</v>
      </c>
      <c r="G571" vm="582">
        <f ca="1"/>
        <v>223.17</v>
      </c>
      <c r="H571" vm="4659">
        <f ca="1"/>
        <v>44992</v>
      </c>
      <c r="I571" vm="4662">
        <f ca="1"/>
        <v>140.33000000000001</v>
      </c>
      <c r="J571" vm="4659">
        <f ca="1"/>
        <v>44992</v>
      </c>
      <c r="K571" vm="4663">
        <f ca="1"/>
        <v>28.97</v>
      </c>
      <c r="L571" vm="4659">
        <f ca="1"/>
        <v>44992</v>
      </c>
      <c r="M571" vm="316">
        <f ca="1"/>
        <v>126.33</v>
      </c>
      <c r="N571" vm="4659">
        <f ca="1"/>
        <v>44992</v>
      </c>
      <c r="O571" vm="4664">
        <f ca="1"/>
        <v>175.08</v>
      </c>
      <c r="P571" vm="4659">
        <f ca="1"/>
        <v>44992</v>
      </c>
      <c r="Q571" vm="4665">
        <f ca="1"/>
        <v>23.143999999999998</v>
      </c>
      <c r="R571" s="29">
        <f t="shared" ca="1" si="71"/>
        <v>-1.0589013898080736E-2</v>
      </c>
      <c r="S571" s="30">
        <f t="shared" ca="1" si="72"/>
        <v>-3.1965903036760106E-3</v>
      </c>
      <c r="T571" s="30">
        <f t="shared" ca="1" si="73"/>
        <v>-1.5788313120176461E-2</v>
      </c>
      <c r="U571" s="30">
        <f t="shared" ca="1" si="74"/>
        <v>-2.0247154925643912E-2</v>
      </c>
      <c r="V571" s="30">
        <f t="shared" ca="1" si="75"/>
        <v>-3.4011337112370775E-2</v>
      </c>
      <c r="W571" s="30">
        <f t="shared" ca="1" si="78"/>
        <v>-3.9563222028799779E-4</v>
      </c>
      <c r="X571" s="30">
        <f t="shared" ca="1" si="76"/>
        <v>2.1708683473389348E-2</v>
      </c>
      <c r="Y571" s="31">
        <f t="shared" ca="1" si="77"/>
        <v>-2.5310591703516641E-2</v>
      </c>
    </row>
    <row r="572" spans="2:25" x14ac:dyDescent="0.45">
      <c r="B572" vm="4666">
        <f ca="1"/>
        <v>44993</v>
      </c>
      <c r="C572" vm="4667">
        <f ca="1"/>
        <v>253.7</v>
      </c>
      <c r="D572" vm="4666">
        <f ca="1"/>
        <v>44993</v>
      </c>
      <c r="E572" vm="2461">
        <f ca="1"/>
        <v>18.61</v>
      </c>
      <c r="F572" vm="4666">
        <f ca="1"/>
        <v>44993</v>
      </c>
      <c r="G572" vm="4668">
        <f ca="1"/>
        <v>222.19</v>
      </c>
      <c r="H572" vm="4666">
        <f ca="1"/>
        <v>44993</v>
      </c>
      <c r="I572" vm="4669">
        <f ca="1"/>
        <v>140.9</v>
      </c>
      <c r="J572" vm="4666">
        <f ca="1"/>
        <v>44993</v>
      </c>
      <c r="K572" vm="4670">
        <f ca="1"/>
        <v>29.6</v>
      </c>
      <c r="L572" vm="4666">
        <f ca="1"/>
        <v>44993</v>
      </c>
      <c r="M572" vm="4671">
        <f ca="1"/>
        <v>126.99</v>
      </c>
      <c r="N572" vm="4666">
        <f ca="1"/>
        <v>44993</v>
      </c>
      <c r="O572" vm="4672">
        <f ca="1"/>
        <v>172.2</v>
      </c>
      <c r="P572" vm="4666">
        <f ca="1"/>
        <v>44993</v>
      </c>
      <c r="Q572" vm="4673">
        <f ca="1"/>
        <v>23.271999999999998</v>
      </c>
      <c r="R572" s="29">
        <f t="shared" ca="1" si="71"/>
        <v>-1.7706079087153926E-3</v>
      </c>
      <c r="S572" s="30">
        <f t="shared" ca="1" si="72"/>
        <v>-5.3447354355960139E-3</v>
      </c>
      <c r="T572" s="30">
        <f t="shared" ca="1" si="73"/>
        <v>-4.3912712282116314E-3</v>
      </c>
      <c r="U572" s="30">
        <f t="shared" ca="1" si="74"/>
        <v>4.0618542008123218E-3</v>
      </c>
      <c r="V572" s="30">
        <f t="shared" ca="1" si="75"/>
        <v>2.1746634449430535E-2</v>
      </c>
      <c r="W572" s="30">
        <f t="shared" ca="1" si="78"/>
        <v>5.224412253621441E-3</v>
      </c>
      <c r="X572" s="30">
        <f t="shared" ca="1" si="76"/>
        <v>-1.6449623029472376E-2</v>
      </c>
      <c r="Y572" s="31">
        <f t="shared" ca="1" si="77"/>
        <v>5.5305910819218856E-3</v>
      </c>
    </row>
    <row r="573" spans="2:25" x14ac:dyDescent="0.45">
      <c r="B573" vm="4674">
        <f ca="1"/>
        <v>44994</v>
      </c>
      <c r="C573" vm="4675">
        <f ca="1"/>
        <v>252.32</v>
      </c>
      <c r="D573" vm="4674">
        <f ca="1"/>
        <v>44994</v>
      </c>
      <c r="E573" vm="4039">
        <f ca="1"/>
        <v>18.32</v>
      </c>
      <c r="F573" vm="4674">
        <f ca="1"/>
        <v>44994</v>
      </c>
      <c r="G573" vm="4676">
        <f ca="1"/>
        <v>220.01</v>
      </c>
      <c r="H573" vm="4674">
        <f ca="1"/>
        <v>44994</v>
      </c>
      <c r="I573" vm="4677">
        <f ca="1"/>
        <v>138.93</v>
      </c>
      <c r="J573" vm="4674">
        <f ca="1"/>
        <v>44994</v>
      </c>
      <c r="K573" vm="954">
        <f ca="1"/>
        <v>28.81</v>
      </c>
      <c r="L573" vm="4674">
        <f ca="1"/>
        <v>44994</v>
      </c>
      <c r="M573" vm="4678">
        <f ca="1"/>
        <v>123.93</v>
      </c>
      <c r="N573" vm="4674">
        <f ca="1"/>
        <v>44994</v>
      </c>
      <c r="O573" vm="4679">
        <f ca="1"/>
        <v>190.04</v>
      </c>
      <c r="P573" vm="4674">
        <f ca="1"/>
        <v>44994</v>
      </c>
      <c r="Q573" vm="4680">
        <f ca="1"/>
        <v>21.082000000000001</v>
      </c>
      <c r="R573" s="29">
        <f t="shared" ca="1" si="71"/>
        <v>-5.4394954670870929E-3</v>
      </c>
      <c r="S573" s="30">
        <f t="shared" ca="1" si="72"/>
        <v>-1.5583019881783941E-2</v>
      </c>
      <c r="T573" s="30">
        <f t="shared" ca="1" si="73"/>
        <v>-9.8114226562851913E-3</v>
      </c>
      <c r="U573" s="30">
        <f t="shared" ca="1" si="74"/>
        <v>-1.398154719659332E-2</v>
      </c>
      <c r="V573" s="30">
        <f t="shared" ca="1" si="75"/>
        <v>-2.6689189189189277E-2</v>
      </c>
      <c r="W573" s="30">
        <f t="shared" ca="1" si="78"/>
        <v>-2.4096385542168582E-2</v>
      </c>
      <c r="X573" s="30">
        <f t="shared" ca="1" si="76"/>
        <v>0.10360046457607436</v>
      </c>
      <c r="Y573" s="31">
        <f t="shared" ca="1" si="77"/>
        <v>-9.410450326572696E-2</v>
      </c>
    </row>
    <row r="574" spans="2:25" x14ac:dyDescent="0.45">
      <c r="B574" vm="4681">
        <f ca="1"/>
        <v>44995</v>
      </c>
      <c r="C574" vm="4682">
        <f ca="1"/>
        <v>248.59</v>
      </c>
      <c r="D574" vm="4681">
        <f ca="1"/>
        <v>44995</v>
      </c>
      <c r="E574" vm="3615">
        <f ca="1"/>
        <v>18.43</v>
      </c>
      <c r="F574" vm="4681">
        <f ca="1"/>
        <v>44995</v>
      </c>
      <c r="G574" vm="4683">
        <f ca="1"/>
        <v>216.14</v>
      </c>
      <c r="H574" vm="4681">
        <f ca="1"/>
        <v>44995</v>
      </c>
      <c r="I574" vm="4684">
        <f ca="1"/>
        <v>135.72</v>
      </c>
      <c r="J574" vm="4681">
        <f ca="1"/>
        <v>44995</v>
      </c>
      <c r="K574" vm="2640">
        <f ca="1"/>
        <v>27.21</v>
      </c>
      <c r="L574" vm="4681">
        <f ca="1"/>
        <v>44995</v>
      </c>
      <c r="M574" vm="4685">
        <f ca="1"/>
        <v>121.66</v>
      </c>
      <c r="N574" vm="4681">
        <f ca="1"/>
        <v>44995</v>
      </c>
      <c r="O574" vm="4686">
        <f ca="1"/>
        <v>211.72</v>
      </c>
      <c r="P574" vm="4681">
        <f ca="1"/>
        <v>44995</v>
      </c>
      <c r="Q574" vm="4687">
        <f ca="1"/>
        <v>19.201000000000001</v>
      </c>
      <c r="R574" s="29">
        <f t="shared" ca="1" si="71"/>
        <v>-1.4782815472415939E-2</v>
      </c>
      <c r="S574" s="30">
        <f t="shared" ca="1" si="72"/>
        <v>6.0043668122270431E-3</v>
      </c>
      <c r="T574" s="30">
        <f t="shared" ca="1" si="73"/>
        <v>-1.7590109540475456E-2</v>
      </c>
      <c r="U574" s="30">
        <f t="shared" ca="1" si="74"/>
        <v>-2.310516087238183E-2</v>
      </c>
      <c r="V574" s="30">
        <f t="shared" ca="1" si="75"/>
        <v>-5.5536272127733356E-2</v>
      </c>
      <c r="W574" s="30">
        <f t="shared" ca="1" si="78"/>
        <v>-1.8316791737271122E-2</v>
      </c>
      <c r="X574" s="30">
        <f t="shared" ca="1" si="76"/>
        <v>0.11408124605346247</v>
      </c>
      <c r="Y574" s="31">
        <f t="shared" ca="1" si="77"/>
        <v>-8.9223033867754487E-2</v>
      </c>
    </row>
    <row r="575" spans="2:25" x14ac:dyDescent="0.45">
      <c r="B575" vm="4688">
        <f ca="1"/>
        <v>44998</v>
      </c>
      <c r="C575" vm="4689">
        <f ca="1"/>
        <v>253.92</v>
      </c>
      <c r="D575" vm="4688">
        <f ca="1"/>
        <v>44998</v>
      </c>
      <c r="E575" vm="526">
        <f ca="1"/>
        <v>18.3</v>
      </c>
      <c r="F575" vm="4688">
        <f ca="1"/>
        <v>44998</v>
      </c>
      <c r="G575" vm="4690">
        <f ca="1"/>
        <v>214.47</v>
      </c>
      <c r="H575" vm="4688">
        <f ca="1"/>
        <v>44998</v>
      </c>
      <c r="I575" vm="4691">
        <f ca="1"/>
        <v>136.69</v>
      </c>
      <c r="J575" vm="4688">
        <f ca="1"/>
        <v>44998</v>
      </c>
      <c r="K575" vm="4692">
        <f ca="1"/>
        <v>26.8</v>
      </c>
      <c r="L575" vm="4688">
        <f ca="1"/>
        <v>44998</v>
      </c>
      <c r="M575" vm="4693">
        <f ca="1"/>
        <v>123.39</v>
      </c>
      <c r="N575" vm="4688">
        <f ca="1"/>
        <v>44998</v>
      </c>
      <c r="O575" vm="4694">
        <f ca="1"/>
        <v>218.16</v>
      </c>
      <c r="P575" vm="4688">
        <f ca="1"/>
        <v>44998</v>
      </c>
      <c r="Q575" vm="4695">
        <f ca="1"/>
        <v>22.315999999999999</v>
      </c>
      <c r="R575" s="29">
        <f t="shared" ca="1" si="71"/>
        <v>2.1440926827305942E-2</v>
      </c>
      <c r="S575" s="30">
        <f t="shared" ca="1" si="72"/>
        <v>-7.0537167661421053E-3</v>
      </c>
      <c r="T575" s="30">
        <f t="shared" ca="1" si="73"/>
        <v>-7.7264735819375756E-3</v>
      </c>
      <c r="U575" s="30">
        <f t="shared" ca="1" si="74"/>
        <v>7.1470674918950698E-3</v>
      </c>
      <c r="V575" s="30">
        <f t="shared" ca="1" si="75"/>
        <v>-1.506798970966557E-2</v>
      </c>
      <c r="W575" s="30">
        <f t="shared" ca="1" si="78"/>
        <v>1.4219957257931974E-2</v>
      </c>
      <c r="X575" s="30">
        <f t="shared" ca="1" si="76"/>
        <v>3.0417532590213479E-2</v>
      </c>
      <c r="Y575" s="31">
        <f t="shared" ca="1" si="77"/>
        <v>0.16223113379511475</v>
      </c>
    </row>
    <row r="576" spans="2:25" x14ac:dyDescent="0.45">
      <c r="B576" vm="4696">
        <f ca="1"/>
        <v>44999</v>
      </c>
      <c r="C576" vm="4697">
        <f ca="1"/>
        <v>260.79000000000002</v>
      </c>
      <c r="D576" vm="4696">
        <f ca="1"/>
        <v>44999</v>
      </c>
      <c r="E576" vm="4698">
        <f ca="1"/>
        <v>18.440000000000001</v>
      </c>
      <c r="F576" vm="4696">
        <f ca="1"/>
        <v>44999</v>
      </c>
      <c r="G576" vm="4699">
        <f ca="1"/>
        <v>218.66</v>
      </c>
      <c r="H576" vm="4696">
        <f ca="1"/>
        <v>44999</v>
      </c>
      <c r="I576" vm="4700">
        <f ca="1"/>
        <v>138.4</v>
      </c>
      <c r="J576" vm="4696">
        <f ca="1"/>
        <v>44999</v>
      </c>
      <c r="K576" vm="4701">
        <f ca="1"/>
        <v>27.05</v>
      </c>
      <c r="L576" vm="4696">
        <f ca="1"/>
        <v>44999</v>
      </c>
      <c r="M576" vm="4702">
        <f ca="1"/>
        <v>125.54</v>
      </c>
      <c r="N576" vm="4696">
        <f ca="1"/>
        <v>44999</v>
      </c>
      <c r="O576" vm="4703">
        <f ca="1"/>
        <v>206.64</v>
      </c>
      <c r="P576" vm="4696">
        <f ca="1"/>
        <v>44999</v>
      </c>
      <c r="Q576" vm="4704">
        <f ca="1"/>
        <v>22.946999999999999</v>
      </c>
      <c r="R576" s="29">
        <f t="shared" ca="1" si="71"/>
        <v>2.7055765595463268E-2</v>
      </c>
      <c r="S576" s="30">
        <f t="shared" ca="1" si="72"/>
        <v>7.6502732240437462E-3</v>
      </c>
      <c r="T576" s="30">
        <f t="shared" ca="1" si="73"/>
        <v>1.9536531915885662E-2</v>
      </c>
      <c r="U576" s="30">
        <f t="shared" ca="1" si="74"/>
        <v>1.2510059258175492E-2</v>
      </c>
      <c r="V576" s="30">
        <f t="shared" ca="1" si="75"/>
        <v>9.3283582089552231E-3</v>
      </c>
      <c r="W576" s="30">
        <f t="shared" ca="1" si="78"/>
        <v>1.7424426614798653E-2</v>
      </c>
      <c r="X576" s="30">
        <f t="shared" ca="1" si="76"/>
        <v>-5.2805280528052854E-2</v>
      </c>
      <c r="Y576" s="31">
        <f t="shared" ca="1" si="77"/>
        <v>2.8275676644559967E-2</v>
      </c>
    </row>
    <row r="577" spans="2:25" x14ac:dyDescent="0.45">
      <c r="B577" vm="4705">
        <f ca="1"/>
        <v>45000</v>
      </c>
      <c r="C577" vm="4706">
        <f ca="1"/>
        <v>265.44</v>
      </c>
      <c r="D577" vm="4705">
        <f ca="1"/>
        <v>45000</v>
      </c>
      <c r="E577" vm="78">
        <f ca="1"/>
        <v>18.309999999999999</v>
      </c>
      <c r="F577" vm="4705">
        <f ca="1"/>
        <v>45000</v>
      </c>
      <c r="G577" vm="4707">
        <f ca="1"/>
        <v>216.37</v>
      </c>
      <c r="H577" vm="4705">
        <f ca="1"/>
        <v>45000</v>
      </c>
      <c r="I577" vm="4708">
        <f ca="1"/>
        <v>134.03</v>
      </c>
      <c r="J577" vm="4705">
        <f ca="1"/>
        <v>45000</v>
      </c>
      <c r="K577" vm="4709">
        <f ca="1"/>
        <v>24.44</v>
      </c>
      <c r="L577" vm="4705">
        <f ca="1"/>
        <v>45000</v>
      </c>
      <c r="M577" vm="4710">
        <f ca="1"/>
        <v>125.65</v>
      </c>
      <c r="N577" vm="4705">
        <f ca="1"/>
        <v>45000</v>
      </c>
      <c r="O577" vm="4711">
        <f ca="1"/>
        <v>219.84</v>
      </c>
      <c r="P577" vm="4705">
        <f ca="1"/>
        <v>45000</v>
      </c>
      <c r="Q577" vm="4712">
        <f ca="1"/>
        <v>22.754999999999999</v>
      </c>
      <c r="R577" s="29">
        <f t="shared" ca="1" si="71"/>
        <v>1.7830438283676434E-2</v>
      </c>
      <c r="S577" s="30">
        <f t="shared" ca="1" si="72"/>
        <v>-7.0498915401302903E-3</v>
      </c>
      <c r="T577" s="30">
        <f t="shared" ca="1" si="73"/>
        <v>-1.0472880270739926E-2</v>
      </c>
      <c r="U577" s="30">
        <f t="shared" ca="1" si="74"/>
        <v>-3.157514450867055E-2</v>
      </c>
      <c r="V577" s="30">
        <f t="shared" ca="1" si="75"/>
        <v>-9.6487985212569294E-2</v>
      </c>
      <c r="W577" s="30">
        <f t="shared" ca="1" si="78"/>
        <v>8.7621475227018814E-4</v>
      </c>
      <c r="X577" s="30">
        <f t="shared" ca="1" si="76"/>
        <v>6.3879210220673721E-2</v>
      </c>
      <c r="Y577" s="31">
        <f t="shared" ca="1" si="77"/>
        <v>-8.367106811347896E-3</v>
      </c>
    </row>
    <row r="578" spans="2:25" x14ac:dyDescent="0.45">
      <c r="B578" vm="4713">
        <f ca="1"/>
        <v>45001</v>
      </c>
      <c r="C578" vm="4714">
        <f ca="1"/>
        <v>276.2</v>
      </c>
      <c r="D578" vm="4713">
        <f ca="1"/>
        <v>45001</v>
      </c>
      <c r="E578" vm="3492">
        <f ca="1"/>
        <v>18.39</v>
      </c>
      <c r="F578" vm="4713">
        <f ca="1"/>
        <v>45001</v>
      </c>
      <c r="G578" vm="4715">
        <f ca="1"/>
        <v>217.45</v>
      </c>
      <c r="H578" vm="4713">
        <f ca="1"/>
        <v>45001</v>
      </c>
      <c r="I578" vm="2750">
        <f ca="1"/>
        <v>136.82</v>
      </c>
      <c r="J578" vm="4713">
        <f ca="1"/>
        <v>45001</v>
      </c>
      <c r="K578" vm="2087">
        <f ca="1"/>
        <v>24.52</v>
      </c>
      <c r="L578" vm="4713">
        <f ca="1"/>
        <v>45001</v>
      </c>
      <c r="M578" vm="4716">
        <f ca="1"/>
        <v>129.21</v>
      </c>
      <c r="N578" vm="4713">
        <f ca="1"/>
        <v>45001</v>
      </c>
      <c r="O578" vm="4717">
        <f ca="1"/>
        <v>201.84</v>
      </c>
      <c r="P578" vm="4713">
        <f ca="1"/>
        <v>45001</v>
      </c>
      <c r="Q578" vm="4718">
        <f ca="1"/>
        <v>24.108000000000001</v>
      </c>
      <c r="R578" s="29">
        <f t="shared" ca="1" si="71"/>
        <v>4.053646775165759E-2</v>
      </c>
      <c r="S578" s="30">
        <f t="shared" ca="1" si="72"/>
        <v>4.3691971600219471E-3</v>
      </c>
      <c r="T578" s="30">
        <f t="shared" ca="1" si="73"/>
        <v>4.9914498313074086E-3</v>
      </c>
      <c r="U578" s="30">
        <f t="shared" ca="1" si="74"/>
        <v>2.0816235171230262E-2</v>
      </c>
      <c r="V578" s="30">
        <f t="shared" ca="1" si="75"/>
        <v>3.2733224222585224E-3</v>
      </c>
      <c r="W578" s="30">
        <f t="shared" ca="1" si="78"/>
        <v>2.8332670115399937E-2</v>
      </c>
      <c r="X578" s="30">
        <f t="shared" ca="1" si="76"/>
        <v>-8.1877729257641918E-2</v>
      </c>
      <c r="Y578" s="31">
        <f t="shared" ca="1" si="77"/>
        <v>5.9459459459459532E-2</v>
      </c>
    </row>
    <row r="579" spans="2:25" x14ac:dyDescent="0.45">
      <c r="B579" vm="4719">
        <f ca="1"/>
        <v>45002</v>
      </c>
      <c r="C579" vm="4720">
        <f ca="1"/>
        <v>279.43</v>
      </c>
      <c r="D579" vm="4719">
        <f ca="1"/>
        <v>45002</v>
      </c>
      <c r="E579" vm="3630">
        <f ca="1"/>
        <v>18.13</v>
      </c>
      <c r="F579" vm="4719">
        <f ca="1"/>
        <v>45002</v>
      </c>
      <c r="G579" vm="4721">
        <f ca="1"/>
        <v>217.39</v>
      </c>
      <c r="H579" vm="4719">
        <f ca="1"/>
        <v>45002</v>
      </c>
      <c r="I579" vm="4722">
        <f ca="1"/>
        <v>133.18</v>
      </c>
      <c r="J579" vm="4719">
        <f ca="1"/>
        <v>45002</v>
      </c>
      <c r="K579" vm="4723">
        <f ca="1"/>
        <v>23.97</v>
      </c>
      <c r="L579" vm="4719">
        <f ca="1"/>
        <v>45002</v>
      </c>
      <c r="M579" vm="4724">
        <f ca="1"/>
        <v>127.09</v>
      </c>
      <c r="N579" vm="4719">
        <f ca="1"/>
        <v>45002</v>
      </c>
      <c r="O579" vm="4281">
        <f ca="1"/>
        <v>223.84</v>
      </c>
      <c r="P579" vm="4719">
        <f ca="1"/>
        <v>45002</v>
      </c>
      <c r="Q579" vm="4725">
        <f ca="1"/>
        <v>26.765999999999998</v>
      </c>
      <c r="R579" s="29">
        <f t="shared" ca="1" si="71"/>
        <v>1.1694424330195578E-2</v>
      </c>
      <c r="S579" s="30">
        <f t="shared" ca="1" si="72"/>
        <v>-1.4138118542686326E-2</v>
      </c>
      <c r="T579" s="30">
        <f t="shared" ca="1" si="73"/>
        <v>-2.7592550011497943E-4</v>
      </c>
      <c r="U579" s="30">
        <f t="shared" ca="1" si="74"/>
        <v>-2.6604297617307312E-2</v>
      </c>
      <c r="V579" s="30">
        <f t="shared" ca="1" si="75"/>
        <v>-2.2430668841761855E-2</v>
      </c>
      <c r="W579" s="30">
        <f t="shared" ca="1" si="78"/>
        <v>-1.6407398808141817E-2</v>
      </c>
      <c r="X579" s="30">
        <f t="shared" ca="1" si="76"/>
        <v>0.10899722552516845</v>
      </c>
      <c r="Y579" s="31">
        <f t="shared" ca="1" si="77"/>
        <v>0.11025385764061713</v>
      </c>
    </row>
    <row r="580" spans="2:25" x14ac:dyDescent="0.45">
      <c r="B580" vm="4726">
        <f ca="1"/>
        <v>45005</v>
      </c>
      <c r="C580" vm="4727">
        <f ca="1"/>
        <v>272.23</v>
      </c>
      <c r="D580" vm="4726">
        <f ca="1"/>
        <v>45005</v>
      </c>
      <c r="E580" vm="4258">
        <f ca="1"/>
        <v>18.489999999999998</v>
      </c>
      <c r="F580" vm="4726">
        <f ca="1"/>
        <v>45005</v>
      </c>
      <c r="G580" vm="4728">
        <f ca="1"/>
        <v>218.15</v>
      </c>
      <c r="H580" vm="4726">
        <f ca="1"/>
        <v>45005</v>
      </c>
      <c r="I580" vm="4729">
        <f ca="1"/>
        <v>134.54</v>
      </c>
      <c r="J580" vm="4726">
        <f ca="1"/>
        <v>45005</v>
      </c>
      <c r="K580" vm="4730">
        <f ca="1"/>
        <v>24.91</v>
      </c>
      <c r="L580" vm="4726">
        <f ca="1"/>
        <v>45005</v>
      </c>
      <c r="M580" vm="4731">
        <f ca="1"/>
        <v>126.41</v>
      </c>
      <c r="N580" vm="4726">
        <f ca="1"/>
        <v>45005</v>
      </c>
      <c r="O580" vm="4732">
        <f ca="1"/>
        <v>212.4</v>
      </c>
      <c r="P580" vm="4726">
        <f ca="1"/>
        <v>45005</v>
      </c>
      <c r="Q580" vm="4733">
        <f ca="1"/>
        <v>26.396000000000001</v>
      </c>
      <c r="R580" s="29">
        <f t="shared" ca="1" si="71"/>
        <v>-2.5766739433847434E-2</v>
      </c>
      <c r="S580" s="30">
        <f t="shared" ca="1" si="72"/>
        <v>1.9856591285162685E-2</v>
      </c>
      <c r="T580" s="30">
        <f t="shared" ca="1" si="73"/>
        <v>3.496020976125946E-3</v>
      </c>
      <c r="U580" s="30">
        <f t="shared" ca="1" si="74"/>
        <v>1.0211743505030674E-2</v>
      </c>
      <c r="V580" s="30">
        <f t="shared" ca="1" si="75"/>
        <v>3.9215686274509859E-2</v>
      </c>
      <c r="W580" s="30">
        <f t="shared" ca="1" si="78"/>
        <v>-5.3505389881187094E-3</v>
      </c>
      <c r="X580" s="30">
        <f t="shared" ca="1" si="76"/>
        <v>-5.1107934238741951E-2</v>
      </c>
      <c r="Y580" s="31">
        <f t="shared" ca="1" si="77"/>
        <v>-1.3823507434805255E-2</v>
      </c>
    </row>
    <row r="581" spans="2:25" x14ac:dyDescent="0.45">
      <c r="B581" vm="4734">
        <f ca="1"/>
        <v>45006</v>
      </c>
      <c r="C581" vm="4735">
        <f ca="1"/>
        <v>273.77999999999997</v>
      </c>
      <c r="D581" vm="4734">
        <f ca="1"/>
        <v>45006</v>
      </c>
      <c r="E581" vm="3336">
        <f ca="1"/>
        <v>18.54</v>
      </c>
      <c r="F581" vm="4734">
        <f ca="1"/>
        <v>45006</v>
      </c>
      <c r="G581" vm="4736">
        <f ca="1"/>
        <v>221.95</v>
      </c>
      <c r="H581" vm="4734">
        <f ca="1"/>
        <v>45006</v>
      </c>
      <c r="I581" vm="4737">
        <f ca="1"/>
        <v>137.01</v>
      </c>
      <c r="J581" vm="4734">
        <f ca="1"/>
        <v>45006</v>
      </c>
      <c r="K581" vm="1976">
        <f ca="1"/>
        <v>25.86</v>
      </c>
      <c r="L581" vm="4734">
        <f ca="1"/>
        <v>45006</v>
      </c>
      <c r="M581" vm="4738">
        <f ca="1"/>
        <v>128.81</v>
      </c>
      <c r="N581" vm="4734">
        <f ca="1"/>
        <v>45006</v>
      </c>
      <c r="O581" vm="4739">
        <f ca="1"/>
        <v>193.84</v>
      </c>
      <c r="P581" vm="4734">
        <f ca="1"/>
        <v>45006</v>
      </c>
      <c r="Q581" vm="4740">
        <f ca="1"/>
        <v>27.338000000000001</v>
      </c>
      <c r="R581" s="29">
        <f t="shared" ref="R581:R644" ca="1" si="79">(C581-C580)/C580</f>
        <v>5.6937148734524275E-3</v>
      </c>
      <c r="S581" s="30">
        <f t="shared" ref="S581:S644" ca="1" si="80">(E581-E580)/E580</f>
        <v>2.704164413196361E-3</v>
      </c>
      <c r="T581" s="30">
        <f t="shared" ref="T581:T644" ca="1" si="81">(G581-G580)/G580</f>
        <v>1.7419206967682708E-2</v>
      </c>
      <c r="U581" s="30">
        <f t="shared" ref="U581:U644" ca="1" si="82">(I581-I580)/I580</f>
        <v>1.835885238590753E-2</v>
      </c>
      <c r="V581" s="30">
        <f t="shared" ref="V581:V644" ca="1" si="83">(K581-K580)/K580</f>
        <v>3.8137294259333571E-2</v>
      </c>
      <c r="W581" s="30">
        <f t="shared" ca="1" si="78"/>
        <v>1.8985839727869675E-2</v>
      </c>
      <c r="X581" s="30">
        <f t="shared" ref="X581:X644" ca="1" si="84">(O581-O580)/O580</f>
        <v>-8.7382297551789084E-2</v>
      </c>
      <c r="Y581" s="31">
        <f t="shared" ref="Y581:Y644" ca="1" si="85">(Q581-Q580)/Q580</f>
        <v>3.5687225337172307E-2</v>
      </c>
    </row>
    <row r="582" spans="2:25" x14ac:dyDescent="0.45">
      <c r="B582" vm="4741">
        <f ca="1"/>
        <v>45007</v>
      </c>
      <c r="C582" vm="4742">
        <f ca="1"/>
        <v>272.29000000000002</v>
      </c>
      <c r="D582" vm="4741">
        <f ca="1"/>
        <v>45007</v>
      </c>
      <c r="E582" vm="3492">
        <f ca="1"/>
        <v>18.39</v>
      </c>
      <c r="F582" vm="4741">
        <f ca="1"/>
        <v>45007</v>
      </c>
      <c r="G582" vm="4743">
        <f ca="1"/>
        <v>220.04</v>
      </c>
      <c r="H582" vm="4741">
        <f ca="1"/>
        <v>45007</v>
      </c>
      <c r="I582" vm="2631">
        <f ca="1"/>
        <v>133.72999999999999</v>
      </c>
      <c r="J582" vm="4741">
        <f ca="1"/>
        <v>45007</v>
      </c>
      <c r="K582" vm="4744">
        <f ca="1"/>
        <v>25.2</v>
      </c>
      <c r="L582" vm="4741">
        <f ca="1"/>
        <v>45007</v>
      </c>
      <c r="M582" vm="4745">
        <f ca="1"/>
        <v>128.19999999999999</v>
      </c>
      <c r="N582" vm="4741">
        <f ca="1"/>
        <v>45007</v>
      </c>
      <c r="O582" vm="4746">
        <f ca="1"/>
        <v>202.16</v>
      </c>
      <c r="P582" vm="4741">
        <f ca="1"/>
        <v>45007</v>
      </c>
      <c r="Q582" vm="4747">
        <f ca="1"/>
        <v>24.686</v>
      </c>
      <c r="R582" s="29">
        <f t="shared" ca="1" si="79"/>
        <v>-5.4423259551462941E-3</v>
      </c>
      <c r="S582" s="30">
        <f t="shared" ca="1" si="80"/>
        <v>-8.0906148867313146E-3</v>
      </c>
      <c r="T582" s="30">
        <f t="shared" ca="1" si="81"/>
        <v>-8.605541788691131E-3</v>
      </c>
      <c r="U582" s="30">
        <f t="shared" ca="1" si="82"/>
        <v>-2.3939858404496032E-2</v>
      </c>
      <c r="V582" s="30">
        <f t="shared" ca="1" si="83"/>
        <v>-2.5522041763341073E-2</v>
      </c>
      <c r="W582" s="30">
        <f t="shared" ref="W582:W645" ca="1" si="86">(M582-M581)/M581</f>
        <v>-4.7356571694745254E-3</v>
      </c>
      <c r="X582" s="30">
        <f t="shared" ca="1" si="84"/>
        <v>4.2921997523730875E-2</v>
      </c>
      <c r="Y582" s="31">
        <f t="shared" ca="1" si="85"/>
        <v>-9.7007827931816559E-2</v>
      </c>
    </row>
    <row r="583" spans="2:25" x14ac:dyDescent="0.45">
      <c r="B583" vm="4748">
        <f ca="1"/>
        <v>45008</v>
      </c>
      <c r="C583" vm="1268">
        <f ca="1"/>
        <v>277.66000000000003</v>
      </c>
      <c r="D583" vm="4748">
        <f ca="1"/>
        <v>45008</v>
      </c>
      <c r="E583" vm="4298">
        <f ca="1"/>
        <v>18.46</v>
      </c>
      <c r="F583" vm="4748">
        <f ca="1"/>
        <v>45008</v>
      </c>
      <c r="G583" vm="129">
        <f ca="1"/>
        <v>222.59</v>
      </c>
      <c r="H583" vm="4748">
        <f ca="1"/>
        <v>45008</v>
      </c>
      <c r="I583" vm="4749">
        <f ca="1"/>
        <v>131.13</v>
      </c>
      <c r="J583" vm="4748">
        <f ca="1"/>
        <v>45008</v>
      </c>
      <c r="K583" vm="720">
        <f ca="1"/>
        <v>25</v>
      </c>
      <c r="L583" vm="4748">
        <f ca="1"/>
        <v>45008</v>
      </c>
      <c r="M583" vm="4750">
        <f ca="1"/>
        <v>131.05000000000001</v>
      </c>
      <c r="N583" vm="4748">
        <f ca="1"/>
        <v>45008</v>
      </c>
      <c r="O583" vm="3131">
        <f ca="1"/>
        <v>207.56</v>
      </c>
      <c r="P583" vm="4748">
        <f ca="1"/>
        <v>45008</v>
      </c>
      <c r="Q583" vm="4751">
        <f ca="1"/>
        <v>26.332999999999998</v>
      </c>
      <c r="R583" s="29">
        <f t="shared" ca="1" si="79"/>
        <v>1.9721620331264476E-2</v>
      </c>
      <c r="S583" s="30">
        <f t="shared" ca="1" si="80"/>
        <v>3.8064165307232344E-3</v>
      </c>
      <c r="T583" s="30">
        <f t="shared" ca="1" si="81"/>
        <v>1.1588802035993507E-2</v>
      </c>
      <c r="U583" s="30">
        <f t="shared" ca="1" si="82"/>
        <v>-1.9442159575263549E-2</v>
      </c>
      <c r="V583" s="30">
        <f t="shared" ca="1" si="83"/>
        <v>-7.9365079365079083E-3</v>
      </c>
      <c r="W583" s="30">
        <f t="shared" ca="1" si="86"/>
        <v>2.2230889235569602E-2</v>
      </c>
      <c r="X583" s="30">
        <f t="shared" ca="1" si="84"/>
        <v>2.671151563118325E-2</v>
      </c>
      <c r="Y583" s="31">
        <f t="shared" ca="1" si="85"/>
        <v>6.6717977801182798E-2</v>
      </c>
    </row>
    <row r="584" spans="2:25" x14ac:dyDescent="0.45">
      <c r="B584" vm="4752">
        <f ca="1"/>
        <v>45009</v>
      </c>
      <c r="C584" vm="4753">
        <f ca="1"/>
        <v>280.57</v>
      </c>
      <c r="D584" vm="4752">
        <f ca="1"/>
        <v>45009</v>
      </c>
      <c r="E584" vm="2461">
        <f ca="1"/>
        <v>18.61</v>
      </c>
      <c r="F584" vm="4752">
        <f ca="1"/>
        <v>45009</v>
      </c>
      <c r="G584" vm="4754">
        <f ca="1"/>
        <v>221.04</v>
      </c>
      <c r="H584" vm="4752">
        <f ca="1"/>
        <v>45009</v>
      </c>
      <c r="I584" vm="4755">
        <f ca="1"/>
        <v>131.96</v>
      </c>
      <c r="J584" vm="4752">
        <f ca="1"/>
        <v>45009</v>
      </c>
      <c r="K584" vm="720">
        <f ca="1"/>
        <v>25</v>
      </c>
      <c r="L584" vm="4752">
        <f ca="1"/>
        <v>45009</v>
      </c>
      <c r="M584" vm="4756">
        <f ca="1"/>
        <v>128.30000000000001</v>
      </c>
      <c r="N584" vm="4752">
        <f ca="1"/>
        <v>45009</v>
      </c>
      <c r="O584" vm="4757">
        <f ca="1"/>
        <v>198.96</v>
      </c>
      <c r="P584" vm="4752">
        <f ca="1"/>
        <v>45009</v>
      </c>
      <c r="Q584" vm="4758">
        <f ca="1"/>
        <v>25.667000000000002</v>
      </c>
      <c r="R584" s="29">
        <f t="shared" ca="1" si="79"/>
        <v>1.0480443708132132E-2</v>
      </c>
      <c r="S584" s="30">
        <f t="shared" ca="1" si="80"/>
        <v>8.1256771397615699E-3</v>
      </c>
      <c r="T584" s="30">
        <f t="shared" ca="1" si="81"/>
        <v>-6.96347544813339E-3</v>
      </c>
      <c r="U584" s="30">
        <f t="shared" ca="1" si="82"/>
        <v>6.3295965835431442E-3</v>
      </c>
      <c r="V584" s="30">
        <f t="shared" ca="1" si="83"/>
        <v>0</v>
      </c>
      <c r="W584" s="30">
        <f t="shared" ca="1" si="86"/>
        <v>-2.0984357115604729E-2</v>
      </c>
      <c r="X584" s="30">
        <f t="shared" ca="1" si="84"/>
        <v>-4.1433802274041212E-2</v>
      </c>
      <c r="Y584" s="31">
        <f t="shared" ca="1" si="85"/>
        <v>-2.5291459385561724E-2</v>
      </c>
    </row>
    <row r="585" spans="2:25" x14ac:dyDescent="0.45">
      <c r="B585" vm="4759">
        <f ca="1"/>
        <v>45012</v>
      </c>
      <c r="C585" vm="4760">
        <f ca="1"/>
        <v>276.38</v>
      </c>
      <c r="D585" vm="4759">
        <f ca="1"/>
        <v>45012</v>
      </c>
      <c r="E585" vm="484">
        <f ca="1"/>
        <v>18.87</v>
      </c>
      <c r="F585" vm="4759">
        <f ca="1"/>
        <v>45012</v>
      </c>
      <c r="G585" vm="4761">
        <f ca="1"/>
        <v>221.81</v>
      </c>
      <c r="H585" vm="4759">
        <f ca="1"/>
        <v>45012</v>
      </c>
      <c r="I585" vm="4762">
        <f ca="1"/>
        <v>133.07</v>
      </c>
      <c r="J585" vm="4759">
        <f ca="1"/>
        <v>45012</v>
      </c>
      <c r="K585" vm="980">
        <f ca="1"/>
        <v>25.5</v>
      </c>
      <c r="L585" vm="4759">
        <f ca="1"/>
        <v>45012</v>
      </c>
      <c r="M585" vm="4763">
        <f ca="1"/>
        <v>129.47999999999999</v>
      </c>
      <c r="N585" vm="4759">
        <f ca="1"/>
        <v>45012</v>
      </c>
      <c r="O585" vm="4764">
        <f ca="1"/>
        <v>191.88</v>
      </c>
      <c r="P585" vm="4759">
        <f ca="1"/>
        <v>45012</v>
      </c>
      <c r="Q585" vm="4765">
        <f ca="1"/>
        <v>23.896000000000001</v>
      </c>
      <c r="R585" s="29">
        <f t="shared" ca="1" si="79"/>
        <v>-1.49338845920804E-2</v>
      </c>
      <c r="S585" s="30">
        <f t="shared" ca="1" si="80"/>
        <v>1.3970983342289175E-2</v>
      </c>
      <c r="T585" s="30">
        <f t="shared" ca="1" si="81"/>
        <v>3.4835323923272268E-3</v>
      </c>
      <c r="U585" s="30">
        <f t="shared" ca="1" si="82"/>
        <v>8.4116398908759098E-3</v>
      </c>
      <c r="V585" s="30">
        <f t="shared" ca="1" si="83"/>
        <v>0.02</v>
      </c>
      <c r="W585" s="30">
        <f t="shared" ca="1" si="86"/>
        <v>9.1971940763833065E-3</v>
      </c>
      <c r="X585" s="30">
        <f t="shared" ca="1" si="84"/>
        <v>-3.5585042219541681E-2</v>
      </c>
      <c r="Y585" s="31">
        <f t="shared" ca="1" si="85"/>
        <v>-6.8999103907741485E-2</v>
      </c>
    </row>
    <row r="586" spans="2:25" x14ac:dyDescent="0.45">
      <c r="B586" vm="4766">
        <f ca="1"/>
        <v>45013</v>
      </c>
      <c r="C586" vm="4767">
        <f ca="1"/>
        <v>275.23</v>
      </c>
      <c r="D586" vm="4766">
        <f ca="1"/>
        <v>45013</v>
      </c>
      <c r="E586" vm="4768">
        <f ca="1"/>
        <v>18.72</v>
      </c>
      <c r="F586" vm="4766">
        <f ca="1"/>
        <v>45013</v>
      </c>
      <c r="G586" vm="4769">
        <f ca="1"/>
        <v>220.33</v>
      </c>
      <c r="H586" vm="4766">
        <f ca="1"/>
        <v>45013</v>
      </c>
      <c r="I586" vm="4770">
        <f ca="1"/>
        <v>132.63</v>
      </c>
      <c r="J586" vm="4766">
        <f ca="1"/>
        <v>45013</v>
      </c>
      <c r="K586" vm="4771">
        <f ca="1"/>
        <v>25.76</v>
      </c>
      <c r="L586" vm="4766">
        <f ca="1"/>
        <v>45013</v>
      </c>
      <c r="M586" vm="4772">
        <f ca="1"/>
        <v>128.12</v>
      </c>
      <c r="N586" vm="4766">
        <f ca="1"/>
        <v>45013</v>
      </c>
      <c r="O586" vm="4528">
        <f ca="1"/>
        <v>186.56</v>
      </c>
      <c r="P586" vm="4766">
        <f ca="1"/>
        <v>45013</v>
      </c>
      <c r="Q586" vm="4773">
        <f ca="1"/>
        <v>24.826000000000001</v>
      </c>
      <c r="R586" s="29">
        <f t="shared" ca="1" si="79"/>
        <v>-4.1609378392068064E-3</v>
      </c>
      <c r="S586" s="30">
        <f t="shared" ca="1" si="80"/>
        <v>-7.9491255961845319E-3</v>
      </c>
      <c r="T586" s="30">
        <f t="shared" ca="1" si="81"/>
        <v>-6.6723772598169147E-3</v>
      </c>
      <c r="U586" s="30">
        <f t="shared" ca="1" si="82"/>
        <v>-3.3065303975351149E-3</v>
      </c>
      <c r="V586" s="30">
        <f t="shared" ca="1" si="83"/>
        <v>1.019607843137261E-2</v>
      </c>
      <c r="W586" s="30">
        <f t="shared" ca="1" si="86"/>
        <v>-1.0503552672227258E-2</v>
      </c>
      <c r="X586" s="30">
        <f t="shared" ca="1" si="84"/>
        <v>-2.7725661872003302E-2</v>
      </c>
      <c r="Y586" s="31">
        <f t="shared" ca="1" si="85"/>
        <v>3.8918647472380302E-2</v>
      </c>
    </row>
    <row r="587" spans="2:25" x14ac:dyDescent="0.45">
      <c r="B587" vm="4774">
        <f ca="1"/>
        <v>45014</v>
      </c>
      <c r="C587" vm="4775">
        <f ca="1"/>
        <v>280.51</v>
      </c>
      <c r="D587" vm="4774">
        <f ca="1"/>
        <v>45014</v>
      </c>
      <c r="E587" vm="3328">
        <f ca="1"/>
        <v>19</v>
      </c>
      <c r="F587" vm="4774">
        <f ca="1"/>
        <v>45014</v>
      </c>
      <c r="G587" vm="4776">
        <f ca="1"/>
        <v>223.3</v>
      </c>
      <c r="H587" vm="4774">
        <f ca="1"/>
        <v>45014</v>
      </c>
      <c r="I587" vm="4777">
        <f ca="1"/>
        <v>133.85</v>
      </c>
      <c r="J587" vm="4774">
        <f ca="1"/>
        <v>45014</v>
      </c>
      <c r="K587" vm="2018">
        <f ca="1"/>
        <v>26.11</v>
      </c>
      <c r="L587" vm="4774">
        <f ca="1"/>
        <v>45014</v>
      </c>
      <c r="M587" vm="3661">
        <f ca="1"/>
        <v>129.87</v>
      </c>
      <c r="N587" vm="4774">
        <f ca="1"/>
        <v>45014</v>
      </c>
      <c r="O587" vm="4778">
        <f ca="1"/>
        <v>180.44</v>
      </c>
      <c r="P587" vm="4774">
        <f ca="1"/>
        <v>45014</v>
      </c>
      <c r="Q587" vm="4574">
        <f ca="1"/>
        <v>28.402999999999999</v>
      </c>
      <c r="R587" s="29">
        <f t="shared" ca="1" si="79"/>
        <v>1.918395523743768E-2</v>
      </c>
      <c r="S587" s="30">
        <f t="shared" ca="1" si="80"/>
        <v>1.4957264957265019E-2</v>
      </c>
      <c r="T587" s="30">
        <f t="shared" ca="1" si="81"/>
        <v>1.3479780329505735E-2</v>
      </c>
      <c r="U587" s="30">
        <f t="shared" ca="1" si="82"/>
        <v>9.1985222046294113E-3</v>
      </c>
      <c r="V587" s="30">
        <f t="shared" ca="1" si="83"/>
        <v>1.3586956521739047E-2</v>
      </c>
      <c r="W587" s="30">
        <f t="shared" ca="1" si="86"/>
        <v>1.365906962222916E-2</v>
      </c>
      <c r="X587" s="30">
        <f t="shared" ca="1" si="84"/>
        <v>-3.2804459691252168E-2</v>
      </c>
      <c r="Y587" s="31">
        <f t="shared" ca="1" si="85"/>
        <v>0.14408281640215895</v>
      </c>
    </row>
    <row r="588" spans="2:25" x14ac:dyDescent="0.45">
      <c r="B588" vm="4779">
        <f ca="1"/>
        <v>45015</v>
      </c>
      <c r="C588" vm="4780">
        <f ca="1"/>
        <v>284.05</v>
      </c>
      <c r="D588" vm="4779">
        <f ca="1"/>
        <v>45015</v>
      </c>
      <c r="E588" vm="4781">
        <f ca="1"/>
        <v>19.079999999999998</v>
      </c>
      <c r="F588" vm="4779">
        <f ca="1"/>
        <v>45015</v>
      </c>
      <c r="G588" vm="4782">
        <f ca="1"/>
        <v>222.36</v>
      </c>
      <c r="H588" vm="4779">
        <f ca="1"/>
        <v>45015</v>
      </c>
      <c r="I588" vm="4783">
        <f ca="1"/>
        <v>134.49</v>
      </c>
      <c r="J588" vm="4779">
        <f ca="1"/>
        <v>45015</v>
      </c>
      <c r="K588" vm="1080">
        <f ca="1"/>
        <v>26.12</v>
      </c>
      <c r="L588" vm="4779">
        <f ca="1"/>
        <v>45015</v>
      </c>
      <c r="M588" vm="4784">
        <f ca="1"/>
        <v>130.83000000000001</v>
      </c>
      <c r="N588" vm="4779">
        <f ca="1"/>
        <v>45015</v>
      </c>
      <c r="O588" vm="4778">
        <f ca="1"/>
        <v>180.44</v>
      </c>
      <c r="P588" vm="4779">
        <f ca="1"/>
        <v>45015</v>
      </c>
      <c r="Q588" vm="4785">
        <f ca="1"/>
        <v>27.922999999999998</v>
      </c>
      <c r="R588" s="29">
        <f t="shared" ca="1" si="79"/>
        <v>1.2619870949342343E-2</v>
      </c>
      <c r="S588" s="30">
        <f t="shared" ca="1" si="80"/>
        <v>4.2105263157893843E-3</v>
      </c>
      <c r="T588" s="30">
        <f t="shared" ca="1" si="81"/>
        <v>-4.2095835199283367E-3</v>
      </c>
      <c r="U588" s="30">
        <f t="shared" ca="1" si="82"/>
        <v>4.7814717967875594E-3</v>
      </c>
      <c r="V588" s="30">
        <f t="shared" ca="1" si="83"/>
        <v>3.8299502106478605E-4</v>
      </c>
      <c r="W588" s="30">
        <f t="shared" ca="1" si="86"/>
        <v>7.3920073920074533E-3</v>
      </c>
      <c r="X588" s="30">
        <f t="shared" ca="1" si="84"/>
        <v>0</v>
      </c>
      <c r="Y588" s="31">
        <f t="shared" ca="1" si="85"/>
        <v>-1.6899623279231082E-2</v>
      </c>
    </row>
    <row r="589" spans="2:25" x14ac:dyDescent="0.45">
      <c r="B589" vm="4786">
        <f ca="1"/>
        <v>45016</v>
      </c>
      <c r="C589" vm="4787">
        <f ca="1"/>
        <v>288.3</v>
      </c>
      <c r="D589" vm="4786">
        <f ca="1"/>
        <v>45016</v>
      </c>
      <c r="E589" vm="2435">
        <f ca="1"/>
        <v>19.25</v>
      </c>
      <c r="F589" vm="4786">
        <f ca="1"/>
        <v>45016</v>
      </c>
      <c r="G589" vm="4788">
        <f ca="1"/>
        <v>225.46</v>
      </c>
      <c r="H589" vm="4786">
        <f ca="1"/>
        <v>45016</v>
      </c>
      <c r="I589" vm="4789">
        <f ca="1"/>
        <v>138.34</v>
      </c>
      <c r="J589" vm="4786">
        <f ca="1"/>
        <v>45016</v>
      </c>
      <c r="K589" vm="4790">
        <f ca="1"/>
        <v>26.1</v>
      </c>
      <c r="L589" vm="4786">
        <f ca="1"/>
        <v>45016</v>
      </c>
      <c r="M589" vm="4791">
        <f ca="1"/>
        <v>133.62</v>
      </c>
      <c r="N589" vm="4786">
        <f ca="1"/>
        <v>45016</v>
      </c>
      <c r="O589" vm="4792">
        <f ca="1"/>
        <v>179.64</v>
      </c>
      <c r="P589" vm="4786">
        <f ca="1"/>
        <v>45016</v>
      </c>
      <c r="Q589" vm="4793">
        <f ca="1"/>
        <v>29.231999999999999</v>
      </c>
      <c r="R589" s="29">
        <f t="shared" ca="1" si="79"/>
        <v>1.4962154550255236E-2</v>
      </c>
      <c r="S589" s="30">
        <f t="shared" ca="1" si="80"/>
        <v>8.9098532494759804E-3</v>
      </c>
      <c r="T589" s="30">
        <f t="shared" ca="1" si="81"/>
        <v>1.3941356359057359E-2</v>
      </c>
      <c r="U589" s="30">
        <f t="shared" ca="1" si="82"/>
        <v>2.8626663692467798E-2</v>
      </c>
      <c r="V589" s="30">
        <f t="shared" ca="1" si="83"/>
        <v>-7.6569678407349055E-4</v>
      </c>
      <c r="W589" s="30">
        <f t="shared" ca="1" si="86"/>
        <v>2.1325384086218695E-2</v>
      </c>
      <c r="X589" s="30">
        <f t="shared" ca="1" si="84"/>
        <v>-4.4336067390823063E-3</v>
      </c>
      <c r="Y589" s="31">
        <f t="shared" ca="1" si="85"/>
        <v>4.6878917021810018E-2</v>
      </c>
    </row>
    <row r="590" spans="2:25" x14ac:dyDescent="0.45">
      <c r="B590" vm="4794">
        <f ca="1"/>
        <v>45019</v>
      </c>
      <c r="C590" vm="4795">
        <f ca="1"/>
        <v>287.23</v>
      </c>
      <c r="D590" vm="4794">
        <f ca="1"/>
        <v>45019</v>
      </c>
      <c r="E590" vm="3855">
        <f ca="1"/>
        <v>19.39</v>
      </c>
      <c r="F590" vm="4794">
        <f ca="1"/>
        <v>45019</v>
      </c>
      <c r="G590" vm="4796">
        <f ca="1"/>
        <v>229</v>
      </c>
      <c r="H590" vm="4794">
        <f ca="1"/>
        <v>45019</v>
      </c>
      <c r="I590" vm="4797">
        <f ca="1"/>
        <v>137.86000000000001</v>
      </c>
      <c r="J590" vm="4794">
        <f ca="1"/>
        <v>45019</v>
      </c>
      <c r="K590" vm="4798">
        <f ca="1"/>
        <v>26.33</v>
      </c>
      <c r="L590" vm="4794">
        <f ca="1"/>
        <v>45019</v>
      </c>
      <c r="M590" vm="4799">
        <f ca="1"/>
        <v>136.44</v>
      </c>
      <c r="N590" vm="4794">
        <f ca="1"/>
        <v>45019</v>
      </c>
      <c r="O590" vm="4800">
        <f ca="1"/>
        <v>175.64</v>
      </c>
      <c r="P590" vm="4794">
        <f ca="1"/>
        <v>45019</v>
      </c>
      <c r="Q590" vm="4801">
        <f ca="1"/>
        <v>29.739000000000001</v>
      </c>
      <c r="R590" s="29">
        <f t="shared" ca="1" si="79"/>
        <v>-3.7114117238986927E-3</v>
      </c>
      <c r="S590" s="30">
        <f t="shared" ca="1" si="80"/>
        <v>7.2727272727273022E-3</v>
      </c>
      <c r="T590" s="30">
        <f t="shared" ca="1" si="81"/>
        <v>1.5701233034684608E-2</v>
      </c>
      <c r="U590" s="30">
        <f t="shared" ca="1" si="82"/>
        <v>-3.4697123030214671E-3</v>
      </c>
      <c r="V590" s="30">
        <f t="shared" ca="1" si="83"/>
        <v>8.8122605363983465E-3</v>
      </c>
      <c r="W590" s="30">
        <f t="shared" ca="1" si="86"/>
        <v>2.110462505612927E-2</v>
      </c>
      <c r="X590" s="30">
        <f t="shared" ca="1" si="84"/>
        <v>-2.2266755733689605E-2</v>
      </c>
      <c r="Y590" s="31">
        <f t="shared" ca="1" si="85"/>
        <v>1.7344006568144551E-2</v>
      </c>
    </row>
    <row r="591" spans="2:25" x14ac:dyDescent="0.45">
      <c r="B591" vm="4802">
        <f ca="1"/>
        <v>45020</v>
      </c>
      <c r="C591" vm="4803">
        <f ca="1"/>
        <v>287.18</v>
      </c>
      <c r="D591" vm="4802">
        <f ca="1"/>
        <v>45020</v>
      </c>
      <c r="E591" vm="4804">
        <f ca="1"/>
        <v>19.64</v>
      </c>
      <c r="F591" vm="4802">
        <f ca="1"/>
        <v>45020</v>
      </c>
      <c r="G591" vm="4805">
        <f ca="1"/>
        <v>227.66</v>
      </c>
      <c r="H591" vm="4802">
        <f ca="1"/>
        <v>45020</v>
      </c>
      <c r="I591" vm="4806">
        <f ca="1"/>
        <v>138.21</v>
      </c>
      <c r="J591" vm="4802">
        <f ca="1"/>
        <v>45020</v>
      </c>
      <c r="K591" vm="3582">
        <f ca="1"/>
        <v>24.82</v>
      </c>
      <c r="L591" vm="4802">
        <f ca="1"/>
        <v>45020</v>
      </c>
      <c r="M591" vm="4807">
        <f ca="1"/>
        <v>134.88</v>
      </c>
      <c r="N591" vm="4802">
        <f ca="1"/>
        <v>45020</v>
      </c>
      <c r="O591" vm="4808">
        <f ca="1"/>
        <v>178.68</v>
      </c>
      <c r="P591" vm="4802">
        <f ca="1"/>
        <v>45020</v>
      </c>
      <c r="Q591" vm="4809">
        <f ca="1"/>
        <v>29.898</v>
      </c>
      <c r="R591" s="29">
        <f t="shared" ca="1" si="79"/>
        <v>-1.7407652404000755E-4</v>
      </c>
      <c r="S591" s="30">
        <f t="shared" ca="1" si="80"/>
        <v>1.2893243940175348E-2</v>
      </c>
      <c r="T591" s="30">
        <f t="shared" ca="1" si="81"/>
        <v>-5.851528384279491E-3</v>
      </c>
      <c r="U591" s="30">
        <f t="shared" ca="1" si="82"/>
        <v>2.5388074858551739E-3</v>
      </c>
      <c r="V591" s="30">
        <f t="shared" ca="1" si="83"/>
        <v>-5.7349031522977517E-2</v>
      </c>
      <c r="W591" s="30">
        <f t="shared" ca="1" si="86"/>
        <v>-1.1433597185576095E-2</v>
      </c>
      <c r="X591" s="30">
        <f t="shared" ca="1" si="84"/>
        <v>1.7308130266454228E-2</v>
      </c>
      <c r="Y591" s="31">
        <f t="shared" ca="1" si="85"/>
        <v>5.3465146776959186E-3</v>
      </c>
    </row>
    <row r="592" spans="2:25" x14ac:dyDescent="0.45">
      <c r="B592" vm="4810">
        <f ca="1"/>
        <v>45021</v>
      </c>
      <c r="C592" vm="4811">
        <f ca="1"/>
        <v>284.33999999999997</v>
      </c>
      <c r="D592" vm="4810">
        <f ca="1"/>
        <v>45021</v>
      </c>
      <c r="E592" vm="4812">
        <f ca="1"/>
        <v>19.88</v>
      </c>
      <c r="F592" vm="4810">
        <f ca="1"/>
        <v>45021</v>
      </c>
      <c r="G592" vm="4017">
        <f ca="1"/>
        <v>228.17</v>
      </c>
      <c r="H592" vm="4810">
        <f ca="1"/>
        <v>45021</v>
      </c>
      <c r="I592" vm="4813">
        <f ca="1"/>
        <v>138.09</v>
      </c>
      <c r="J592" vm="4810">
        <f ca="1"/>
        <v>45021</v>
      </c>
      <c r="K592" vm="4814">
        <f ca="1"/>
        <v>24.53</v>
      </c>
      <c r="L592" vm="4810">
        <f ca="1"/>
        <v>45021</v>
      </c>
      <c r="M592" vm="4815">
        <f ca="1"/>
        <v>131.25</v>
      </c>
      <c r="N592" vm="4810">
        <f ca="1"/>
        <v>45021</v>
      </c>
      <c r="O592" vm="4816">
        <f ca="1"/>
        <v>177.04</v>
      </c>
      <c r="P592" vm="4810">
        <f ca="1"/>
        <v>45021</v>
      </c>
      <c r="Q592" vm="4817">
        <f ca="1"/>
        <v>29.084</v>
      </c>
      <c r="R592" s="29">
        <f t="shared" ca="1" si="79"/>
        <v>-9.889268054878584E-3</v>
      </c>
      <c r="S592" s="30">
        <f t="shared" ca="1" si="80"/>
        <v>1.2219959266802364E-2</v>
      </c>
      <c r="T592" s="30">
        <f t="shared" ca="1" si="81"/>
        <v>2.2401827286303738E-3</v>
      </c>
      <c r="U592" s="30">
        <f t="shared" ca="1" si="82"/>
        <v>-8.6824397655744547E-4</v>
      </c>
      <c r="V592" s="30">
        <f t="shared" ca="1" si="83"/>
        <v>-1.1684125705076516E-2</v>
      </c>
      <c r="W592" s="30">
        <f t="shared" ca="1" si="86"/>
        <v>-2.6912811387900325E-2</v>
      </c>
      <c r="X592" s="30">
        <f t="shared" ca="1" si="84"/>
        <v>-9.1784195209313555E-3</v>
      </c>
      <c r="Y592" s="31">
        <f t="shared" ca="1" si="85"/>
        <v>-2.7225901398086831E-2</v>
      </c>
    </row>
    <row r="593" spans="2:25" x14ac:dyDescent="0.45">
      <c r="B593" vm="4818">
        <f ca="1"/>
        <v>45022</v>
      </c>
      <c r="C593" vm="4819">
        <f ca="1"/>
        <v>291.60000000000002</v>
      </c>
      <c r="D593" vm="4818">
        <f ca="1"/>
        <v>45022</v>
      </c>
      <c r="E593" vm="3934">
        <f ca="1"/>
        <v>19.649999999999999</v>
      </c>
      <c r="F593" vm="4818">
        <f ca="1"/>
        <v>45022</v>
      </c>
      <c r="G593" vm="4820">
        <f ca="1"/>
        <v>225.99</v>
      </c>
      <c r="H593" vm="4818">
        <f ca="1"/>
        <v>45022</v>
      </c>
      <c r="I593" vm="4048">
        <f ca="1"/>
        <v>138.03</v>
      </c>
      <c r="J593" vm="4818">
        <f ca="1"/>
        <v>45022</v>
      </c>
      <c r="K593" vm="4821">
        <f ca="1"/>
        <v>24.8</v>
      </c>
      <c r="L593" vm="4818">
        <f ca="1"/>
        <v>45022</v>
      </c>
      <c r="M593" vm="4822">
        <f ca="1"/>
        <v>132.47999999999999</v>
      </c>
      <c r="N593" vm="4818">
        <f ca="1"/>
        <v>45022</v>
      </c>
      <c r="O593" vm="4823">
        <f ca="1"/>
        <v>173.92</v>
      </c>
      <c r="P593" vm="4818">
        <f ca="1"/>
        <v>45022</v>
      </c>
      <c r="Q593" vm="4824">
        <f ca="1"/>
        <v>29.01</v>
      </c>
      <c r="R593" s="29">
        <f t="shared" ca="1" si="79"/>
        <v>2.553281282971108E-2</v>
      </c>
      <c r="S593" s="30">
        <f t="shared" ca="1" si="80"/>
        <v>-1.1569416498993986E-2</v>
      </c>
      <c r="T593" s="30">
        <f t="shared" ca="1" si="81"/>
        <v>-9.5542797037295804E-3</v>
      </c>
      <c r="U593" s="30">
        <f t="shared" ca="1" si="82"/>
        <v>-4.3449923962634711E-4</v>
      </c>
      <c r="V593" s="30">
        <f t="shared" ca="1" si="83"/>
        <v>1.1006930289441483E-2</v>
      </c>
      <c r="W593" s="30">
        <f t="shared" ca="1" si="86"/>
        <v>9.3714285714284942E-3</v>
      </c>
      <c r="X593" s="30">
        <f t="shared" ca="1" si="84"/>
        <v>-1.7623136014460035E-2</v>
      </c>
      <c r="Y593" s="31">
        <f t="shared" ca="1" si="85"/>
        <v>-2.5443542841424175E-3</v>
      </c>
    </row>
    <row r="594" spans="2:25" x14ac:dyDescent="0.45">
      <c r="B594" vm="4825">
        <f ca="1"/>
        <v>45026</v>
      </c>
      <c r="C594" vm="4826">
        <f ca="1"/>
        <v>289.39</v>
      </c>
      <c r="D594" vm="4825">
        <f ca="1"/>
        <v>45026</v>
      </c>
      <c r="E594" vm="667">
        <f ca="1"/>
        <v>19.57</v>
      </c>
      <c r="F594" vm="4825">
        <f ca="1"/>
        <v>45026</v>
      </c>
      <c r="G594" vm="4827">
        <f ca="1"/>
        <v>226.43</v>
      </c>
      <c r="H594" vm="4825">
        <f ca="1"/>
        <v>45026</v>
      </c>
      <c r="I594" vm="4828">
        <f ca="1"/>
        <v>138.02000000000001</v>
      </c>
      <c r="J594" vm="4825">
        <f ca="1"/>
        <v>45026</v>
      </c>
      <c r="K594" vm="2396">
        <f ca="1"/>
        <v>25.42</v>
      </c>
      <c r="L594" vm="4825">
        <f ca="1"/>
        <v>45026</v>
      </c>
      <c r="M594" vm="4829">
        <f ca="1"/>
        <v>132.25</v>
      </c>
      <c r="N594" vm="4825">
        <f ca="1"/>
        <v>45026</v>
      </c>
      <c r="O594" vm="4830">
        <f ca="1"/>
        <v>172.24</v>
      </c>
      <c r="P594" vm="4825">
        <f ca="1"/>
        <v>45026</v>
      </c>
      <c r="Q594" vm="4831">
        <f ca="1"/>
        <v>31.277999999999999</v>
      </c>
      <c r="R594" s="29">
        <f t="shared" ca="1" si="79"/>
        <v>-7.5788751714678882E-3</v>
      </c>
      <c r="S594" s="30">
        <f t="shared" ca="1" si="80"/>
        <v>-4.0712468193383356E-3</v>
      </c>
      <c r="T594" s="30">
        <f t="shared" ca="1" si="81"/>
        <v>1.9469888048143623E-3</v>
      </c>
      <c r="U594" s="30">
        <f t="shared" ca="1" si="82"/>
        <v>-7.2448018546626862E-5</v>
      </c>
      <c r="V594" s="30">
        <f t="shared" ca="1" si="83"/>
        <v>2.500000000000004E-2</v>
      </c>
      <c r="W594" s="30">
        <f t="shared" ca="1" si="86"/>
        <v>-1.736111111111034E-3</v>
      </c>
      <c r="X594" s="30">
        <f t="shared" ca="1" si="84"/>
        <v>-9.6596136154552589E-3</v>
      </c>
      <c r="Y594" s="31">
        <f t="shared" ca="1" si="85"/>
        <v>7.8179937952430098E-2</v>
      </c>
    </row>
    <row r="595" spans="2:25" x14ac:dyDescent="0.45">
      <c r="B595" vm="4832">
        <f ca="1"/>
        <v>45027</v>
      </c>
      <c r="C595" vm="4833">
        <f ca="1"/>
        <v>282.83</v>
      </c>
      <c r="D595" vm="4832">
        <f ca="1"/>
        <v>45027</v>
      </c>
      <c r="E595" vm="4834">
        <f ca="1"/>
        <v>19.690000000000001</v>
      </c>
      <c r="F595" vm="4832">
        <f ca="1"/>
        <v>45027</v>
      </c>
      <c r="G595" vm="4835">
        <f ca="1"/>
        <v>228.45</v>
      </c>
      <c r="H595" vm="4832">
        <f ca="1"/>
        <v>45027</v>
      </c>
      <c r="I595" vm="4836">
        <f ca="1"/>
        <v>138.52000000000001</v>
      </c>
      <c r="J595" vm="4832">
        <f ca="1"/>
        <v>45027</v>
      </c>
      <c r="K595" vm="4837">
        <f ca="1"/>
        <v>26.02</v>
      </c>
      <c r="L595" vm="4832">
        <f ca="1"/>
        <v>45027</v>
      </c>
      <c r="M595" vm="3527">
        <f ca="1"/>
        <v>131.28</v>
      </c>
      <c r="N595" vm="4832">
        <f ca="1"/>
        <v>45027</v>
      </c>
      <c r="O595" vm="4838">
        <f ca="1"/>
        <v>170.56</v>
      </c>
      <c r="P595" vm="4832">
        <f ca="1"/>
        <v>45027</v>
      </c>
      <c r="Q595" vm="4839">
        <f ca="1"/>
        <v>33.234999999999999</v>
      </c>
      <c r="R595" s="29">
        <f t="shared" ca="1" si="79"/>
        <v>-2.266837140191438E-2</v>
      </c>
      <c r="S595" s="30">
        <f t="shared" ca="1" si="80"/>
        <v>6.1318344404701578E-3</v>
      </c>
      <c r="T595" s="30">
        <f t="shared" ca="1" si="81"/>
        <v>8.921079362275236E-3</v>
      </c>
      <c r="U595" s="30">
        <f t="shared" ca="1" si="82"/>
        <v>3.6226633821185334E-3</v>
      </c>
      <c r="V595" s="30">
        <f t="shared" ca="1" si="83"/>
        <v>2.3603461841069939E-2</v>
      </c>
      <c r="W595" s="30">
        <f t="shared" ca="1" si="86"/>
        <v>-7.3345935727788195E-3</v>
      </c>
      <c r="X595" s="30">
        <f t="shared" ca="1" si="84"/>
        <v>-9.753831862517456E-3</v>
      </c>
      <c r="Y595" s="31">
        <f t="shared" ca="1" si="85"/>
        <v>6.256793912654264E-2</v>
      </c>
    </row>
    <row r="596" spans="2:25" x14ac:dyDescent="0.45">
      <c r="B596" vm="4840">
        <f ca="1"/>
        <v>45028</v>
      </c>
      <c r="C596" vm="4841">
        <f ca="1"/>
        <v>283.49</v>
      </c>
      <c r="D596" vm="4840">
        <f ca="1"/>
        <v>45028</v>
      </c>
      <c r="E596" vm="4842">
        <f ca="1"/>
        <v>19.77</v>
      </c>
      <c r="F596" vm="4840">
        <f ca="1"/>
        <v>45028</v>
      </c>
      <c r="G596" vm="4843">
        <f ca="1"/>
        <v>227.81</v>
      </c>
      <c r="H596" vm="4840">
        <f ca="1"/>
        <v>45028</v>
      </c>
      <c r="I596" vm="4844">
        <f ca="1"/>
        <v>138.36000000000001</v>
      </c>
      <c r="J596" vm="4840">
        <f ca="1"/>
        <v>45028</v>
      </c>
      <c r="K596" vm="1164">
        <f ca="1"/>
        <v>25.8</v>
      </c>
      <c r="L596" vm="4840">
        <f ca="1"/>
        <v>45028</v>
      </c>
      <c r="M596" vm="4845">
        <f ca="1"/>
        <v>130.91999999999999</v>
      </c>
      <c r="N596" vm="4840">
        <f ca="1"/>
        <v>45028</v>
      </c>
      <c r="O596" vm="4846">
        <f ca="1"/>
        <v>171.6</v>
      </c>
      <c r="P596" vm="4840">
        <f ca="1"/>
        <v>45028</v>
      </c>
      <c r="Q596" vm="4847">
        <f ca="1"/>
        <v>32.283000000000001</v>
      </c>
      <c r="R596" s="29">
        <f t="shared" ca="1" si="79"/>
        <v>2.3335572605452924E-3</v>
      </c>
      <c r="S596" s="30">
        <f t="shared" ca="1" si="80"/>
        <v>4.0629761300151491E-3</v>
      </c>
      <c r="T596" s="30">
        <f t="shared" ca="1" si="81"/>
        <v>-2.8014882906543504E-3</v>
      </c>
      <c r="U596" s="30">
        <f t="shared" ca="1" si="82"/>
        <v>-1.1550678602367643E-3</v>
      </c>
      <c r="V596" s="30">
        <f t="shared" ca="1" si="83"/>
        <v>-8.4550345887778201E-3</v>
      </c>
      <c r="W596" s="30">
        <f t="shared" ca="1" si="86"/>
        <v>-2.7422303473492813E-3</v>
      </c>
      <c r="X596" s="30">
        <f t="shared" ca="1" si="84"/>
        <v>6.0975609756097095E-3</v>
      </c>
      <c r="Y596" s="31">
        <f t="shared" ca="1" si="85"/>
        <v>-2.8644501278772324E-2</v>
      </c>
    </row>
    <row r="597" spans="2:25" x14ac:dyDescent="0.45">
      <c r="B597" vm="4848">
        <f ca="1"/>
        <v>45029</v>
      </c>
      <c r="C597" vm="4849">
        <f ca="1"/>
        <v>289.83999999999997</v>
      </c>
      <c r="D597" vm="4848">
        <f ca="1"/>
        <v>45029</v>
      </c>
      <c r="E597" vm="3286">
        <f ca="1"/>
        <v>19.96</v>
      </c>
      <c r="F597" vm="4848">
        <f ca="1"/>
        <v>45029</v>
      </c>
      <c r="G597" vm="1595">
        <f ca="1"/>
        <v>232.69</v>
      </c>
      <c r="H597" vm="4848">
        <f ca="1"/>
        <v>45029</v>
      </c>
      <c r="I597" vm="2886">
        <f ca="1"/>
        <v>141.28</v>
      </c>
      <c r="J597" vm="4848">
        <f ca="1"/>
        <v>45029</v>
      </c>
      <c r="K597" vm="4850">
        <f ca="1"/>
        <v>26.28</v>
      </c>
      <c r="L597" vm="4848">
        <f ca="1"/>
        <v>45029</v>
      </c>
      <c r="M597" vm="4851">
        <f ca="1"/>
        <v>134.96</v>
      </c>
      <c r="N597" vm="4848">
        <f ca="1"/>
        <v>45029</v>
      </c>
      <c r="O597" vm="4852">
        <f ca="1"/>
        <v>165.36</v>
      </c>
      <c r="P597" vm="4848">
        <f ca="1"/>
        <v>45029</v>
      </c>
      <c r="Q597" vm="4853">
        <f ca="1"/>
        <v>34.072000000000003</v>
      </c>
      <c r="R597" s="29">
        <f t="shared" ca="1" si="79"/>
        <v>2.2399379166813522E-2</v>
      </c>
      <c r="S597" s="30">
        <f t="shared" ca="1" si="80"/>
        <v>9.6105209914011773E-3</v>
      </c>
      <c r="T597" s="30">
        <f t="shared" ca="1" si="81"/>
        <v>2.1421359905184123E-2</v>
      </c>
      <c r="U597" s="30">
        <f t="shared" ca="1" si="82"/>
        <v>2.1104365423532719E-2</v>
      </c>
      <c r="V597" s="30">
        <f t="shared" ca="1" si="83"/>
        <v>1.8604651162790715E-2</v>
      </c>
      <c r="W597" s="30">
        <f t="shared" ca="1" si="86"/>
        <v>3.0858539566147425E-2</v>
      </c>
      <c r="X597" s="30">
        <f t="shared" ca="1" si="84"/>
        <v>-3.6363636363636251E-2</v>
      </c>
      <c r="Y597" s="31">
        <f t="shared" ca="1" si="85"/>
        <v>5.5416163305764689E-2</v>
      </c>
    </row>
    <row r="598" spans="2:25" x14ac:dyDescent="0.45">
      <c r="B598" vm="4854">
        <f ca="1"/>
        <v>45030</v>
      </c>
      <c r="C598" vm="1370">
        <f ca="1"/>
        <v>286.14</v>
      </c>
      <c r="D598" vm="4854">
        <f ca="1"/>
        <v>45030</v>
      </c>
      <c r="E598" vm="4855">
        <f ca="1"/>
        <v>19.93</v>
      </c>
      <c r="F598" vm="4854">
        <f ca="1"/>
        <v>45030</v>
      </c>
      <c r="G598" vm="4856">
        <f ca="1"/>
        <v>234.02</v>
      </c>
      <c r="H598" vm="4854">
        <f ca="1"/>
        <v>45030</v>
      </c>
      <c r="I598" vm="4857">
        <f ca="1"/>
        <v>139.19999999999999</v>
      </c>
      <c r="J598" vm="4854">
        <f ca="1"/>
        <v>45030</v>
      </c>
      <c r="K598" vm="4858">
        <f ca="1"/>
        <v>25.78</v>
      </c>
      <c r="L598" vm="4854">
        <f ca="1"/>
        <v>45030</v>
      </c>
      <c r="M598" vm="4859">
        <f ca="1"/>
        <v>134.74</v>
      </c>
      <c r="N598" vm="4854">
        <f ca="1"/>
        <v>45030</v>
      </c>
      <c r="O598" vm="4860">
        <f ca="1"/>
        <v>162.44</v>
      </c>
      <c r="P598" vm="4854">
        <f ca="1"/>
        <v>45030</v>
      </c>
      <c r="Q598" vm="4861">
        <f ca="1"/>
        <v>33.375</v>
      </c>
      <c r="R598" s="29">
        <f t="shared" ca="1" si="79"/>
        <v>-1.2765663814518317E-2</v>
      </c>
      <c r="S598" s="30">
        <f t="shared" ca="1" si="80"/>
        <v>-1.5030060120241049E-3</v>
      </c>
      <c r="T598" s="30">
        <f t="shared" ca="1" si="81"/>
        <v>5.7157591645537516E-3</v>
      </c>
      <c r="U598" s="30">
        <f t="shared" ca="1" si="82"/>
        <v>-1.4722536806342104E-2</v>
      </c>
      <c r="V598" s="30">
        <f t="shared" ca="1" si="83"/>
        <v>-1.9025875190258751E-2</v>
      </c>
      <c r="W598" s="30">
        <f t="shared" ca="1" si="86"/>
        <v>-1.6301126259632398E-3</v>
      </c>
      <c r="X598" s="30">
        <f t="shared" ca="1" si="84"/>
        <v>-1.7658442186744169E-2</v>
      </c>
      <c r="Y598" s="31">
        <f t="shared" ca="1" si="85"/>
        <v>-2.0456679971824449E-2</v>
      </c>
    </row>
    <row r="599" spans="2:25" x14ac:dyDescent="0.45">
      <c r="B599" vm="4862">
        <f ca="1"/>
        <v>45033</v>
      </c>
      <c r="C599" vm="4863">
        <f ca="1"/>
        <v>288.8</v>
      </c>
      <c r="D599" vm="4862">
        <f ca="1"/>
        <v>45033</v>
      </c>
      <c r="E599" vm="4864">
        <f ca="1"/>
        <v>19.79</v>
      </c>
      <c r="F599" vm="4862">
        <f ca="1"/>
        <v>45033</v>
      </c>
      <c r="G599" vm="4865">
        <f ca="1"/>
        <v>233.48</v>
      </c>
      <c r="H599" vm="4862">
        <f ca="1"/>
        <v>45033</v>
      </c>
      <c r="I599" vm="4866">
        <f ca="1"/>
        <v>140.19</v>
      </c>
      <c r="J599" vm="4862">
        <f ca="1"/>
        <v>45033</v>
      </c>
      <c r="K599" vm="1097">
        <f ca="1"/>
        <v>26.26</v>
      </c>
      <c r="L599" vm="4862">
        <f ca="1"/>
        <v>45033</v>
      </c>
      <c r="M599" vm="4867">
        <f ca="1"/>
        <v>133.78</v>
      </c>
      <c r="N599" vm="4862">
        <f ca="1"/>
        <v>45033</v>
      </c>
      <c r="O599" vm="4868">
        <f ca="1"/>
        <v>158</v>
      </c>
      <c r="P599" vm="4862">
        <f ca="1"/>
        <v>45033</v>
      </c>
      <c r="Q599" vm="4869">
        <f ca="1"/>
        <v>31.303000000000001</v>
      </c>
      <c r="R599" s="29">
        <f t="shared" ca="1" si="79"/>
        <v>9.2961487383799012E-3</v>
      </c>
      <c r="S599" s="30">
        <f t="shared" ca="1" si="80"/>
        <v>-7.0245860511791557E-3</v>
      </c>
      <c r="T599" s="30">
        <f t="shared" ca="1" si="81"/>
        <v>-2.3074950858901822E-3</v>
      </c>
      <c r="U599" s="30">
        <f t="shared" ca="1" si="82"/>
        <v>7.1120689655173076E-3</v>
      </c>
      <c r="V599" s="30">
        <f t="shared" ca="1" si="83"/>
        <v>1.8619084561675735E-2</v>
      </c>
      <c r="W599" s="30">
        <f t="shared" ca="1" si="86"/>
        <v>-7.1248330117263461E-3</v>
      </c>
      <c r="X599" s="30">
        <f t="shared" ca="1" si="84"/>
        <v>-2.733316917015512E-2</v>
      </c>
      <c r="Y599" s="31">
        <f t="shared" ca="1" si="85"/>
        <v>-6.2082397003745293E-2</v>
      </c>
    </row>
    <row r="600" spans="2:25" x14ac:dyDescent="0.45">
      <c r="B600" vm="4870">
        <f ca="1"/>
        <v>45034</v>
      </c>
      <c r="C600" vm="4871">
        <f ca="1"/>
        <v>288.37</v>
      </c>
      <c r="D600" vm="4870">
        <f ca="1"/>
        <v>45034</v>
      </c>
      <c r="E600" vm="4872">
        <f ca="1"/>
        <v>19.82</v>
      </c>
      <c r="F600" vm="4870">
        <f ca="1"/>
        <v>45034</v>
      </c>
      <c r="G600" vm="4873">
        <f ca="1"/>
        <v>233.6</v>
      </c>
      <c r="H600" vm="4870">
        <f ca="1"/>
        <v>45034</v>
      </c>
      <c r="I600" vm="4874">
        <f ca="1"/>
        <v>139</v>
      </c>
      <c r="J600" vm="4870">
        <f ca="1"/>
        <v>45034</v>
      </c>
      <c r="K600" vm="4875">
        <f ca="1"/>
        <v>26.66</v>
      </c>
      <c r="L600" vm="4870">
        <f ca="1"/>
        <v>45034</v>
      </c>
      <c r="M600" vm="2451">
        <f ca="1"/>
        <v>134.57</v>
      </c>
      <c r="N600" vm="4870">
        <f ca="1"/>
        <v>45034</v>
      </c>
      <c r="O600" vm="4147">
        <f ca="1"/>
        <v>156.96</v>
      </c>
      <c r="P600" vm="4870">
        <f ca="1"/>
        <v>45034</v>
      </c>
      <c r="Q600" vm="4876">
        <f ca="1"/>
        <v>32.984999999999999</v>
      </c>
      <c r="R600" s="29">
        <f t="shared" ca="1" si="79"/>
        <v>-1.4889196675900512E-3</v>
      </c>
      <c r="S600" s="30">
        <f t="shared" ca="1" si="80"/>
        <v>1.5159171298636249E-3</v>
      </c>
      <c r="T600" s="30">
        <f t="shared" ca="1" si="81"/>
        <v>5.1396265204730403E-4</v>
      </c>
      <c r="U600" s="30">
        <f t="shared" ca="1" si="82"/>
        <v>-8.488479920108408E-3</v>
      </c>
      <c r="V600" s="30">
        <f t="shared" ca="1" si="83"/>
        <v>1.5232292460015177E-2</v>
      </c>
      <c r="W600" s="30">
        <f t="shared" ca="1" si="86"/>
        <v>5.9052175213035732E-3</v>
      </c>
      <c r="X600" s="30">
        <f t="shared" ca="1" si="84"/>
        <v>-6.5822784810126078E-3</v>
      </c>
      <c r="Y600" s="31">
        <f t="shared" ca="1" si="85"/>
        <v>5.3732869054084226E-2</v>
      </c>
    </row>
    <row r="601" spans="2:25" x14ac:dyDescent="0.45">
      <c r="B601" vm="4877">
        <f ca="1"/>
        <v>45035</v>
      </c>
      <c r="C601" vm="4878">
        <f ca="1"/>
        <v>288.45</v>
      </c>
      <c r="D601" vm="4877">
        <f ca="1"/>
        <v>45035</v>
      </c>
      <c r="E601" vm="4879">
        <f ca="1"/>
        <v>19.7</v>
      </c>
      <c r="F601" vm="4877">
        <f ca="1"/>
        <v>45035</v>
      </c>
      <c r="G601" vm="4880">
        <f ca="1"/>
        <v>232.57</v>
      </c>
      <c r="H601" vm="4877">
        <f ca="1"/>
        <v>45035</v>
      </c>
      <c r="I601" vm="4677">
        <f ca="1"/>
        <v>138.93</v>
      </c>
      <c r="J601" vm="4877">
        <f ca="1"/>
        <v>45035</v>
      </c>
      <c r="K601" vm="928">
        <f ca="1"/>
        <v>25.96</v>
      </c>
      <c r="L601" vm="4877">
        <f ca="1"/>
        <v>45035</v>
      </c>
      <c r="M601" vm="4881">
        <f ca="1"/>
        <v>133.56</v>
      </c>
      <c r="N601" vm="4877">
        <f ca="1"/>
        <v>45035</v>
      </c>
      <c r="O601" vm="4882">
        <f ca="1"/>
        <v>156.36000000000001</v>
      </c>
      <c r="P601" vm="4877">
        <f ca="1"/>
        <v>45035</v>
      </c>
      <c r="Q601" vm="4883">
        <f ca="1"/>
        <v>31.472000000000001</v>
      </c>
      <c r="R601" s="29">
        <f t="shared" ca="1" si="79"/>
        <v>2.7742136838084436E-4</v>
      </c>
      <c r="S601" s="30">
        <f t="shared" ca="1" si="80"/>
        <v>-6.0544904137235615E-3</v>
      </c>
      <c r="T601" s="30">
        <f t="shared" ca="1" si="81"/>
        <v>-4.4092465753424711E-3</v>
      </c>
      <c r="U601" s="30">
        <f t="shared" ca="1" si="82"/>
        <v>-5.0359712230210925E-4</v>
      </c>
      <c r="V601" s="30">
        <f t="shared" ca="1" si="83"/>
        <v>-2.6256564141035232E-2</v>
      </c>
      <c r="W601" s="30">
        <f t="shared" ca="1" si="86"/>
        <v>-7.5053875306531244E-3</v>
      </c>
      <c r="X601" s="30">
        <f t="shared" ca="1" si="84"/>
        <v>-3.8226299694189237E-3</v>
      </c>
      <c r="Y601" s="31">
        <f t="shared" ca="1" si="85"/>
        <v>-4.5869334546005704E-2</v>
      </c>
    </row>
    <row r="602" spans="2:25" x14ac:dyDescent="0.45">
      <c r="B602" vm="4884">
        <f ca="1"/>
        <v>45036</v>
      </c>
      <c r="C602" vm="4885">
        <f ca="1"/>
        <v>286.11</v>
      </c>
      <c r="D602" vm="4884">
        <f ca="1"/>
        <v>45036</v>
      </c>
      <c r="E602" vm="4886">
        <f ca="1"/>
        <v>17.649999999999999</v>
      </c>
      <c r="F602" vm="4884">
        <f ca="1"/>
        <v>45036</v>
      </c>
      <c r="G602" vm="4887">
        <f ca="1"/>
        <v>234.6</v>
      </c>
      <c r="H602" vm="4884">
        <f ca="1"/>
        <v>45036</v>
      </c>
      <c r="I602" vm="4888">
        <f ca="1"/>
        <v>135.53</v>
      </c>
      <c r="J602" vm="4884">
        <f ca="1"/>
        <v>45036</v>
      </c>
      <c r="K602" vm="4236">
        <f ca="1"/>
        <v>25.77</v>
      </c>
      <c r="L602" vm="4884">
        <f ca="1"/>
        <v>45036</v>
      </c>
      <c r="M602" vm="4889">
        <f ca="1"/>
        <v>133.33000000000001</v>
      </c>
      <c r="N602" vm="4884">
        <f ca="1"/>
        <v>45036</v>
      </c>
      <c r="O602" vm="4890">
        <f ca="1"/>
        <v>159.80000000000001</v>
      </c>
      <c r="P602" vm="4884">
        <f ca="1"/>
        <v>45036</v>
      </c>
      <c r="Q602" vm="4891">
        <f ca="1"/>
        <v>29.471</v>
      </c>
      <c r="R602" s="29">
        <f t="shared" ca="1" si="79"/>
        <v>-8.1123244929796334E-3</v>
      </c>
      <c r="S602" s="30">
        <f t="shared" ca="1" si="80"/>
        <v>-0.10406091370558379</v>
      </c>
      <c r="T602" s="30">
        <f t="shared" ca="1" si="81"/>
        <v>8.7285548437029768E-3</v>
      </c>
      <c r="U602" s="30">
        <f t="shared" ca="1" si="82"/>
        <v>-2.4472756064205035E-2</v>
      </c>
      <c r="V602" s="30">
        <f t="shared" ca="1" si="83"/>
        <v>-7.3189522342065206E-3</v>
      </c>
      <c r="W602" s="30">
        <f t="shared" ca="1" si="86"/>
        <v>-1.7220724767893813E-3</v>
      </c>
      <c r="X602" s="30">
        <f t="shared" ca="1" si="84"/>
        <v>2.200051163980556E-2</v>
      </c>
      <c r="Y602" s="31">
        <f t="shared" ca="1" si="85"/>
        <v>-6.3580325368581631E-2</v>
      </c>
    </row>
    <row r="603" spans="2:25" x14ac:dyDescent="0.45">
      <c r="B603" vm="4892">
        <f ca="1"/>
        <v>45037</v>
      </c>
      <c r="C603" vm="4893">
        <f ca="1"/>
        <v>285.76</v>
      </c>
      <c r="D603" vm="4892">
        <f ca="1"/>
        <v>45037</v>
      </c>
      <c r="E603" vm="4305">
        <f ca="1"/>
        <v>18.22</v>
      </c>
      <c r="F603" vm="4892">
        <f ca="1"/>
        <v>45037</v>
      </c>
      <c r="G603" vm="4894">
        <f ca="1"/>
        <v>234.05</v>
      </c>
      <c r="H603" vm="4892">
        <f ca="1"/>
        <v>45037</v>
      </c>
      <c r="I603" vm="4895">
        <f ca="1"/>
        <v>138.5</v>
      </c>
      <c r="J603" vm="4892">
        <f ca="1"/>
        <v>45037</v>
      </c>
      <c r="K603" vm="4896">
        <f ca="1"/>
        <v>25.01</v>
      </c>
      <c r="L603" vm="4892">
        <f ca="1"/>
        <v>45037</v>
      </c>
      <c r="M603" vm="4897">
        <f ca="1"/>
        <v>133.76</v>
      </c>
      <c r="N603" vm="4892">
        <f ca="1"/>
        <v>45037</v>
      </c>
      <c r="O603" vm="4898">
        <f ca="1"/>
        <v>156.80000000000001</v>
      </c>
      <c r="P603" vm="4892">
        <f ca="1"/>
        <v>45037</v>
      </c>
      <c r="Q603" vm="4899">
        <f ca="1"/>
        <v>29.102</v>
      </c>
      <c r="R603" s="29">
        <f t="shared" ca="1" si="79"/>
        <v>-1.2233057215756972E-3</v>
      </c>
      <c r="S603" s="30">
        <f t="shared" ca="1" si="80"/>
        <v>3.2294617563739393E-2</v>
      </c>
      <c r="T603" s="30">
        <f t="shared" ca="1" si="81"/>
        <v>-2.3444160272804047E-3</v>
      </c>
      <c r="U603" s="30">
        <f t="shared" ca="1" si="82"/>
        <v>2.1913967387294318E-2</v>
      </c>
      <c r="V603" s="30">
        <f t="shared" ca="1" si="83"/>
        <v>-2.9491656965463641E-2</v>
      </c>
      <c r="W603" s="30">
        <f t="shared" ca="1" si="86"/>
        <v>3.2250806270155133E-3</v>
      </c>
      <c r="X603" s="30">
        <f t="shared" ca="1" si="84"/>
        <v>-1.8773466833541926E-2</v>
      </c>
      <c r="Y603" s="31">
        <f t="shared" ca="1" si="85"/>
        <v>-1.2520783142750493E-2</v>
      </c>
    </row>
    <row r="604" spans="2:25" x14ac:dyDescent="0.45">
      <c r="B604" vm="4900">
        <f ca="1"/>
        <v>45040</v>
      </c>
      <c r="C604" vm="4901">
        <f ca="1"/>
        <v>281.77</v>
      </c>
      <c r="D604" vm="4900">
        <f ca="1"/>
        <v>45040</v>
      </c>
      <c r="E604" vm="4902">
        <f ca="1"/>
        <v>17.53</v>
      </c>
      <c r="F604" vm="4900">
        <f ca="1"/>
        <v>45040</v>
      </c>
      <c r="G604" vm="4903">
        <f ca="1"/>
        <v>232.76</v>
      </c>
      <c r="H604" vm="4900">
        <f ca="1"/>
        <v>45040</v>
      </c>
      <c r="I604" vm="4904">
        <f ca="1"/>
        <v>138.47999999999999</v>
      </c>
      <c r="J604" vm="4900">
        <f ca="1"/>
        <v>45040</v>
      </c>
      <c r="K604" vm="2027">
        <f ca="1"/>
        <v>25.23</v>
      </c>
      <c r="L604" vm="4900">
        <f ca="1"/>
        <v>45040</v>
      </c>
      <c r="M604" vm="4905">
        <f ca="1"/>
        <v>131.44999999999999</v>
      </c>
      <c r="N604" vm="4900">
        <f ca="1"/>
        <v>45040</v>
      </c>
      <c r="O604" vm="4906">
        <f ca="1"/>
        <v>155.96</v>
      </c>
      <c r="P604" vm="4900">
        <f ca="1"/>
        <v>45040</v>
      </c>
      <c r="Q604" vm="4907">
        <f ca="1"/>
        <v>28.533000000000001</v>
      </c>
      <c r="R604" s="29">
        <f t="shared" ca="1" si="79"/>
        <v>-1.3962765957446841E-2</v>
      </c>
      <c r="S604" s="30">
        <f t="shared" ca="1" si="80"/>
        <v>-3.7870472008781436E-2</v>
      </c>
      <c r="T604" s="30">
        <f t="shared" ca="1" si="81"/>
        <v>-5.5116428113651805E-3</v>
      </c>
      <c r="U604" s="30">
        <f t="shared" ca="1" si="82"/>
        <v>-1.4440433213003777E-4</v>
      </c>
      <c r="V604" s="30">
        <f t="shared" ca="1" si="83"/>
        <v>8.7964814074369783E-3</v>
      </c>
      <c r="W604" s="30">
        <f t="shared" ca="1" si="86"/>
        <v>-1.7269736842105282E-2</v>
      </c>
      <c r="X604" s="30">
        <f t="shared" ca="1" si="84"/>
        <v>-5.3571428571428789E-3</v>
      </c>
      <c r="Y604" s="31">
        <f t="shared" ca="1" si="85"/>
        <v>-1.9551920830183461E-2</v>
      </c>
    </row>
    <row r="605" spans="2:25" x14ac:dyDescent="0.45">
      <c r="B605" vm="4908">
        <f ca="1"/>
        <v>45041</v>
      </c>
      <c r="C605" vm="4909">
        <f ca="1"/>
        <v>275.42</v>
      </c>
      <c r="D605" vm="4908">
        <f ca="1"/>
        <v>45041</v>
      </c>
      <c r="E605" vm="3971">
        <f ca="1"/>
        <v>17.510000000000002</v>
      </c>
      <c r="F605" vm="4908">
        <f ca="1"/>
        <v>45041</v>
      </c>
      <c r="G605" vm="4910">
        <f ca="1"/>
        <v>229.59</v>
      </c>
      <c r="H605" vm="4908">
        <f ca="1"/>
        <v>45041</v>
      </c>
      <c r="I605" vm="4911">
        <f ca="1"/>
        <v>130.37</v>
      </c>
      <c r="J605" vm="4908">
        <f ca="1"/>
        <v>45041</v>
      </c>
      <c r="K605" vm="4912">
        <f ca="1"/>
        <v>24.18</v>
      </c>
      <c r="L605" vm="4908">
        <f ca="1"/>
        <v>45041</v>
      </c>
      <c r="M605" vm="4913">
        <f ca="1"/>
        <v>138.19999999999999</v>
      </c>
      <c r="N605" vm="4908">
        <f ca="1"/>
        <v>45041</v>
      </c>
      <c r="O605" vm="4914">
        <f ca="1"/>
        <v>169.16</v>
      </c>
      <c r="P605" vm="4908">
        <f ca="1"/>
        <v>45041</v>
      </c>
      <c r="Q605" vm="4915">
        <f ca="1"/>
        <v>29.091000000000001</v>
      </c>
      <c r="R605" s="29">
        <f t="shared" ca="1" si="79"/>
        <v>-2.2536111012527827E-2</v>
      </c>
      <c r="S605" s="30">
        <f t="shared" ca="1" si="80"/>
        <v>-1.1409013120364845E-3</v>
      </c>
      <c r="T605" s="30">
        <f t="shared" ca="1" si="81"/>
        <v>-1.3619178553015929E-2</v>
      </c>
      <c r="U605" s="30">
        <f t="shared" ca="1" si="82"/>
        <v>-5.8564413633737621E-2</v>
      </c>
      <c r="V605" s="30">
        <f t="shared" ca="1" si="83"/>
        <v>-4.1617122473246164E-2</v>
      </c>
      <c r="W605" s="30">
        <f t="shared" ca="1" si="86"/>
        <v>5.1350323316850521E-2</v>
      </c>
      <c r="X605" s="30">
        <f t="shared" ca="1" si="84"/>
        <v>8.463708643241849E-2</v>
      </c>
      <c r="Y605" s="31">
        <f t="shared" ca="1" si="85"/>
        <v>1.9556303227841441E-2</v>
      </c>
    </row>
    <row r="606" spans="2:25" x14ac:dyDescent="0.45">
      <c r="B606" vm="4916">
        <f ca="1"/>
        <v>45042</v>
      </c>
      <c r="C606" vm="4917">
        <f ca="1"/>
        <v>295.37</v>
      </c>
      <c r="D606" vm="4916">
        <f ca="1"/>
        <v>45042</v>
      </c>
      <c r="E606" vm="4918">
        <f ca="1"/>
        <v>17.2</v>
      </c>
      <c r="F606" vm="4916">
        <f ca="1"/>
        <v>45042</v>
      </c>
      <c r="G606" vm="4919">
        <f ca="1"/>
        <v>228.15</v>
      </c>
      <c r="H606" vm="4916">
        <f ca="1"/>
        <v>45042</v>
      </c>
      <c r="I606" vm="4920">
        <f ca="1"/>
        <v>133.12</v>
      </c>
      <c r="J606" vm="4916">
        <f ca="1"/>
        <v>45042</v>
      </c>
      <c r="K606" vm="4921">
        <f ca="1"/>
        <v>23.48</v>
      </c>
      <c r="L606" vm="4916">
        <f ca="1"/>
        <v>45042</v>
      </c>
      <c r="M606" vm="4920">
        <f ca="1"/>
        <v>133.12</v>
      </c>
      <c r="N606" vm="4916">
        <f ca="1"/>
        <v>45042</v>
      </c>
      <c r="O606" vm="4922">
        <f ca="1"/>
        <v>164.88</v>
      </c>
      <c r="P606" vm="4916">
        <f ca="1"/>
        <v>45042</v>
      </c>
      <c r="Q606" vm="4923">
        <f ca="1"/>
        <v>29.946000000000002</v>
      </c>
      <c r="R606" s="29">
        <f t="shared" ca="1" si="79"/>
        <v>7.2434826809962924E-2</v>
      </c>
      <c r="S606" s="30">
        <f t="shared" ca="1" si="80"/>
        <v>-1.7704169046259408E-2</v>
      </c>
      <c r="T606" s="30">
        <f t="shared" ca="1" si="81"/>
        <v>-6.2720501764014008E-3</v>
      </c>
      <c r="U606" s="30">
        <f t="shared" ca="1" si="82"/>
        <v>2.1093809925596379E-2</v>
      </c>
      <c r="V606" s="30">
        <f t="shared" ca="1" si="83"/>
        <v>-2.8949545078577308E-2</v>
      </c>
      <c r="W606" s="30">
        <f t="shared" ca="1" si="86"/>
        <v>-3.6758321273516532E-2</v>
      </c>
      <c r="X606" s="30">
        <f t="shared" ca="1" si="84"/>
        <v>-2.5301489713880358E-2</v>
      </c>
      <c r="Y606" s="31">
        <f t="shared" ca="1" si="85"/>
        <v>2.9390533154583905E-2</v>
      </c>
    </row>
    <row r="607" spans="2:25" x14ac:dyDescent="0.45">
      <c r="B607" vm="4924">
        <f ca="1"/>
        <v>45043</v>
      </c>
      <c r="C607" vm="4925">
        <f ca="1"/>
        <v>304.83</v>
      </c>
      <c r="D607" vm="4924">
        <f ca="1"/>
        <v>45043</v>
      </c>
      <c r="E607" vm="4926">
        <f ca="1"/>
        <v>17.61</v>
      </c>
      <c r="F607" vm="4924">
        <f ca="1"/>
        <v>45043</v>
      </c>
      <c r="G607" vm="4927">
        <f ca="1"/>
        <v>229.01</v>
      </c>
      <c r="H607" vm="4924">
        <f ca="1"/>
        <v>45043</v>
      </c>
      <c r="I607" vm="3752">
        <f ca="1"/>
        <v>133.25</v>
      </c>
      <c r="J607" vm="4924">
        <f ca="1"/>
        <v>45043</v>
      </c>
      <c r="K607" vm="4107">
        <f ca="1"/>
        <v>23.73</v>
      </c>
      <c r="L607" vm="4924">
        <f ca="1"/>
        <v>45043</v>
      </c>
      <c r="M607" vm="4928">
        <f ca="1"/>
        <v>132.16999999999999</v>
      </c>
      <c r="N607" vm="4924">
        <f ca="1"/>
        <v>45043</v>
      </c>
      <c r="O607" vm="4929">
        <f ca="1"/>
        <v>157.72</v>
      </c>
      <c r="P607" vm="4924">
        <f ca="1"/>
        <v>45043</v>
      </c>
      <c r="Q607" vm="4930">
        <f ca="1"/>
        <v>31.864000000000001</v>
      </c>
      <c r="R607" s="29">
        <f t="shared" ca="1" si="79"/>
        <v>3.2027626366929546E-2</v>
      </c>
      <c r="S607" s="30">
        <f t="shared" ca="1" si="80"/>
        <v>2.383720930232559E-2</v>
      </c>
      <c r="T607" s="30">
        <f t="shared" ca="1" si="81"/>
        <v>3.7694499232960124E-3</v>
      </c>
      <c r="U607" s="30">
        <f t="shared" ca="1" si="82"/>
        <v>9.7656249999996585E-4</v>
      </c>
      <c r="V607" s="30">
        <f t="shared" ca="1" si="83"/>
        <v>1.0647359454855196E-2</v>
      </c>
      <c r="W607" s="30">
        <f t="shared" ca="1" si="86"/>
        <v>-7.1364182692308974E-3</v>
      </c>
      <c r="X607" s="30">
        <f t="shared" ca="1" si="84"/>
        <v>-4.3425521591460438E-2</v>
      </c>
      <c r="Y607" s="31">
        <f t="shared" ca="1" si="85"/>
        <v>6.4048620850864865E-2</v>
      </c>
    </row>
    <row r="608" spans="2:25" x14ac:dyDescent="0.45">
      <c r="B608" vm="4931">
        <f ca="1"/>
        <v>45044</v>
      </c>
      <c r="C608" vm="4932">
        <f ca="1"/>
        <v>307.26</v>
      </c>
      <c r="D608" vm="4931">
        <f ca="1"/>
        <v>45044</v>
      </c>
      <c r="E608" vm="4933">
        <f ca="1"/>
        <v>17.670000000000002</v>
      </c>
      <c r="F608" vm="4931">
        <f ca="1"/>
        <v>45044</v>
      </c>
      <c r="G608" vm="4934">
        <f ca="1"/>
        <v>232.73</v>
      </c>
      <c r="H608" vm="4931">
        <f ca="1"/>
        <v>45044</v>
      </c>
      <c r="I608" vm="4935">
        <f ca="1"/>
        <v>135.43</v>
      </c>
      <c r="J608" vm="4931">
        <f ca="1"/>
        <v>45044</v>
      </c>
      <c r="K608" vm="1917">
        <f ca="1"/>
        <v>22.88</v>
      </c>
      <c r="L608" vm="4931">
        <f ca="1"/>
        <v>45044</v>
      </c>
      <c r="M608" vm="4936">
        <f ca="1"/>
        <v>133.6</v>
      </c>
      <c r="N608" vm="4931">
        <f ca="1"/>
        <v>45044</v>
      </c>
      <c r="O608" vm="4937">
        <f ca="1"/>
        <v>151.44</v>
      </c>
      <c r="P608" vm="4931">
        <f ca="1"/>
        <v>45044</v>
      </c>
      <c r="Q608" vm="4938">
        <f ca="1"/>
        <v>32.838000000000001</v>
      </c>
      <c r="R608" s="29">
        <f t="shared" ca="1" si="79"/>
        <v>7.9716563330381098E-3</v>
      </c>
      <c r="S608" s="30">
        <f t="shared" ca="1" si="80"/>
        <v>3.407155025553792E-3</v>
      </c>
      <c r="T608" s="30">
        <f t="shared" ca="1" si="81"/>
        <v>1.6243832147067809E-2</v>
      </c>
      <c r="U608" s="30">
        <f t="shared" ca="1" si="82"/>
        <v>1.6360225140712996E-2</v>
      </c>
      <c r="V608" s="30">
        <f t="shared" ca="1" si="83"/>
        <v>-3.5819637589549154E-2</v>
      </c>
      <c r="W608" s="30">
        <f t="shared" ca="1" si="86"/>
        <v>1.0819399258530734E-2</v>
      </c>
      <c r="X608" s="30">
        <f t="shared" ca="1" si="84"/>
        <v>-3.9817397920365212E-2</v>
      </c>
      <c r="Y608" s="31">
        <f t="shared" ca="1" si="85"/>
        <v>3.0567411498870205E-2</v>
      </c>
    </row>
    <row r="609" spans="2:25" x14ac:dyDescent="0.45">
      <c r="B609" vm="4939">
        <f ca="1"/>
        <v>45047</v>
      </c>
      <c r="C609" vm="4940">
        <f ca="1"/>
        <v>305.56</v>
      </c>
      <c r="D609" vm="4939">
        <f ca="1"/>
        <v>45047</v>
      </c>
      <c r="E609" vm="3396">
        <f ca="1"/>
        <v>17.5</v>
      </c>
      <c r="F609" vm="4939">
        <f ca="1"/>
        <v>45047</v>
      </c>
      <c r="G609" vm="4941">
        <f ca="1"/>
        <v>232.51</v>
      </c>
      <c r="H609" vm="4939">
        <f ca="1"/>
        <v>45047</v>
      </c>
      <c r="I609" vm="4041">
        <f ca="1"/>
        <v>136.08000000000001</v>
      </c>
      <c r="J609" vm="4939">
        <f ca="1"/>
        <v>45047</v>
      </c>
      <c r="K609" vm="4942">
        <f ca="1"/>
        <v>22.89</v>
      </c>
      <c r="L609" vm="4939">
        <f ca="1"/>
        <v>45047</v>
      </c>
      <c r="M609" vm="4943">
        <f ca="1"/>
        <v>138.43</v>
      </c>
      <c r="N609" vm="4939">
        <f ca="1"/>
        <v>45047</v>
      </c>
      <c r="O609" vm="1329">
        <f ca="1"/>
        <v>148.96</v>
      </c>
      <c r="P609" vm="4939">
        <f ca="1"/>
        <v>45047</v>
      </c>
      <c r="Q609" vm="4944">
        <f ca="1"/>
        <v>30.747</v>
      </c>
      <c r="R609" s="29">
        <f t="shared" ca="1" si="79"/>
        <v>-5.5327735468332639E-3</v>
      </c>
      <c r="S609" s="30">
        <f t="shared" ca="1" si="80"/>
        <v>-9.620826259196474E-3</v>
      </c>
      <c r="T609" s="30">
        <f t="shared" ca="1" si="81"/>
        <v>-9.453014222489532E-4</v>
      </c>
      <c r="U609" s="30">
        <f t="shared" ca="1" si="82"/>
        <v>4.7995274311452832E-3</v>
      </c>
      <c r="V609" s="30">
        <f t="shared" ca="1" si="83"/>
        <v>4.3706293706300542E-4</v>
      </c>
      <c r="W609" s="30">
        <f t="shared" ca="1" si="86"/>
        <v>3.6152694610778538E-2</v>
      </c>
      <c r="X609" s="30">
        <f t="shared" ca="1" si="84"/>
        <v>-1.6376122556788098E-2</v>
      </c>
      <c r="Y609" s="31">
        <f t="shared" ca="1" si="85"/>
        <v>-6.3676228759364184E-2</v>
      </c>
    </row>
    <row r="610" spans="2:25" x14ac:dyDescent="0.45">
      <c r="B610" vm="4945">
        <f ca="1"/>
        <v>45048</v>
      </c>
      <c r="C610" vm="4946">
        <f ca="1"/>
        <v>305.41000000000003</v>
      </c>
      <c r="D610" vm="4945">
        <f ca="1"/>
        <v>45048</v>
      </c>
      <c r="E610" vm="4947">
        <f ca="1"/>
        <v>17.07</v>
      </c>
      <c r="F610" vm="4945">
        <f ca="1"/>
        <v>45048</v>
      </c>
      <c r="G610" vm="4948">
        <f ca="1"/>
        <v>226.98</v>
      </c>
      <c r="H610" vm="4945">
        <f ca="1"/>
        <v>45048</v>
      </c>
      <c r="I610" vm="4949">
        <f ca="1"/>
        <v>134.52000000000001</v>
      </c>
      <c r="J610" vm="4945">
        <f ca="1"/>
        <v>45048</v>
      </c>
      <c r="K610" vm="2165">
        <f ca="1"/>
        <v>22.57</v>
      </c>
      <c r="L610" vm="4945">
        <f ca="1"/>
        <v>45048</v>
      </c>
      <c r="M610" vm="4950">
        <f ca="1"/>
        <v>136.38999999999999</v>
      </c>
      <c r="N610" vm="4945">
        <f ca="1"/>
        <v>45048</v>
      </c>
      <c r="O610" vm="4951">
        <f ca="1"/>
        <v>155.56</v>
      </c>
      <c r="P610" vm="4945">
        <f ca="1"/>
        <v>45048</v>
      </c>
      <c r="Q610" vm="4952">
        <f ca="1"/>
        <v>32.801000000000002</v>
      </c>
      <c r="R610" s="29">
        <f t="shared" ca="1" si="79"/>
        <v>-4.9090195051700893E-4</v>
      </c>
      <c r="S610" s="30">
        <f t="shared" ca="1" si="80"/>
        <v>-2.4571428571428557E-2</v>
      </c>
      <c r="T610" s="30">
        <f t="shared" ca="1" si="81"/>
        <v>-2.3783923272117334E-2</v>
      </c>
      <c r="U610" s="30">
        <f t="shared" ca="1" si="82"/>
        <v>-1.1463844797178145E-2</v>
      </c>
      <c r="V610" s="30">
        <f t="shared" ca="1" si="83"/>
        <v>-1.3979903888160781E-2</v>
      </c>
      <c r="W610" s="30">
        <f t="shared" ca="1" si="86"/>
        <v>-1.473669002383891E-2</v>
      </c>
      <c r="X610" s="30">
        <f t="shared" ca="1" si="84"/>
        <v>4.4307196562835618E-2</v>
      </c>
      <c r="Y610" s="31">
        <f t="shared" ca="1" si="85"/>
        <v>6.6803265359222111E-2</v>
      </c>
    </row>
    <row r="611" spans="2:25" x14ac:dyDescent="0.45">
      <c r="B611" vm="4953">
        <f ca="1"/>
        <v>45049</v>
      </c>
      <c r="C611" vm="4954">
        <f ca="1"/>
        <v>304.39999999999998</v>
      </c>
      <c r="D611" vm="4953">
        <f ca="1"/>
        <v>45049</v>
      </c>
      <c r="E611" vm="4955">
        <f ca="1"/>
        <v>17.09</v>
      </c>
      <c r="F611" vm="4953">
        <f ca="1"/>
        <v>45049</v>
      </c>
      <c r="G611" vm="4956">
        <f ca="1"/>
        <v>225.98</v>
      </c>
      <c r="H611" vm="4953">
        <f ca="1"/>
        <v>45049</v>
      </c>
      <c r="I611" vm="4957">
        <f ca="1"/>
        <v>134.77000000000001</v>
      </c>
      <c r="J611" vm="4953">
        <f ca="1"/>
        <v>45049</v>
      </c>
      <c r="K611" vm="4958">
        <f ca="1"/>
        <v>21.75</v>
      </c>
      <c r="L611" vm="4953">
        <f ca="1"/>
        <v>45049</v>
      </c>
      <c r="M611" vm="4959">
        <f ca="1"/>
        <v>138.06</v>
      </c>
      <c r="N611" vm="4953">
        <f ca="1"/>
        <v>45049</v>
      </c>
      <c r="O611" vm="4960">
        <f ca="1"/>
        <v>160.4</v>
      </c>
      <c r="P611" vm="4953">
        <f ca="1"/>
        <v>45049</v>
      </c>
      <c r="Q611" vm="4961">
        <f ca="1"/>
        <v>30.425000000000001</v>
      </c>
      <c r="R611" s="29">
        <f t="shared" ca="1" si="79"/>
        <v>-3.3070298942406854E-3</v>
      </c>
      <c r="S611" s="30">
        <f t="shared" ca="1" si="80"/>
        <v>1.1716461628587917E-3</v>
      </c>
      <c r="T611" s="30">
        <f t="shared" ca="1" si="81"/>
        <v>-4.4056745087672922E-3</v>
      </c>
      <c r="U611" s="30">
        <f t="shared" ca="1" si="82"/>
        <v>1.8584597085935177E-3</v>
      </c>
      <c r="V611" s="30">
        <f t="shared" ca="1" si="83"/>
        <v>-3.6331413380593723E-2</v>
      </c>
      <c r="W611" s="30">
        <f t="shared" ca="1" si="86"/>
        <v>1.2244299435442599E-2</v>
      </c>
      <c r="X611" s="30">
        <f t="shared" ca="1" si="84"/>
        <v>3.1113396760092591E-2</v>
      </c>
      <c r="Y611" s="31">
        <f t="shared" ca="1" si="85"/>
        <v>-7.2436815950733244E-2</v>
      </c>
    </row>
    <row r="612" spans="2:25" x14ac:dyDescent="0.45">
      <c r="B612" vm="4962">
        <f ca="1"/>
        <v>45050</v>
      </c>
      <c r="C612" vm="4946">
        <f ca="1"/>
        <v>305.41000000000003</v>
      </c>
      <c r="D612" vm="4962">
        <f ca="1"/>
        <v>45050</v>
      </c>
      <c r="E612" vm="4963">
        <f ca="1"/>
        <v>16.91</v>
      </c>
      <c r="F612" vm="4962">
        <f ca="1"/>
        <v>45050</v>
      </c>
      <c r="G612" vm="964">
        <f ca="1"/>
        <v>225.6</v>
      </c>
      <c r="H612" vm="4962">
        <f ca="1"/>
        <v>45050</v>
      </c>
      <c r="I612" vm="4964">
        <f ca="1"/>
        <v>133.88</v>
      </c>
      <c r="J612" vm="4962">
        <f ca="1"/>
        <v>45050</v>
      </c>
      <c r="K612" vm="3342">
        <f ca="1"/>
        <v>20.96</v>
      </c>
      <c r="L612" vm="4962">
        <f ca="1"/>
        <v>45050</v>
      </c>
      <c r="M612" vm="4965">
        <f ca="1"/>
        <v>140.47999999999999</v>
      </c>
      <c r="N612" vm="4962">
        <f ca="1"/>
        <v>45050</v>
      </c>
      <c r="O612" vm="4966">
        <f ca="1"/>
        <v>168.24</v>
      </c>
      <c r="P612" vm="4962">
        <f ca="1"/>
        <v>45050</v>
      </c>
      <c r="Q612" vm="4967">
        <f ca="1"/>
        <v>31.223500000000001</v>
      </c>
      <c r="R612" s="29">
        <f t="shared" ca="1" si="79"/>
        <v>3.3180026281210508E-3</v>
      </c>
      <c r="S612" s="30">
        <f t="shared" ca="1" si="80"/>
        <v>-1.0532475131655922E-2</v>
      </c>
      <c r="T612" s="30">
        <f t="shared" ca="1" si="81"/>
        <v>-1.6815647402424793E-3</v>
      </c>
      <c r="U612" s="30">
        <f t="shared" ca="1" si="82"/>
        <v>-6.6038435853677723E-3</v>
      </c>
      <c r="V612" s="30">
        <f t="shared" ca="1" si="83"/>
        <v>-3.6321839080459731E-2</v>
      </c>
      <c r="W612" s="30">
        <f t="shared" ca="1" si="86"/>
        <v>1.7528610748949642E-2</v>
      </c>
      <c r="X612" s="30">
        <f t="shared" ca="1" si="84"/>
        <v>4.8877805486284308E-2</v>
      </c>
      <c r="Y612" s="31">
        <f t="shared" ca="1" si="85"/>
        <v>2.6244864420706678E-2</v>
      </c>
    </row>
    <row r="613" spans="2:25" x14ac:dyDescent="0.45">
      <c r="B613" vm="4968">
        <f ca="1"/>
        <v>45051</v>
      </c>
      <c r="C613" vm="4969">
        <f ca="1"/>
        <v>310.64999999999998</v>
      </c>
      <c r="D613" vm="4968">
        <f ca="1"/>
        <v>45051</v>
      </c>
      <c r="E613" vm="4970">
        <f ca="1"/>
        <v>17.13</v>
      </c>
      <c r="F613" vm="4968">
        <f ca="1"/>
        <v>45051</v>
      </c>
      <c r="G613" vm="4971">
        <f ca="1"/>
        <v>231.78</v>
      </c>
      <c r="H613" vm="4968">
        <f ca="1"/>
        <v>45051</v>
      </c>
      <c r="I613" vm="4972">
        <f ca="1"/>
        <v>133.30000000000001</v>
      </c>
      <c r="J613" vm="4968">
        <f ca="1"/>
        <v>45051</v>
      </c>
      <c r="K613" vm="4973">
        <f ca="1"/>
        <v>21.68</v>
      </c>
      <c r="L613" vm="4968">
        <f ca="1"/>
        <v>45051</v>
      </c>
      <c r="M613" vm="4974">
        <f ca="1"/>
        <v>141.75</v>
      </c>
      <c r="N613" vm="4968">
        <f ca="1"/>
        <v>45051</v>
      </c>
      <c r="O613" vm="4975">
        <f ca="1"/>
        <v>155</v>
      </c>
      <c r="P613" vm="4968">
        <f ca="1"/>
        <v>45051</v>
      </c>
      <c r="Q613" vm="4976">
        <f ca="1"/>
        <v>32.671999999999997</v>
      </c>
      <c r="R613" s="29">
        <f t="shared" ca="1" si="79"/>
        <v>1.7157264005762587E-2</v>
      </c>
      <c r="S613" s="30">
        <f t="shared" ca="1" si="80"/>
        <v>1.3010053222944936E-2</v>
      </c>
      <c r="T613" s="30">
        <f t="shared" ca="1" si="81"/>
        <v>2.7393617021276628E-2</v>
      </c>
      <c r="U613" s="30">
        <f t="shared" ca="1" si="82"/>
        <v>-4.3322378249177184E-3</v>
      </c>
      <c r="V613" s="30">
        <f t="shared" ca="1" si="83"/>
        <v>3.4351145038167885E-2</v>
      </c>
      <c r="W613" s="30">
        <f t="shared" ca="1" si="86"/>
        <v>9.0404328018223977E-3</v>
      </c>
      <c r="X613" s="30">
        <f t="shared" ca="1" si="84"/>
        <v>-7.8697099381835528E-2</v>
      </c>
      <c r="Y613" s="31">
        <f t="shared" ca="1" si="85"/>
        <v>4.6391339856197915E-2</v>
      </c>
    </row>
    <row r="614" spans="2:25" x14ac:dyDescent="0.45">
      <c r="B614" vm="4977">
        <f ca="1"/>
        <v>45054</v>
      </c>
      <c r="C614" vm="4978">
        <f ca="1"/>
        <v>308.64999999999998</v>
      </c>
      <c r="D614" vm="4977">
        <f ca="1"/>
        <v>45054</v>
      </c>
      <c r="E614" vm="4979">
        <f ca="1"/>
        <v>17.12</v>
      </c>
      <c r="F614" vm="4977">
        <f ca="1"/>
        <v>45054</v>
      </c>
      <c r="G614" vm="4980">
        <f ca="1"/>
        <v>232.23</v>
      </c>
      <c r="H614" vm="4977">
        <f ca="1"/>
        <v>45054</v>
      </c>
      <c r="I614" vm="4981">
        <f ca="1"/>
        <v>132.44999999999999</v>
      </c>
      <c r="J614" vm="4977">
        <f ca="1"/>
        <v>45054</v>
      </c>
      <c r="K614" vm="4982">
        <f ca="1"/>
        <v>21.59</v>
      </c>
      <c r="L614" vm="4977">
        <f ca="1"/>
        <v>45054</v>
      </c>
      <c r="M614" vm="4983">
        <f ca="1"/>
        <v>144.53</v>
      </c>
      <c r="N614" vm="4977">
        <f ca="1"/>
        <v>45054</v>
      </c>
      <c r="O614" vm="4984">
        <f ca="1"/>
        <v>152.44</v>
      </c>
      <c r="P614" vm="4977">
        <f ca="1"/>
        <v>45054</v>
      </c>
      <c r="Q614" vm="4985">
        <f ca="1"/>
        <v>29.466999999999999</v>
      </c>
      <c r="R614" s="29">
        <f t="shared" ca="1" si="79"/>
        <v>-6.4381136327056176E-3</v>
      </c>
      <c r="S614" s="30">
        <f t="shared" ca="1" si="80"/>
        <v>-5.8377116170449568E-4</v>
      </c>
      <c r="T614" s="30">
        <f t="shared" ca="1" si="81"/>
        <v>1.9414962464405412E-3</v>
      </c>
      <c r="U614" s="30">
        <f t="shared" ca="1" si="82"/>
        <v>-6.3765941485373042E-3</v>
      </c>
      <c r="V614" s="30">
        <f t="shared" ca="1" si="83"/>
        <v>-4.1512915129151224E-3</v>
      </c>
      <c r="W614" s="30">
        <f t="shared" ca="1" si="86"/>
        <v>1.9611992945326288E-2</v>
      </c>
      <c r="X614" s="30">
        <f t="shared" ca="1" si="84"/>
        <v>-1.6516129032258079E-2</v>
      </c>
      <c r="Y614" s="31">
        <f t="shared" ca="1" si="85"/>
        <v>-9.8096229187071449E-2</v>
      </c>
    </row>
    <row r="615" spans="2:25" x14ac:dyDescent="0.45">
      <c r="B615" vm="4986">
        <f ca="1"/>
        <v>45055</v>
      </c>
      <c r="C615" vm="4987">
        <f ca="1"/>
        <v>307</v>
      </c>
      <c r="D615" vm="4986">
        <f ca="1"/>
        <v>45055</v>
      </c>
      <c r="E615" vm="3361">
        <f ca="1"/>
        <v>17.02</v>
      </c>
      <c r="F615" vm="4986">
        <f ca="1"/>
        <v>45055</v>
      </c>
      <c r="G615" vm="2209">
        <f ca="1"/>
        <v>233.26</v>
      </c>
      <c r="H615" vm="4986">
        <f ca="1"/>
        <v>45055</v>
      </c>
      <c r="I615" vm="289">
        <f ca="1"/>
        <v>127.35</v>
      </c>
      <c r="J615" vm="4986">
        <f ca="1"/>
        <v>45055</v>
      </c>
      <c r="K615" vm="4982">
        <f ca="1"/>
        <v>21.59</v>
      </c>
      <c r="L615" vm="4986">
        <f ca="1"/>
        <v>45055</v>
      </c>
      <c r="M615" vm="4988">
        <f ca="1"/>
        <v>143.69999999999999</v>
      </c>
      <c r="N615" vm="4986">
        <f ca="1"/>
        <v>45055</v>
      </c>
      <c r="O615" vm="4177">
        <f ca="1"/>
        <v>156.12</v>
      </c>
      <c r="P615" vm="4986">
        <f ca="1"/>
        <v>45055</v>
      </c>
      <c r="Q615" vm="4989">
        <f ca="1"/>
        <v>30.343</v>
      </c>
      <c r="R615" s="29">
        <f t="shared" ca="1" si="79"/>
        <v>-5.3458610076137286E-3</v>
      </c>
      <c r="S615" s="30">
        <f t="shared" ca="1" si="80"/>
        <v>-5.8411214953271859E-3</v>
      </c>
      <c r="T615" s="30">
        <f t="shared" ca="1" si="81"/>
        <v>4.4352581492485945E-3</v>
      </c>
      <c r="U615" s="30">
        <f t="shared" ca="1" si="82"/>
        <v>-3.8505096262740617E-2</v>
      </c>
      <c r="V615" s="30">
        <f t="shared" ca="1" si="83"/>
        <v>0</v>
      </c>
      <c r="W615" s="30">
        <f t="shared" ca="1" si="86"/>
        <v>-5.7427523697503114E-3</v>
      </c>
      <c r="X615" s="30">
        <f t="shared" ca="1" si="84"/>
        <v>2.4140645499868846E-2</v>
      </c>
      <c r="Y615" s="31">
        <f t="shared" ca="1" si="85"/>
        <v>2.9728170495808913E-2</v>
      </c>
    </row>
    <row r="616" spans="2:25" x14ac:dyDescent="0.45">
      <c r="B616" vm="4990">
        <f ca="1"/>
        <v>45056</v>
      </c>
      <c r="C616" vm="4991">
        <f ca="1"/>
        <v>312.31</v>
      </c>
      <c r="D616" vm="4990">
        <f ca="1"/>
        <v>45056</v>
      </c>
      <c r="E616" vm="4992">
        <f ca="1"/>
        <v>17.04</v>
      </c>
      <c r="F616" vm="4990">
        <f ca="1"/>
        <v>45056</v>
      </c>
      <c r="G616" vm="4993">
        <f ca="1"/>
        <v>231.27</v>
      </c>
      <c r="H616" vm="4990">
        <f ca="1"/>
        <v>45056</v>
      </c>
      <c r="I616" vm="4994">
        <f ca="1"/>
        <v>128.06</v>
      </c>
      <c r="J616" vm="4990">
        <f ca="1"/>
        <v>45056</v>
      </c>
      <c r="K616" vm="4995">
        <f ca="1"/>
        <v>21.36</v>
      </c>
      <c r="L616" vm="4990">
        <f ca="1"/>
        <v>45056</v>
      </c>
      <c r="M616" vm="4996">
        <f ca="1"/>
        <v>147.74</v>
      </c>
      <c r="N616" vm="4990">
        <f ca="1"/>
        <v>45056</v>
      </c>
      <c r="O616" vm="4997">
        <f ca="1"/>
        <v>151.36000000000001</v>
      </c>
      <c r="P616" vm="4990">
        <f ca="1"/>
        <v>45056</v>
      </c>
      <c r="Q616" vm="4998">
        <f ca="1"/>
        <v>31.510999999999999</v>
      </c>
      <c r="R616" s="29">
        <f t="shared" ca="1" si="79"/>
        <v>1.7296416938110758E-2</v>
      </c>
      <c r="S616" s="30">
        <f t="shared" ca="1" si="80"/>
        <v>1.1750881316098458E-3</v>
      </c>
      <c r="T616" s="30">
        <f t="shared" ca="1" si="81"/>
        <v>-8.531252679413447E-3</v>
      </c>
      <c r="U616" s="30">
        <f t="shared" ca="1" si="82"/>
        <v>5.575186493914472E-3</v>
      </c>
      <c r="V616" s="30">
        <f t="shared" ca="1" si="83"/>
        <v>-1.0653080129689692E-2</v>
      </c>
      <c r="W616" s="30">
        <f t="shared" ca="1" si="86"/>
        <v>2.8114126652748928E-2</v>
      </c>
      <c r="X616" s="30">
        <f t="shared" ca="1" si="84"/>
        <v>-3.0489367153471628E-2</v>
      </c>
      <c r="Y616" s="31">
        <f t="shared" ca="1" si="85"/>
        <v>3.8493227433015829E-2</v>
      </c>
    </row>
    <row r="617" spans="2:25" x14ac:dyDescent="0.45">
      <c r="B617" vm="4999">
        <f ca="1"/>
        <v>45057</v>
      </c>
      <c r="C617" vm="1930">
        <f ca="1"/>
        <v>310.11</v>
      </c>
      <c r="D617" vm="4999">
        <f ca="1"/>
        <v>45057</v>
      </c>
      <c r="E617" vm="5000">
        <f ca="1"/>
        <v>16.96</v>
      </c>
      <c r="F617" vm="4999">
        <f ca="1"/>
        <v>45057</v>
      </c>
      <c r="G617" vm="5001">
        <f ca="1"/>
        <v>231.01</v>
      </c>
      <c r="H617" vm="4999">
        <f ca="1"/>
        <v>45057</v>
      </c>
      <c r="I617" vm="5002">
        <f ca="1"/>
        <v>127.66</v>
      </c>
      <c r="J617" vm="4999">
        <f ca="1"/>
        <v>45057</v>
      </c>
      <c r="K617" vm="5003">
        <f ca="1"/>
        <v>21.21</v>
      </c>
      <c r="L617" vm="4999">
        <f ca="1"/>
        <v>45057</v>
      </c>
      <c r="M617" vm="5004">
        <f ca="1"/>
        <v>147.06</v>
      </c>
      <c r="N617" vm="4999">
        <f ca="1"/>
        <v>45057</v>
      </c>
      <c r="O617" vm="5005">
        <f ca="1"/>
        <v>149.88</v>
      </c>
      <c r="P617" vm="4999">
        <f ca="1"/>
        <v>45057</v>
      </c>
      <c r="Q617" vm="5006">
        <f ca="1"/>
        <v>28.736999999999998</v>
      </c>
      <c r="R617" s="29">
        <f t="shared" ca="1" si="79"/>
        <v>-7.0442829240177666E-3</v>
      </c>
      <c r="S617" s="30">
        <f t="shared" ca="1" si="80"/>
        <v>-4.6948356807510741E-3</v>
      </c>
      <c r="T617" s="30">
        <f t="shared" ca="1" si="81"/>
        <v>-1.1242270938730458E-3</v>
      </c>
      <c r="U617" s="30">
        <f t="shared" ca="1" si="82"/>
        <v>-3.1235358425738377E-3</v>
      </c>
      <c r="V617" s="30">
        <f t="shared" ca="1" si="83"/>
        <v>-7.0224719101122934E-3</v>
      </c>
      <c r="W617" s="30">
        <f t="shared" ca="1" si="86"/>
        <v>-4.6026803844592306E-3</v>
      </c>
      <c r="X617" s="30">
        <f t="shared" ca="1" si="84"/>
        <v>-9.7780126849895486E-3</v>
      </c>
      <c r="Y617" s="31">
        <f t="shared" ca="1" si="85"/>
        <v>-8.8032750468090545E-2</v>
      </c>
    </row>
    <row r="618" spans="2:25" x14ac:dyDescent="0.45">
      <c r="B618" vm="5007">
        <f ca="1"/>
        <v>45058</v>
      </c>
      <c r="C618" vm="5008">
        <f ca="1"/>
        <v>308.97000000000003</v>
      </c>
      <c r="D618" vm="5007">
        <f ca="1"/>
        <v>45058</v>
      </c>
      <c r="E618" vm="3727">
        <f ca="1"/>
        <v>17.03</v>
      </c>
      <c r="F618" vm="5007">
        <f ca="1"/>
        <v>45058</v>
      </c>
      <c r="G618" vm="5009">
        <f ca="1"/>
        <v>231.38</v>
      </c>
      <c r="H618" vm="5007">
        <f ca="1"/>
        <v>45058</v>
      </c>
      <c r="I618" vm="5010">
        <f ca="1"/>
        <v>127.49</v>
      </c>
      <c r="J618" vm="5007">
        <f ca="1"/>
        <v>45058</v>
      </c>
      <c r="K618" vm="5011">
        <f ca="1"/>
        <v>21.13</v>
      </c>
      <c r="L618" vm="5007">
        <f ca="1"/>
        <v>45058</v>
      </c>
      <c r="M618" vm="5012">
        <f ca="1"/>
        <v>142.53</v>
      </c>
      <c r="N618" vm="5007">
        <f ca="1"/>
        <v>45058</v>
      </c>
      <c r="O618" vm="4332">
        <f ca="1"/>
        <v>150.04</v>
      </c>
      <c r="P618" vm="5007">
        <f ca="1"/>
        <v>45058</v>
      </c>
      <c r="Q618" vm="5013">
        <f ca="1"/>
        <v>27.1</v>
      </c>
      <c r="R618" s="29">
        <f t="shared" ca="1" si="79"/>
        <v>-3.6761149269613565E-3</v>
      </c>
      <c r="S618" s="30">
        <f t="shared" ca="1" si="80"/>
        <v>4.1273584905660542E-3</v>
      </c>
      <c r="T618" s="30">
        <f t="shared" ca="1" si="81"/>
        <v>1.6016622657028031E-3</v>
      </c>
      <c r="U618" s="30">
        <f t="shared" ca="1" si="82"/>
        <v>-1.3316622277925875E-3</v>
      </c>
      <c r="V618" s="30">
        <f t="shared" ca="1" si="83"/>
        <v>-3.771805752003859E-3</v>
      </c>
      <c r="W618" s="30">
        <f t="shared" ca="1" si="86"/>
        <v>-3.0803753569971448E-2</v>
      </c>
      <c r="X618" s="30">
        <f t="shared" ca="1" si="84"/>
        <v>1.0675206832132145E-3</v>
      </c>
      <c r="Y618" s="31">
        <f t="shared" ca="1" si="85"/>
        <v>-5.6964888471308664E-2</v>
      </c>
    </row>
    <row r="619" spans="2:25" x14ac:dyDescent="0.45">
      <c r="B619" vm="5014">
        <f ca="1"/>
        <v>45061</v>
      </c>
      <c r="C619" vm="5015">
        <f ca="1"/>
        <v>309.45999999999998</v>
      </c>
      <c r="D619" vm="5014">
        <f ca="1"/>
        <v>45061</v>
      </c>
      <c r="E619" vm="5016">
        <f ca="1"/>
        <v>16.95</v>
      </c>
      <c r="F619" vm="5014">
        <f ca="1"/>
        <v>45061</v>
      </c>
      <c r="G619" vm="5017">
        <f ca="1"/>
        <v>232.81</v>
      </c>
      <c r="H619" vm="5014">
        <f ca="1"/>
        <v>45061</v>
      </c>
      <c r="I619" vm="5018">
        <f ca="1"/>
        <v>127.99</v>
      </c>
      <c r="J619" vm="5014">
        <f ca="1"/>
        <v>45061</v>
      </c>
      <c r="K619" vm="3973">
        <f ca="1"/>
        <v>21.44</v>
      </c>
      <c r="L619" vm="5014">
        <f ca="1"/>
        <v>45061</v>
      </c>
      <c r="M619" vm="5019">
        <f ca="1"/>
        <v>144.22</v>
      </c>
      <c r="N619" vm="5014">
        <f ca="1"/>
        <v>45061</v>
      </c>
      <c r="O619" vm="5020">
        <f ca="1"/>
        <v>146</v>
      </c>
      <c r="P619" vm="5014">
        <f ca="1"/>
        <v>45061</v>
      </c>
      <c r="Q619" vm="5021">
        <f ca="1"/>
        <v>28.25</v>
      </c>
      <c r="R619" s="29">
        <f t="shared" ca="1" si="79"/>
        <v>1.5859144900797883E-3</v>
      </c>
      <c r="S619" s="30">
        <f t="shared" ca="1" si="80"/>
        <v>-4.6975924838521341E-3</v>
      </c>
      <c r="T619" s="30">
        <f t="shared" ca="1" si="81"/>
        <v>6.1803094476618843E-3</v>
      </c>
      <c r="U619" s="30">
        <f t="shared" ca="1" si="82"/>
        <v>3.9218762255863208E-3</v>
      </c>
      <c r="V619" s="30">
        <f t="shared" ca="1" si="83"/>
        <v>1.4671083767155811E-2</v>
      </c>
      <c r="W619" s="30">
        <f t="shared" ca="1" si="86"/>
        <v>1.1857152880095402E-2</v>
      </c>
      <c r="X619" s="30">
        <f t="shared" ca="1" si="84"/>
        <v>-2.6926153025859718E-2</v>
      </c>
      <c r="Y619" s="31">
        <f t="shared" ca="1" si="85"/>
        <v>4.2435424354243488E-2</v>
      </c>
    </row>
    <row r="620" spans="2:25" x14ac:dyDescent="0.45">
      <c r="B620" vm="5022">
        <f ca="1"/>
        <v>45062</v>
      </c>
      <c r="C620" vm="5023">
        <f ca="1"/>
        <v>311.74</v>
      </c>
      <c r="D620" vm="5022">
        <f ca="1"/>
        <v>45062</v>
      </c>
      <c r="E620" vm="5024">
        <f ca="1"/>
        <v>16.53</v>
      </c>
      <c r="F620" vm="5022">
        <f ca="1"/>
        <v>45062</v>
      </c>
      <c r="G620" vm="5025">
        <f ca="1"/>
        <v>230.47</v>
      </c>
      <c r="H620" vm="5022">
        <f ca="1"/>
        <v>45062</v>
      </c>
      <c r="I620" vm="5026">
        <f ca="1"/>
        <v>126.29</v>
      </c>
      <c r="J620" vm="5022">
        <f ca="1"/>
        <v>45062</v>
      </c>
      <c r="K620" vm="5027">
        <f ca="1"/>
        <v>20.98</v>
      </c>
      <c r="L620" vm="5022">
        <f ca="1"/>
        <v>45062</v>
      </c>
      <c r="M620" vm="5028">
        <f ca="1"/>
        <v>146.32</v>
      </c>
      <c r="N620" vm="5022">
        <f ca="1"/>
        <v>45062</v>
      </c>
      <c r="O620" vm="5029">
        <f ca="1"/>
        <v>150.44</v>
      </c>
      <c r="P620" vm="5022">
        <f ca="1"/>
        <v>45062</v>
      </c>
      <c r="Q620" vm="5030">
        <f ca="1"/>
        <v>27.344000000000001</v>
      </c>
      <c r="R620" s="29">
        <f t="shared" ca="1" si="79"/>
        <v>7.3676727202224186E-3</v>
      </c>
      <c r="S620" s="30">
        <f t="shared" ca="1" si="80"/>
        <v>-2.4778761061946795E-2</v>
      </c>
      <c r="T620" s="30">
        <f t="shared" ca="1" si="81"/>
        <v>-1.0051114642841816E-2</v>
      </c>
      <c r="U620" s="30">
        <f t="shared" ca="1" si="82"/>
        <v>-1.3282287678724813E-2</v>
      </c>
      <c r="V620" s="30">
        <f t="shared" ca="1" si="83"/>
        <v>-2.1455223880597053E-2</v>
      </c>
      <c r="W620" s="30">
        <f t="shared" ca="1" si="86"/>
        <v>1.4561087227846306E-2</v>
      </c>
      <c r="X620" s="30">
        <f t="shared" ca="1" si="84"/>
        <v>3.0410958904109574E-2</v>
      </c>
      <c r="Y620" s="31">
        <f t="shared" ca="1" si="85"/>
        <v>-3.2070796460176951E-2</v>
      </c>
    </row>
    <row r="621" spans="2:25" x14ac:dyDescent="0.45">
      <c r="B621" vm="5031">
        <f ca="1"/>
        <v>45063</v>
      </c>
      <c r="C621" vm="5032">
        <f ca="1"/>
        <v>314</v>
      </c>
      <c r="D621" vm="5031">
        <f ca="1"/>
        <v>45063</v>
      </c>
      <c r="E621" vm="5033">
        <f ca="1"/>
        <v>16.66</v>
      </c>
      <c r="F621" vm="5031">
        <f ca="1"/>
        <v>45063</v>
      </c>
      <c r="G621" vm="1508">
        <f ca="1"/>
        <v>232.65</v>
      </c>
      <c r="H621" vm="5031">
        <f ca="1"/>
        <v>45063</v>
      </c>
      <c r="I621" vm="5034">
        <f ca="1"/>
        <v>127.77</v>
      </c>
      <c r="J621" vm="5031">
        <f ca="1"/>
        <v>45063</v>
      </c>
      <c r="K621" vm="1798">
        <f ca="1"/>
        <v>21.9</v>
      </c>
      <c r="L621" vm="5031">
        <f ca="1"/>
        <v>45063</v>
      </c>
      <c r="M621" vm="5020">
        <f ca="1"/>
        <v>146</v>
      </c>
      <c r="N621" vm="5031">
        <f ca="1"/>
        <v>45063</v>
      </c>
      <c r="O621" vm="5035">
        <f ca="1"/>
        <v>145.44</v>
      </c>
      <c r="P621" vm="5031">
        <f ca="1"/>
        <v>45063</v>
      </c>
      <c r="Q621" vm="5036">
        <f ca="1"/>
        <v>29.056999999999999</v>
      </c>
      <c r="R621" s="29">
        <f t="shared" ca="1" si="79"/>
        <v>7.2496311028420824E-3</v>
      </c>
      <c r="S621" s="30">
        <f t="shared" ca="1" si="80"/>
        <v>7.8644888082274045E-3</v>
      </c>
      <c r="T621" s="30">
        <f t="shared" ca="1" si="81"/>
        <v>9.4589317481668187E-3</v>
      </c>
      <c r="U621" s="30">
        <f t="shared" ca="1" si="82"/>
        <v>1.1719059307941957E-2</v>
      </c>
      <c r="V621" s="30">
        <f t="shared" ca="1" si="83"/>
        <v>4.3851286939942717E-2</v>
      </c>
      <c r="W621" s="30">
        <f t="shared" ca="1" si="86"/>
        <v>-2.1869874248222607E-3</v>
      </c>
      <c r="X621" s="30">
        <f t="shared" ca="1" si="84"/>
        <v>-3.3235841531507576E-2</v>
      </c>
      <c r="Y621" s="31">
        <f t="shared" ca="1" si="85"/>
        <v>6.2646284376828454E-2</v>
      </c>
    </row>
    <row r="622" spans="2:25" x14ac:dyDescent="0.45">
      <c r="B622" vm="5037">
        <f ca="1"/>
        <v>45064</v>
      </c>
      <c r="C622" vm="5038">
        <f ca="1"/>
        <v>318.52</v>
      </c>
      <c r="D622" vm="5037">
        <f ca="1"/>
        <v>45064</v>
      </c>
      <c r="E622" vm="403">
        <f ca="1"/>
        <v>16.55</v>
      </c>
      <c r="F622" vm="5037">
        <f ca="1"/>
        <v>45064</v>
      </c>
      <c r="G622" vm="4873">
        <f ca="1"/>
        <v>233.6</v>
      </c>
      <c r="H622" vm="5037">
        <f ca="1"/>
        <v>45064</v>
      </c>
      <c r="I622" vm="5039">
        <f ca="1"/>
        <v>129.13999999999999</v>
      </c>
      <c r="J622" vm="5037">
        <f ca="1"/>
        <v>45064</v>
      </c>
      <c r="K622" vm="5040">
        <f ca="1"/>
        <v>22.17</v>
      </c>
      <c r="L622" vm="5037">
        <f ca="1"/>
        <v>45064</v>
      </c>
      <c r="M622" vm="5041">
        <f ca="1"/>
        <v>151.47999999999999</v>
      </c>
      <c r="N622" vm="5037">
        <f ca="1"/>
        <v>45064</v>
      </c>
      <c r="O622" vm="5042">
        <f ca="1"/>
        <v>139.6</v>
      </c>
      <c r="P622" vm="5037">
        <f ca="1"/>
        <v>45064</v>
      </c>
      <c r="Q622" vm="5043">
        <f ca="1"/>
        <v>28.757999999999999</v>
      </c>
      <c r="R622" s="29">
        <f t="shared" ca="1" si="79"/>
        <v>1.4394904458598668E-2</v>
      </c>
      <c r="S622" s="30">
        <f t="shared" ca="1" si="80"/>
        <v>-6.6026410564225344E-3</v>
      </c>
      <c r="T622" s="30">
        <f t="shared" ca="1" si="81"/>
        <v>4.0833870621104175E-3</v>
      </c>
      <c r="U622" s="30">
        <f t="shared" ca="1" si="82"/>
        <v>1.0722391797761528E-2</v>
      </c>
      <c r="V622" s="30">
        <f t="shared" ca="1" si="83"/>
        <v>1.2328767123287815E-2</v>
      </c>
      <c r="W622" s="30">
        <f t="shared" ca="1" si="86"/>
        <v>3.7534246575342399E-2</v>
      </c>
      <c r="X622" s="30">
        <f t="shared" ca="1" si="84"/>
        <v>-4.0154015401540177E-2</v>
      </c>
      <c r="Y622" s="31">
        <f t="shared" ca="1" si="85"/>
        <v>-1.0290119420449445E-2</v>
      </c>
    </row>
    <row r="623" spans="2:25" x14ac:dyDescent="0.45">
      <c r="B623" vm="5044">
        <f ca="1"/>
        <v>45065</v>
      </c>
      <c r="C623" vm="5045">
        <f ca="1"/>
        <v>318.33999999999997</v>
      </c>
      <c r="D623" vm="5044">
        <f ca="1"/>
        <v>45065</v>
      </c>
      <c r="E623" vm="168">
        <f ca="1"/>
        <v>16.309999999999999</v>
      </c>
      <c r="F623" vm="5044">
        <f ca="1"/>
        <v>45065</v>
      </c>
      <c r="G623" vm="5046">
        <f ca="1"/>
        <v>233.31</v>
      </c>
      <c r="H623" vm="5044">
        <f ca="1"/>
        <v>45065</v>
      </c>
      <c r="I623" vm="5047">
        <f ca="1"/>
        <v>128.87</v>
      </c>
      <c r="J623" vm="5044">
        <f ca="1"/>
        <v>45065</v>
      </c>
      <c r="K623" vm="5048">
        <f ca="1"/>
        <v>21.82</v>
      </c>
      <c r="L623" vm="5044">
        <f ca="1"/>
        <v>45065</v>
      </c>
      <c r="M623" vm="5049">
        <f ca="1"/>
        <v>149.43</v>
      </c>
      <c r="N623" vm="5044">
        <f ca="1"/>
        <v>45065</v>
      </c>
      <c r="O623" vm="5050">
        <f ca="1"/>
        <v>143.08000000000001</v>
      </c>
      <c r="P623" vm="5044">
        <f ca="1"/>
        <v>45065</v>
      </c>
      <c r="Q623" vm="5051">
        <f ca="1"/>
        <v>28.827999999999999</v>
      </c>
      <c r="R623" s="29">
        <f t="shared" ca="1" si="79"/>
        <v>-5.6511365063420451E-4</v>
      </c>
      <c r="S623" s="30">
        <f t="shared" ca="1" si="80"/>
        <v>-1.4501510574018247E-2</v>
      </c>
      <c r="T623" s="30">
        <f t="shared" ca="1" si="81"/>
        <v>-1.2414383561643496E-3</v>
      </c>
      <c r="U623" s="30">
        <f t="shared" ca="1" si="82"/>
        <v>-2.0907542202259705E-3</v>
      </c>
      <c r="V623" s="30">
        <f t="shared" ca="1" si="83"/>
        <v>-1.5787099684258069E-2</v>
      </c>
      <c r="W623" s="30">
        <f t="shared" ca="1" si="86"/>
        <v>-1.35331396884076E-2</v>
      </c>
      <c r="X623" s="30">
        <f t="shared" ca="1" si="84"/>
        <v>2.4928366762177783E-2</v>
      </c>
      <c r="Y623" s="31">
        <f t="shared" ca="1" si="85"/>
        <v>2.4341052924403742E-3</v>
      </c>
    </row>
    <row r="624" spans="2:25" x14ac:dyDescent="0.45">
      <c r="B624" vm="5052">
        <f ca="1"/>
        <v>45068</v>
      </c>
      <c r="C624" vm="5053">
        <f ca="1"/>
        <v>321.18</v>
      </c>
      <c r="D624" vm="5052">
        <f ca="1"/>
        <v>45068</v>
      </c>
      <c r="E624" vm="5054">
        <f ca="1"/>
        <v>16.38</v>
      </c>
      <c r="F624" vm="5052">
        <f ca="1"/>
        <v>45068</v>
      </c>
      <c r="G624" vm="5055">
        <f ca="1"/>
        <v>231.28</v>
      </c>
      <c r="H624" vm="5052">
        <f ca="1"/>
        <v>45068</v>
      </c>
      <c r="I624" vm="5056">
        <f ca="1"/>
        <v>129.09</v>
      </c>
      <c r="J624" vm="5052">
        <f ca="1"/>
        <v>45068</v>
      </c>
      <c r="K624" vm="3504">
        <f ca="1"/>
        <v>21.7</v>
      </c>
      <c r="L624" vm="5052">
        <f ca="1"/>
        <v>45068</v>
      </c>
      <c r="M624" vm="2342">
        <f ca="1"/>
        <v>148.6</v>
      </c>
      <c r="N624" vm="5052">
        <f ca="1"/>
        <v>45068</v>
      </c>
      <c r="O624" vm="5057">
        <f ca="1"/>
        <v>143.24</v>
      </c>
      <c r="P624" vm="5052">
        <f ca="1"/>
        <v>45068</v>
      </c>
      <c r="Q624" vm="5058">
        <f ca="1"/>
        <v>29.411999999999999</v>
      </c>
      <c r="R624" s="29">
        <f t="shared" ca="1" si="79"/>
        <v>8.9212791355155873E-3</v>
      </c>
      <c r="S624" s="30">
        <f t="shared" ca="1" si="80"/>
        <v>4.2918454935622491E-3</v>
      </c>
      <c r="T624" s="30">
        <f t="shared" ca="1" si="81"/>
        <v>-8.7008700870087052E-3</v>
      </c>
      <c r="U624" s="30">
        <f t="shared" ca="1" si="82"/>
        <v>1.7071467370217961E-3</v>
      </c>
      <c r="V624" s="30">
        <f t="shared" ca="1" si="83"/>
        <v>-5.4995417048579742E-3</v>
      </c>
      <c r="W624" s="30">
        <f t="shared" ca="1" si="86"/>
        <v>-5.5544402061166601E-3</v>
      </c>
      <c r="X624" s="30">
        <f t="shared" ca="1" si="84"/>
        <v>1.118255521386613E-3</v>
      </c>
      <c r="Y624" s="31">
        <f t="shared" ca="1" si="85"/>
        <v>2.0258082419869559E-2</v>
      </c>
    </row>
    <row r="625" spans="2:25" x14ac:dyDescent="0.45">
      <c r="B625" vm="5059">
        <f ca="1"/>
        <v>45069</v>
      </c>
      <c r="C625" vm="5060">
        <f ca="1"/>
        <v>315.26</v>
      </c>
      <c r="D625" vm="5059">
        <f ca="1"/>
        <v>45069</v>
      </c>
      <c r="E625" vm="5061">
        <f ca="1"/>
        <v>16.100000000000001</v>
      </c>
      <c r="F625" vm="5059">
        <f ca="1"/>
        <v>45069</v>
      </c>
      <c r="G625" vm="5062">
        <f ca="1"/>
        <v>224.58</v>
      </c>
      <c r="H625" vm="5059">
        <f ca="1"/>
        <v>45069</v>
      </c>
      <c r="I625" vm="962">
        <f ca="1"/>
        <v>128.63999999999999</v>
      </c>
      <c r="J625" vm="5059">
        <f ca="1"/>
        <v>45069</v>
      </c>
      <c r="K625" vm="3159">
        <f ca="1"/>
        <v>21.61</v>
      </c>
      <c r="L625" vm="5059">
        <f ca="1"/>
        <v>45069</v>
      </c>
      <c r="M625" vm="4355">
        <f ca="1"/>
        <v>147.66999999999999</v>
      </c>
      <c r="N625" vm="5059">
        <f ca="1"/>
        <v>45069</v>
      </c>
      <c r="O625" vm="5063">
        <f ca="1"/>
        <v>145.96</v>
      </c>
      <c r="P625" vm="5059">
        <f ca="1"/>
        <v>45069</v>
      </c>
      <c r="Q625" vm="5064">
        <f ca="1"/>
        <v>28.933</v>
      </c>
      <c r="R625" s="29">
        <f t="shared" ca="1" si="79"/>
        <v>-1.8432031882433576E-2</v>
      </c>
      <c r="S625" s="30">
        <f t="shared" ca="1" si="80"/>
        <v>-1.7094017094016947E-2</v>
      </c>
      <c r="T625" s="30">
        <f t="shared" ca="1" si="81"/>
        <v>-2.8969214804565845E-2</v>
      </c>
      <c r="U625" s="30">
        <f t="shared" ca="1" si="82"/>
        <v>-3.4859400418314123E-3</v>
      </c>
      <c r="V625" s="30">
        <f t="shared" ca="1" si="83"/>
        <v>-4.1474654377880119E-3</v>
      </c>
      <c r="W625" s="30">
        <f t="shared" ca="1" si="86"/>
        <v>-6.2584118438762234E-3</v>
      </c>
      <c r="X625" s="30">
        <f t="shared" ca="1" si="84"/>
        <v>1.8989109187377819E-2</v>
      </c>
      <c r="Y625" s="31">
        <f t="shared" ca="1" si="85"/>
        <v>-1.6285869713042269E-2</v>
      </c>
    </row>
    <row r="626" spans="2:25" x14ac:dyDescent="0.45">
      <c r="B626" vm="5065">
        <f ca="1"/>
        <v>45070</v>
      </c>
      <c r="C626" vm="5066">
        <f ca="1"/>
        <v>313.85000000000002</v>
      </c>
      <c r="D626" vm="5065">
        <f ca="1"/>
        <v>45070</v>
      </c>
      <c r="E626" vm="5067">
        <f ca="1"/>
        <v>15.95</v>
      </c>
      <c r="F626" vm="5065">
        <f ca="1"/>
        <v>45070</v>
      </c>
      <c r="G626" vm="5068">
        <f ca="1"/>
        <v>222.25</v>
      </c>
      <c r="H626" vm="5065">
        <f ca="1"/>
        <v>45070</v>
      </c>
      <c r="I626" vm="5069">
        <f ca="1"/>
        <v>120.99</v>
      </c>
      <c r="J626" vm="5065">
        <f ca="1"/>
        <v>45070</v>
      </c>
      <c r="K626" vm="3178">
        <f ca="1"/>
        <v>21.22</v>
      </c>
      <c r="L626" vm="5065">
        <f ca="1"/>
        <v>45070</v>
      </c>
      <c r="M626" vm="5070">
        <f ca="1"/>
        <v>147.04</v>
      </c>
      <c r="N626" vm="5065">
        <f ca="1"/>
        <v>45070</v>
      </c>
      <c r="O626" vm="5071">
        <f ca="1"/>
        <v>151.84</v>
      </c>
      <c r="P626" vm="5065">
        <f ca="1"/>
        <v>45070</v>
      </c>
      <c r="Q626" vm="5072">
        <f ca="1"/>
        <v>28.443000000000001</v>
      </c>
      <c r="R626" s="29">
        <f t="shared" ca="1" si="79"/>
        <v>-4.4724988898051394E-3</v>
      </c>
      <c r="S626" s="30">
        <f t="shared" ca="1" si="80"/>
        <v>-9.3167701863355358E-3</v>
      </c>
      <c r="T626" s="30">
        <f t="shared" ca="1" si="81"/>
        <v>-1.0374922076765573E-2</v>
      </c>
      <c r="U626" s="30">
        <f t="shared" ca="1" si="82"/>
        <v>-5.9468283582089491E-2</v>
      </c>
      <c r="V626" s="30">
        <f t="shared" ca="1" si="83"/>
        <v>-1.804720037019901E-2</v>
      </c>
      <c r="W626" s="30">
        <f t="shared" ca="1" si="86"/>
        <v>-4.2662693844382439E-3</v>
      </c>
      <c r="X626" s="30">
        <f t="shared" ca="1" si="84"/>
        <v>4.0285009591668919E-2</v>
      </c>
      <c r="Y626" s="31">
        <f t="shared" ca="1" si="85"/>
        <v>-1.6935678982476703E-2</v>
      </c>
    </row>
    <row r="627" spans="2:25" x14ac:dyDescent="0.45">
      <c r="B627" vm="5073">
        <f ca="1"/>
        <v>45071</v>
      </c>
      <c r="C627" vm="5074">
        <f ca="1"/>
        <v>325.92</v>
      </c>
      <c r="D627" vm="5073">
        <f ca="1"/>
        <v>45071</v>
      </c>
      <c r="E627" vm="5075">
        <f ca="1"/>
        <v>15.15</v>
      </c>
      <c r="F627" vm="5073">
        <f ca="1"/>
        <v>45071</v>
      </c>
      <c r="G627" vm="5076">
        <f ca="1"/>
        <v>223.38</v>
      </c>
      <c r="H627" vm="5073">
        <f ca="1"/>
        <v>45071</v>
      </c>
      <c r="I627" vm="5077">
        <f ca="1"/>
        <v>119.49</v>
      </c>
      <c r="J627" vm="5073">
        <f ca="1"/>
        <v>45071</v>
      </c>
      <c r="K627" vm="1726">
        <f ca="1"/>
        <v>21.48</v>
      </c>
      <c r="L627" vm="5073">
        <f ca="1"/>
        <v>45071</v>
      </c>
      <c r="M627" vm="5078">
        <f ca="1"/>
        <v>147.65</v>
      </c>
      <c r="N627" vm="5073">
        <f ca="1"/>
        <v>45071</v>
      </c>
      <c r="O627" vm="4570">
        <f ca="1"/>
        <v>148.28</v>
      </c>
      <c r="P627" vm="5073">
        <f ca="1"/>
        <v>45071</v>
      </c>
      <c r="Q627" vm="5079">
        <f ca="1"/>
        <v>28.099</v>
      </c>
      <c r="R627" s="29">
        <f t="shared" ca="1" si="79"/>
        <v>3.8457862036004438E-2</v>
      </c>
      <c r="S627" s="30">
        <f t="shared" ca="1" si="80"/>
        <v>-5.0156739811912161E-2</v>
      </c>
      <c r="T627" s="30">
        <f t="shared" ca="1" si="81"/>
        <v>5.0843644544431741E-3</v>
      </c>
      <c r="U627" s="30">
        <f t="shared" ca="1" si="82"/>
        <v>-1.2397718819737169E-2</v>
      </c>
      <c r="V627" s="30">
        <f t="shared" ca="1" si="83"/>
        <v>1.2252591894439283E-2</v>
      </c>
      <c r="W627" s="30">
        <f t="shared" ca="1" si="86"/>
        <v>4.1485310119696254E-3</v>
      </c>
      <c r="X627" s="30">
        <f t="shared" ca="1" si="84"/>
        <v>-2.3445732349841954E-2</v>
      </c>
      <c r="Y627" s="31">
        <f t="shared" ca="1" si="85"/>
        <v>-1.2094364166930393E-2</v>
      </c>
    </row>
    <row r="628" spans="2:25" x14ac:dyDescent="0.45">
      <c r="B628" vm="5080">
        <f ca="1"/>
        <v>45072</v>
      </c>
      <c r="C628" vm="5081">
        <f ca="1"/>
        <v>332.89</v>
      </c>
      <c r="D628" vm="5080">
        <f ca="1"/>
        <v>45072</v>
      </c>
      <c r="E628" vm="5082">
        <f ca="1"/>
        <v>15.5</v>
      </c>
      <c r="F628" vm="5080">
        <f ca="1"/>
        <v>45072</v>
      </c>
      <c r="G628" vm="5083">
        <f ca="1"/>
        <v>225.01</v>
      </c>
      <c r="H628" vm="5080">
        <f ca="1"/>
        <v>45072</v>
      </c>
      <c r="I628" vm="5084">
        <f ca="1"/>
        <v>120.42</v>
      </c>
      <c r="J628" vm="5080">
        <f ca="1"/>
        <v>45072</v>
      </c>
      <c r="K628" vm="3700">
        <f ca="1"/>
        <v>21.71</v>
      </c>
      <c r="L628" vm="5080">
        <f ca="1"/>
        <v>45072</v>
      </c>
      <c r="M628" vm="5085">
        <f ca="1"/>
        <v>150.31</v>
      </c>
      <c r="N628" vm="5080">
        <f ca="1"/>
        <v>45072</v>
      </c>
      <c r="O628" vm="5086">
        <f ca="1"/>
        <v>142.6</v>
      </c>
      <c r="P628" vm="5080">
        <f ca="1"/>
        <v>45072</v>
      </c>
      <c r="Q628" vm="5087">
        <f ca="1"/>
        <v>28.51</v>
      </c>
      <c r="R628" s="29">
        <f t="shared" ca="1" si="79"/>
        <v>2.1385616102110854E-2</v>
      </c>
      <c r="S628" s="30">
        <f t="shared" ca="1" si="80"/>
        <v>2.310231023102308E-2</v>
      </c>
      <c r="T628" s="30">
        <f t="shared" ca="1" si="81"/>
        <v>7.2969827200286309E-3</v>
      </c>
      <c r="U628" s="30">
        <f t="shared" ca="1" si="82"/>
        <v>7.783078081847911E-3</v>
      </c>
      <c r="V628" s="30">
        <f t="shared" ca="1" si="83"/>
        <v>1.0707635009311007E-2</v>
      </c>
      <c r="W628" s="30">
        <f t="shared" ca="1" si="86"/>
        <v>1.8015577378936651E-2</v>
      </c>
      <c r="X628" s="30">
        <f t="shared" ca="1" si="84"/>
        <v>-3.8305907742109568E-2</v>
      </c>
      <c r="Y628" s="31">
        <f t="shared" ca="1" si="85"/>
        <v>1.4626855048222405E-2</v>
      </c>
    </row>
    <row r="629" spans="2:25" x14ac:dyDescent="0.45">
      <c r="B629" vm="5088">
        <f ca="1"/>
        <v>45076</v>
      </c>
      <c r="C629" vm="5089">
        <f ca="1"/>
        <v>331.21</v>
      </c>
      <c r="D629" vm="5088">
        <f ca="1"/>
        <v>45076</v>
      </c>
      <c r="E629" vm="5090">
        <f ca="1"/>
        <v>15.64</v>
      </c>
      <c r="F629" vm="5088">
        <f ca="1"/>
        <v>45076</v>
      </c>
      <c r="G629" vm="5091">
        <f ca="1"/>
        <v>221.64</v>
      </c>
      <c r="H629" vm="5088">
        <f ca="1"/>
        <v>45076</v>
      </c>
      <c r="I629" vm="5092">
        <f ca="1"/>
        <v>117.73</v>
      </c>
      <c r="J629" vm="5088">
        <f ca="1"/>
        <v>45076</v>
      </c>
      <c r="K629" vm="5093">
        <f ca="1"/>
        <v>21.28</v>
      </c>
      <c r="L629" vm="5088">
        <f ca="1"/>
        <v>45076</v>
      </c>
      <c r="M629" vm="5094">
        <f ca="1"/>
        <v>148.01</v>
      </c>
      <c r="N629" vm="5088">
        <f ca="1"/>
        <v>45076</v>
      </c>
      <c r="O629" vm="5095">
        <f ca="1"/>
        <v>138.91999999999999</v>
      </c>
      <c r="P629" vm="5088">
        <f ca="1"/>
        <v>45076</v>
      </c>
      <c r="Q629" vm="5096">
        <f ca="1"/>
        <v>29.927</v>
      </c>
      <c r="R629" s="29">
        <f t="shared" ca="1" si="79"/>
        <v>-5.0467121271291025E-3</v>
      </c>
      <c r="S629" s="30">
        <f t="shared" ca="1" si="80"/>
        <v>9.0322580645161663E-3</v>
      </c>
      <c r="T629" s="30">
        <f t="shared" ca="1" si="81"/>
        <v>-1.4977112128349871E-2</v>
      </c>
      <c r="U629" s="30">
        <f t="shared" ca="1" si="82"/>
        <v>-2.2338481979737566E-2</v>
      </c>
      <c r="V629" s="30">
        <f t="shared" ca="1" si="83"/>
        <v>-1.9806540764624583E-2</v>
      </c>
      <c r="W629" s="30">
        <f t="shared" ca="1" si="86"/>
        <v>-1.5301709799747265E-2</v>
      </c>
      <c r="X629" s="30">
        <f t="shared" ca="1" si="84"/>
        <v>-2.5806451612903274E-2</v>
      </c>
      <c r="Y629" s="31">
        <f t="shared" ca="1" si="85"/>
        <v>4.9701858996843144E-2</v>
      </c>
    </row>
    <row r="630" spans="2:25" x14ac:dyDescent="0.45">
      <c r="B630" vm="5097">
        <f ca="1"/>
        <v>45077</v>
      </c>
      <c r="C630" vm="160">
        <f ca="1"/>
        <v>328.39</v>
      </c>
      <c r="D630" vm="5097">
        <f ca="1"/>
        <v>45077</v>
      </c>
      <c r="E630" vm="3820">
        <f ca="1"/>
        <v>15.73</v>
      </c>
      <c r="F630" vm="5097">
        <f ca="1"/>
        <v>45077</v>
      </c>
      <c r="G630" vm="5098">
        <f ca="1"/>
        <v>221.03</v>
      </c>
      <c r="H630" vm="5097">
        <f ca="1"/>
        <v>45077</v>
      </c>
      <c r="I630" vm="5099">
        <f ca="1"/>
        <v>115.67</v>
      </c>
      <c r="J630" vm="5097">
        <f ca="1"/>
        <v>45077</v>
      </c>
      <c r="K630" vm="5100">
        <f ca="1"/>
        <v>20.92</v>
      </c>
      <c r="L630" vm="5097">
        <f ca="1"/>
        <v>45077</v>
      </c>
      <c r="M630" vm="5101">
        <f ca="1"/>
        <v>148.9</v>
      </c>
      <c r="N630" vm="5097">
        <f ca="1"/>
        <v>45077</v>
      </c>
      <c r="O630" vm="5102">
        <f ca="1"/>
        <v>137.84</v>
      </c>
      <c r="P630" vm="5097">
        <f ca="1"/>
        <v>45077</v>
      </c>
      <c r="Q630" vm="5103">
        <f ca="1"/>
        <v>30.163</v>
      </c>
      <c r="R630" s="29">
        <f t="shared" ca="1" si="79"/>
        <v>-8.5142356812897956E-3</v>
      </c>
      <c r="S630" s="30">
        <f t="shared" ca="1" si="80"/>
        <v>5.7544757033247988E-3</v>
      </c>
      <c r="T630" s="30">
        <f t="shared" ca="1" si="81"/>
        <v>-2.7522107922756962E-3</v>
      </c>
      <c r="U630" s="30">
        <f t="shared" ca="1" si="82"/>
        <v>-1.7497664146776542E-2</v>
      </c>
      <c r="V630" s="30">
        <f t="shared" ca="1" si="83"/>
        <v>-1.6917293233082678E-2</v>
      </c>
      <c r="W630" s="30">
        <f t="shared" ca="1" si="86"/>
        <v>6.0131072224850679E-3</v>
      </c>
      <c r="X630" s="30">
        <f t="shared" ca="1" si="84"/>
        <v>-7.774258566081084E-3</v>
      </c>
      <c r="Y630" s="31">
        <f t="shared" ca="1" si="85"/>
        <v>7.8858555819160178E-3</v>
      </c>
    </row>
    <row r="631" spans="2:25" x14ac:dyDescent="0.45">
      <c r="B631" vm="5104">
        <f ca="1"/>
        <v>45078</v>
      </c>
      <c r="C631" vm="5105">
        <f ca="1"/>
        <v>332.58</v>
      </c>
      <c r="D631" vm="5104">
        <f ca="1"/>
        <v>45078</v>
      </c>
      <c r="E631" vm="5106">
        <f ca="1"/>
        <v>15.81</v>
      </c>
      <c r="F631" vm="5104">
        <f ca="1"/>
        <v>45078</v>
      </c>
      <c r="G631" vm="5107">
        <f ca="1"/>
        <v>226.5</v>
      </c>
      <c r="H631" vm="5104">
        <f ca="1"/>
        <v>45078</v>
      </c>
      <c r="I631" vm="5108">
        <f ca="1"/>
        <v>116.26</v>
      </c>
      <c r="J631" vm="5104">
        <f ca="1"/>
        <v>45078</v>
      </c>
      <c r="K631" vm="3385">
        <f ca="1"/>
        <v>20.8</v>
      </c>
      <c r="L631" vm="5104">
        <f ca="1"/>
        <v>45078</v>
      </c>
      <c r="M631" vm="5109">
        <f ca="1"/>
        <v>153.91999999999999</v>
      </c>
      <c r="N631" vm="5104">
        <f ca="1"/>
        <v>45078</v>
      </c>
      <c r="O631" vm="5110">
        <f ca="1"/>
        <v>129.96</v>
      </c>
      <c r="P631" vm="5104">
        <f ca="1"/>
        <v>45078</v>
      </c>
      <c r="Q631" vm="5111">
        <f ca="1"/>
        <v>29.994</v>
      </c>
      <c r="R631" s="29">
        <f t="shared" ca="1" si="79"/>
        <v>1.2759219221048137E-2</v>
      </c>
      <c r="S631" s="30">
        <f t="shared" ca="1" si="80"/>
        <v>5.0858232676414539E-3</v>
      </c>
      <c r="T631" s="30">
        <f t="shared" ca="1" si="81"/>
        <v>2.474777179568384E-2</v>
      </c>
      <c r="U631" s="30">
        <f t="shared" ca="1" si="82"/>
        <v>5.1007175585718288E-3</v>
      </c>
      <c r="V631" s="30">
        <f t="shared" ca="1" si="83"/>
        <v>-5.7361376673040624E-3</v>
      </c>
      <c r="W631" s="30">
        <f t="shared" ca="1" si="86"/>
        <v>3.3713901947615726E-2</v>
      </c>
      <c r="X631" s="30">
        <f t="shared" ca="1" si="84"/>
        <v>-5.7167730702263463E-2</v>
      </c>
      <c r="Y631" s="31">
        <f t="shared" ca="1" si="85"/>
        <v>-5.6028909591221195E-3</v>
      </c>
    </row>
    <row r="632" spans="2:25" x14ac:dyDescent="0.45">
      <c r="B632" vm="5112">
        <f ca="1"/>
        <v>45079</v>
      </c>
      <c r="C632" vm="5113">
        <f ca="1"/>
        <v>335.4</v>
      </c>
      <c r="D632" vm="5112">
        <f ca="1"/>
        <v>45079</v>
      </c>
      <c r="E632" vm="5114">
        <f ca="1"/>
        <v>15.21</v>
      </c>
      <c r="F632" vm="5112">
        <f ca="1"/>
        <v>45079</v>
      </c>
      <c r="G632" vm="5115">
        <f ca="1"/>
        <v>228.79</v>
      </c>
      <c r="H632" vm="5112">
        <f ca="1"/>
        <v>45079</v>
      </c>
      <c r="I632" vm="5116">
        <f ca="1"/>
        <v>118.22</v>
      </c>
      <c r="J632" vm="5112">
        <f ca="1"/>
        <v>45079</v>
      </c>
      <c r="K632" vm="3988">
        <f ca="1"/>
        <v>21.95</v>
      </c>
      <c r="L632" vm="5112">
        <f ca="1"/>
        <v>45079</v>
      </c>
      <c r="M632" vm="4472">
        <f ca="1"/>
        <v>151.74</v>
      </c>
      <c r="N632" vm="5112">
        <f ca="1"/>
        <v>45079</v>
      </c>
      <c r="O632" vm="5117">
        <f ca="1"/>
        <v>124.72</v>
      </c>
      <c r="P632" vm="5112">
        <f ca="1"/>
        <v>45079</v>
      </c>
      <c r="Q632" vm="5118">
        <f ca="1"/>
        <v>30.213000000000001</v>
      </c>
      <c r="R632" s="29">
        <f t="shared" ca="1" si="79"/>
        <v>8.4791629081724489E-3</v>
      </c>
      <c r="S632" s="30">
        <f t="shared" ca="1" si="80"/>
        <v>-3.7950664136622368E-2</v>
      </c>
      <c r="T632" s="30">
        <f t="shared" ca="1" si="81"/>
        <v>1.0110375275938156E-2</v>
      </c>
      <c r="U632" s="30">
        <f t="shared" ca="1" si="82"/>
        <v>1.6858764837433284E-2</v>
      </c>
      <c r="V632" s="30">
        <f t="shared" ca="1" si="83"/>
        <v>5.5288461538461467E-2</v>
      </c>
      <c r="W632" s="30">
        <f t="shared" ca="1" si="86"/>
        <v>-1.4163201663201523E-2</v>
      </c>
      <c r="X632" s="30">
        <f t="shared" ca="1" si="84"/>
        <v>-4.032009849184371E-2</v>
      </c>
      <c r="Y632" s="31">
        <f t="shared" ca="1" si="85"/>
        <v>7.3014602920584513E-3</v>
      </c>
    </row>
    <row r="633" spans="2:25" x14ac:dyDescent="0.45">
      <c r="B633" vm="5119">
        <f ca="1"/>
        <v>45082</v>
      </c>
      <c r="C633" vm="5120">
        <f ca="1"/>
        <v>335.94</v>
      </c>
      <c r="D633" vm="5119">
        <f ca="1"/>
        <v>45082</v>
      </c>
      <c r="E633" vm="5121">
        <f ca="1"/>
        <v>15.39</v>
      </c>
      <c r="F633" vm="5119">
        <f ca="1"/>
        <v>45082</v>
      </c>
      <c r="G633" vm="1019">
        <f ca="1"/>
        <v>226.77</v>
      </c>
      <c r="H633" vm="5119">
        <f ca="1"/>
        <v>45082</v>
      </c>
      <c r="I633" vm="5122">
        <f ca="1"/>
        <v>118.35</v>
      </c>
      <c r="J633" vm="5119">
        <f ca="1"/>
        <v>45082</v>
      </c>
      <c r="K633" vm="5123">
        <f ca="1"/>
        <v>21.92</v>
      </c>
      <c r="L633" vm="5119">
        <f ca="1"/>
        <v>45082</v>
      </c>
      <c r="M633" vm="5124">
        <f ca="1"/>
        <v>156.34</v>
      </c>
      <c r="N633" vm="5119">
        <f ca="1"/>
        <v>45082</v>
      </c>
      <c r="O633" vm="5125">
        <f ca="1"/>
        <v>122.44</v>
      </c>
      <c r="P633" vm="5119">
        <f ca="1"/>
        <v>45082</v>
      </c>
      <c r="Q633" vm="5126">
        <f ca="1"/>
        <v>27.635999999999999</v>
      </c>
      <c r="R633" s="29">
        <f t="shared" ca="1" si="79"/>
        <v>1.6100178890877176E-3</v>
      </c>
      <c r="S633" s="30">
        <f t="shared" ca="1" si="80"/>
        <v>1.18343195266272E-2</v>
      </c>
      <c r="T633" s="30">
        <f t="shared" ca="1" si="81"/>
        <v>-8.8290572140389961E-3</v>
      </c>
      <c r="U633" s="30">
        <f t="shared" ca="1" si="82"/>
        <v>1.0996447301640623E-3</v>
      </c>
      <c r="V633" s="30">
        <f t="shared" ca="1" si="83"/>
        <v>-1.3667425968108239E-3</v>
      </c>
      <c r="W633" s="30">
        <f t="shared" ca="1" si="86"/>
        <v>3.0315012521418175E-2</v>
      </c>
      <c r="X633" s="30">
        <f t="shared" ca="1" si="84"/>
        <v>-1.8280949326491349E-2</v>
      </c>
      <c r="Y633" s="31">
        <f t="shared" ca="1" si="85"/>
        <v>-8.5294409691192591E-2</v>
      </c>
    </row>
    <row r="634" spans="2:25" x14ac:dyDescent="0.45">
      <c r="B634" vm="5127">
        <f ca="1"/>
        <v>45083</v>
      </c>
      <c r="C634" vm="5128">
        <f ca="1"/>
        <v>333.68</v>
      </c>
      <c r="D634" vm="5127">
        <f ca="1"/>
        <v>45083</v>
      </c>
      <c r="E634" vm="3812">
        <f ca="1"/>
        <v>15.67</v>
      </c>
      <c r="F634" vm="5127">
        <f ca="1"/>
        <v>45083</v>
      </c>
      <c r="G634" vm="5129">
        <f ca="1"/>
        <v>228.22</v>
      </c>
      <c r="H634" vm="5127">
        <f ca="1"/>
        <v>45083</v>
      </c>
      <c r="I634" vm="5130">
        <f ca="1"/>
        <v>117.44</v>
      </c>
      <c r="J634" vm="5127">
        <f ca="1"/>
        <v>45083</v>
      </c>
      <c r="K634" vm="1288">
        <f ca="1"/>
        <v>22.63</v>
      </c>
      <c r="L634" vm="5127">
        <f ca="1"/>
        <v>45083</v>
      </c>
      <c r="M634" vm="1806">
        <f ca="1"/>
        <v>153.03</v>
      </c>
      <c r="N634" vm="5127">
        <f ca="1"/>
        <v>45083</v>
      </c>
      <c r="O634" vm="5131">
        <f ca="1"/>
        <v>115.12</v>
      </c>
      <c r="P634" vm="5127">
        <f ca="1"/>
        <v>45083</v>
      </c>
      <c r="Q634" vm="5132">
        <f ca="1"/>
        <v>29.882000000000001</v>
      </c>
      <c r="R634" s="29">
        <f t="shared" ca="1" si="79"/>
        <v>-6.7273917961540482E-3</v>
      </c>
      <c r="S634" s="30">
        <f t="shared" ca="1" si="80"/>
        <v>1.8193632228719905E-2</v>
      </c>
      <c r="T634" s="30">
        <f t="shared" ca="1" si="81"/>
        <v>6.3941438461877168E-3</v>
      </c>
      <c r="U634" s="30">
        <f t="shared" ca="1" si="82"/>
        <v>-7.6890578791719193E-3</v>
      </c>
      <c r="V634" s="30">
        <f t="shared" ca="1" si="83"/>
        <v>3.2390510948904987E-2</v>
      </c>
      <c r="W634" s="30">
        <f t="shared" ca="1" si="86"/>
        <v>-2.1171805040296802E-2</v>
      </c>
      <c r="X634" s="30">
        <f t="shared" ca="1" si="84"/>
        <v>-5.9784384188173743E-2</v>
      </c>
      <c r="Y634" s="31">
        <f t="shared" ca="1" si="85"/>
        <v>8.127080619481844E-2</v>
      </c>
    </row>
    <row r="635" spans="2:25" x14ac:dyDescent="0.45">
      <c r="B635" vm="5133">
        <f ca="1"/>
        <v>45084</v>
      </c>
      <c r="C635" vm="5134">
        <f ca="1"/>
        <v>323.38</v>
      </c>
      <c r="D635" vm="5133">
        <f ca="1"/>
        <v>45084</v>
      </c>
      <c r="E635" vm="5061">
        <f ca="1"/>
        <v>16.100000000000001</v>
      </c>
      <c r="F635" vm="5133">
        <f ca="1"/>
        <v>45084</v>
      </c>
      <c r="G635" vm="1418">
        <f ca="1"/>
        <v>225.27</v>
      </c>
      <c r="H635" vm="5133">
        <f ca="1"/>
        <v>45084</v>
      </c>
      <c r="I635" vm="5135">
        <f ca="1"/>
        <v>116.59</v>
      </c>
      <c r="J635" vm="5133">
        <f ca="1"/>
        <v>45084</v>
      </c>
      <c r="K635" vm="248">
        <f ca="1"/>
        <v>22.77</v>
      </c>
      <c r="L635" vm="5133">
        <f ca="1"/>
        <v>45084</v>
      </c>
      <c r="M635" vm="4076">
        <f ca="1"/>
        <v>148.31</v>
      </c>
      <c r="N635" vm="5133">
        <f ca="1"/>
        <v>45084</v>
      </c>
      <c r="O635" vm="5136">
        <f ca="1"/>
        <v>115.64</v>
      </c>
      <c r="P635" vm="5133">
        <f ca="1"/>
        <v>45084</v>
      </c>
      <c r="Q635" vm="5137">
        <f ca="1"/>
        <v>29.081</v>
      </c>
      <c r="R635" s="29">
        <f t="shared" ca="1" si="79"/>
        <v>-3.0867897386717847E-2</v>
      </c>
      <c r="S635" s="30">
        <f t="shared" ca="1" si="80"/>
        <v>2.7440970006381717E-2</v>
      </c>
      <c r="T635" s="30">
        <f t="shared" ca="1" si="81"/>
        <v>-1.2926123915520062E-2</v>
      </c>
      <c r="U635" s="30">
        <f t="shared" ca="1" si="82"/>
        <v>-7.2377384196184802E-3</v>
      </c>
      <c r="V635" s="30">
        <f t="shared" ca="1" si="83"/>
        <v>6.1864781263809357E-3</v>
      </c>
      <c r="W635" s="30">
        <f t="shared" ca="1" si="86"/>
        <v>-3.0843625432921642E-2</v>
      </c>
      <c r="X635" s="30">
        <f t="shared" ca="1" si="84"/>
        <v>4.5170257123001737E-3</v>
      </c>
      <c r="Y635" s="31">
        <f t="shared" ca="1" si="85"/>
        <v>-2.6805434709858841E-2</v>
      </c>
    </row>
    <row r="636" spans="2:25" x14ac:dyDescent="0.45">
      <c r="B636" vm="5138">
        <f ca="1"/>
        <v>45085</v>
      </c>
      <c r="C636" vm="5139">
        <f ca="1"/>
        <v>325.26</v>
      </c>
      <c r="D636" vm="5138">
        <f ca="1"/>
        <v>45085</v>
      </c>
      <c r="E636" vm="5140">
        <f ca="1"/>
        <v>16.07</v>
      </c>
      <c r="F636" vm="5138">
        <f ca="1"/>
        <v>45085</v>
      </c>
      <c r="G636" vm="5141">
        <f ca="1"/>
        <v>223.05</v>
      </c>
      <c r="H636" vm="5138">
        <f ca="1"/>
        <v>45085</v>
      </c>
      <c r="I636" vm="5142">
        <f ca="1"/>
        <v>114.69</v>
      </c>
      <c r="J636" vm="5138">
        <f ca="1"/>
        <v>45085</v>
      </c>
      <c r="K636" vm="2208">
        <f ca="1"/>
        <v>22.73</v>
      </c>
      <c r="L636" vm="5138">
        <f ca="1"/>
        <v>45085</v>
      </c>
      <c r="M636" vm="5143">
        <f ca="1"/>
        <v>149.47</v>
      </c>
      <c r="N636" vm="5138">
        <f ca="1"/>
        <v>45085</v>
      </c>
      <c r="O636" vm="5144">
        <f ca="1"/>
        <v>112.84</v>
      </c>
      <c r="P636" vm="5138">
        <f ca="1"/>
        <v>45085</v>
      </c>
      <c r="Q636" vm="5145">
        <f ca="1"/>
        <v>29.093</v>
      </c>
      <c r="R636" s="29">
        <f t="shared" ca="1" si="79"/>
        <v>5.8135939142803994E-3</v>
      </c>
      <c r="S636" s="30">
        <f t="shared" ca="1" si="80"/>
        <v>-1.8633540372671512E-3</v>
      </c>
      <c r="T636" s="30">
        <f t="shared" ca="1" si="81"/>
        <v>-9.8548408576374959E-3</v>
      </c>
      <c r="U636" s="30">
        <f t="shared" ca="1" si="82"/>
        <v>-1.6296423363924912E-2</v>
      </c>
      <c r="V636" s="30">
        <f t="shared" ca="1" si="83"/>
        <v>-1.7566974088712845E-3</v>
      </c>
      <c r="W636" s="30">
        <f t="shared" ca="1" si="86"/>
        <v>7.8214550603465487E-3</v>
      </c>
      <c r="X636" s="30">
        <f t="shared" ca="1" si="84"/>
        <v>-2.4213075060532663E-2</v>
      </c>
      <c r="Y636" s="31">
        <f t="shared" ca="1" si="85"/>
        <v>4.1264055568929729E-4</v>
      </c>
    </row>
    <row r="637" spans="2:25" x14ac:dyDescent="0.45">
      <c r="B637" vm="5146">
        <f ca="1"/>
        <v>45086</v>
      </c>
      <c r="C637" vm="5147">
        <f ca="1"/>
        <v>326.79000000000002</v>
      </c>
      <c r="D637" vm="5146">
        <f ca="1"/>
        <v>45086</v>
      </c>
      <c r="E637" vm="5067">
        <f ca="1"/>
        <v>15.95</v>
      </c>
      <c r="F637" vm="5146">
        <f ca="1"/>
        <v>45086</v>
      </c>
      <c r="G637" vm="4577">
        <f ca="1"/>
        <v>223.56</v>
      </c>
      <c r="H637" vm="5146">
        <f ca="1"/>
        <v>45086</v>
      </c>
      <c r="I637" vm="5148">
        <f ca="1"/>
        <v>115.79</v>
      </c>
      <c r="J637" vm="5146">
        <f ca="1"/>
        <v>45086</v>
      </c>
      <c r="K637" vm="5149">
        <f ca="1"/>
        <v>22.35</v>
      </c>
      <c r="L637" vm="5146">
        <f ca="1"/>
        <v>45086</v>
      </c>
      <c r="M637" vm="5150">
        <f ca="1"/>
        <v>150.47999999999999</v>
      </c>
      <c r="N637" vm="5146">
        <f ca="1"/>
        <v>45086</v>
      </c>
      <c r="O637" vm="5151">
        <f ca="1"/>
        <v>113.44</v>
      </c>
      <c r="P637" vm="5146">
        <f ca="1"/>
        <v>45086</v>
      </c>
      <c r="Q637" vm="5152">
        <f ca="1"/>
        <v>28.233000000000001</v>
      </c>
      <c r="R637" s="29">
        <f t="shared" ca="1" si="79"/>
        <v>4.7039291643609102E-3</v>
      </c>
      <c r="S637" s="30">
        <f t="shared" ca="1" si="80"/>
        <v>-7.4673304293715612E-3</v>
      </c>
      <c r="T637" s="30">
        <f t="shared" ca="1" si="81"/>
        <v>2.2864828513785738E-3</v>
      </c>
      <c r="U637" s="30">
        <f t="shared" ca="1" si="82"/>
        <v>9.5910715842707165E-3</v>
      </c>
      <c r="V637" s="30">
        <f t="shared" ca="1" si="83"/>
        <v>-1.6717993840739066E-2</v>
      </c>
      <c r="W637" s="30">
        <f t="shared" ca="1" si="86"/>
        <v>6.7572088044423025E-3</v>
      </c>
      <c r="X637" s="30">
        <f t="shared" ca="1" si="84"/>
        <v>5.3172633817794605E-3</v>
      </c>
      <c r="Y637" s="31">
        <f t="shared" ca="1" si="85"/>
        <v>-2.956037534802184E-2</v>
      </c>
    </row>
    <row r="638" spans="2:25" x14ac:dyDescent="0.45">
      <c r="B638" vm="5153">
        <f ca="1"/>
        <v>45089</v>
      </c>
      <c r="C638" vm="5154">
        <f ca="1"/>
        <v>331.85</v>
      </c>
      <c r="D638" vm="5153">
        <f ca="1"/>
        <v>45089</v>
      </c>
      <c r="E638" vm="3868">
        <f ca="1"/>
        <v>15.93</v>
      </c>
      <c r="F638" vm="5153">
        <f ca="1"/>
        <v>45089</v>
      </c>
      <c r="G638" vm="2485">
        <f ca="1"/>
        <v>226.17</v>
      </c>
      <c r="H638" vm="5153">
        <f ca="1"/>
        <v>45089</v>
      </c>
      <c r="I638" vm="5155">
        <f ca="1"/>
        <v>118.54</v>
      </c>
      <c r="J638" vm="5153">
        <f ca="1"/>
        <v>45089</v>
      </c>
      <c r="K638" vm="5156">
        <f ca="1"/>
        <v>22.52</v>
      </c>
      <c r="L638" vm="5153">
        <f ca="1"/>
        <v>45089</v>
      </c>
      <c r="M638" vm="5157">
        <f ca="1"/>
        <v>150.6</v>
      </c>
      <c r="N638" vm="5153">
        <f ca="1"/>
        <v>45089</v>
      </c>
      <c r="O638" vm="5158">
        <f ca="1"/>
        <v>113.96</v>
      </c>
      <c r="P638" vm="5153">
        <f ca="1"/>
        <v>45089</v>
      </c>
      <c r="Q638" vm="5159">
        <f ca="1"/>
        <v>27.77</v>
      </c>
      <c r="R638" s="29">
        <f t="shared" ca="1" si="79"/>
        <v>1.5483949937268588E-2</v>
      </c>
      <c r="S638" s="30">
        <f t="shared" ca="1" si="80"/>
        <v>-1.2539184952977791E-3</v>
      </c>
      <c r="T638" s="30">
        <f t="shared" ca="1" si="81"/>
        <v>1.1674718196457261E-2</v>
      </c>
      <c r="U638" s="30">
        <f t="shared" ca="1" si="82"/>
        <v>2.3749892045945246E-2</v>
      </c>
      <c r="V638" s="30">
        <f t="shared" ca="1" si="83"/>
        <v>7.6062639821028255E-3</v>
      </c>
      <c r="W638" s="30">
        <f t="shared" ca="1" si="86"/>
        <v>7.9744816586924876E-4</v>
      </c>
      <c r="X638" s="30">
        <f t="shared" ca="1" si="84"/>
        <v>4.5839210155147747E-3</v>
      </c>
      <c r="Y638" s="31">
        <f t="shared" ca="1" si="85"/>
        <v>-1.6399249105656537E-2</v>
      </c>
    </row>
    <row r="639" spans="2:25" x14ac:dyDescent="0.45">
      <c r="B639" vm="5160">
        <f ca="1"/>
        <v>45090</v>
      </c>
      <c r="C639" vm="5161">
        <f ca="1"/>
        <v>334.29</v>
      </c>
      <c r="D639" vm="5160">
        <f ca="1"/>
        <v>45090</v>
      </c>
      <c r="E639" vm="5162">
        <f ca="1"/>
        <v>15.82</v>
      </c>
      <c r="F639" vm="5160">
        <f ca="1"/>
        <v>45090</v>
      </c>
      <c r="G639" vm="5163">
        <f ca="1"/>
        <v>223.4</v>
      </c>
      <c r="H639" vm="5160">
        <f ca="1"/>
        <v>45090</v>
      </c>
      <c r="I639" vm="5164">
        <f ca="1"/>
        <v>119.5</v>
      </c>
      <c r="J639" vm="5160">
        <f ca="1"/>
        <v>45090</v>
      </c>
      <c r="K639" vm="5165">
        <f ca="1"/>
        <v>23.88</v>
      </c>
      <c r="L639" vm="5160">
        <f ca="1"/>
        <v>45090</v>
      </c>
      <c r="M639" vm="5166">
        <f ca="1"/>
        <v>151.54</v>
      </c>
      <c r="N639" vm="5160">
        <f ca="1"/>
        <v>45090</v>
      </c>
      <c r="O639" vm="5167">
        <f ca="1"/>
        <v>113.68</v>
      </c>
      <c r="P639" vm="5160">
        <f ca="1"/>
        <v>45090</v>
      </c>
      <c r="Q639" vm="5168">
        <f ca="1"/>
        <v>28.382000000000001</v>
      </c>
      <c r="R639" s="29">
        <f t="shared" ca="1" si="79"/>
        <v>7.3527196022299159E-3</v>
      </c>
      <c r="S639" s="30">
        <f t="shared" ca="1" si="80"/>
        <v>-6.905210295040768E-3</v>
      </c>
      <c r="T639" s="30">
        <f t="shared" ca="1" si="81"/>
        <v>-1.2247424503691833E-2</v>
      </c>
      <c r="U639" s="30">
        <f t="shared" ca="1" si="82"/>
        <v>8.0985321410493808E-3</v>
      </c>
      <c r="V639" s="30">
        <f t="shared" ca="1" si="83"/>
        <v>6.0390763765541713E-2</v>
      </c>
      <c r="W639" s="30">
        <f t="shared" ca="1" si="86"/>
        <v>6.2416998671978603E-3</v>
      </c>
      <c r="X639" s="30">
        <f t="shared" ca="1" si="84"/>
        <v>-2.4570024570023424E-3</v>
      </c>
      <c r="Y639" s="31">
        <f t="shared" ca="1" si="85"/>
        <v>2.2038170687792649E-2</v>
      </c>
    </row>
    <row r="640" spans="2:25" x14ac:dyDescent="0.45">
      <c r="B640" vm="5169">
        <f ca="1"/>
        <v>45091</v>
      </c>
      <c r="C640" vm="5170">
        <f ca="1"/>
        <v>337.34</v>
      </c>
      <c r="D640" vm="5169">
        <f ca="1"/>
        <v>45091</v>
      </c>
      <c r="E640" vm="5171">
        <f ca="1"/>
        <v>15.84</v>
      </c>
      <c r="F640" vm="5169">
        <f ca="1"/>
        <v>45091</v>
      </c>
      <c r="G640" vm="5172">
        <f ca="1"/>
        <v>223.44</v>
      </c>
      <c r="H640" vm="5169">
        <f ca="1"/>
        <v>45091</v>
      </c>
      <c r="I640" vm="5173">
        <f ca="1"/>
        <v>119.4</v>
      </c>
      <c r="J640" vm="5169">
        <f ca="1"/>
        <v>45091</v>
      </c>
      <c r="K640" vm="5174">
        <f ca="1"/>
        <v>23.56</v>
      </c>
      <c r="L640" vm="5169">
        <f ca="1"/>
        <v>45091</v>
      </c>
      <c r="M640" vm="5175">
        <f ca="1"/>
        <v>151.65</v>
      </c>
      <c r="N640" vm="5169">
        <f ca="1"/>
        <v>45091</v>
      </c>
      <c r="O640" vm="3731">
        <f ca="1"/>
        <v>110.28</v>
      </c>
      <c r="P640" vm="5169">
        <f ca="1"/>
        <v>45091</v>
      </c>
      <c r="Q640" vm="5176">
        <f ca="1"/>
        <v>28.288</v>
      </c>
      <c r="R640" s="29">
        <f t="shared" ca="1" si="79"/>
        <v>9.1238146519487702E-3</v>
      </c>
      <c r="S640" s="30">
        <f t="shared" ca="1" si="80"/>
        <v>1.2642225031605293E-3</v>
      </c>
      <c r="T640" s="30">
        <f t="shared" ca="1" si="81"/>
        <v>1.7905102954338424E-4</v>
      </c>
      <c r="U640" s="30">
        <f t="shared" ca="1" si="82"/>
        <v>-8.3682008368196083E-4</v>
      </c>
      <c r="V640" s="30">
        <f t="shared" ca="1" si="83"/>
        <v>-1.3400335008375222E-2</v>
      </c>
      <c r="W640" s="30">
        <f t="shared" ca="1" si="86"/>
        <v>7.2588095552338419E-4</v>
      </c>
      <c r="X640" s="30">
        <f t="shared" ca="1" si="84"/>
        <v>-2.9908515130190057E-2</v>
      </c>
      <c r="Y640" s="31">
        <f t="shared" ca="1" si="85"/>
        <v>-3.3119582834191105E-3</v>
      </c>
    </row>
    <row r="641" spans="2:25" x14ac:dyDescent="0.45">
      <c r="B641" vm="5177">
        <f ca="1"/>
        <v>45092</v>
      </c>
      <c r="C641" vm="5178">
        <f ca="1"/>
        <v>348.1</v>
      </c>
      <c r="D641" vm="5177">
        <f ca="1"/>
        <v>45092</v>
      </c>
      <c r="E641" vm="5179">
        <f ca="1"/>
        <v>16.03</v>
      </c>
      <c r="F641" vm="5177">
        <f ca="1"/>
        <v>45092</v>
      </c>
      <c r="G641" vm="2485">
        <f ca="1"/>
        <v>226.17</v>
      </c>
      <c r="H641" vm="5177">
        <f ca="1"/>
        <v>45092</v>
      </c>
      <c r="I641" vm="5180">
        <f ca="1"/>
        <v>121.23</v>
      </c>
      <c r="J641" vm="5177">
        <f ca="1"/>
        <v>45092</v>
      </c>
      <c r="K641" vm="257">
        <f ca="1"/>
        <v>23.86</v>
      </c>
      <c r="L641" vm="5177">
        <f ca="1"/>
        <v>45092</v>
      </c>
      <c r="M641" vm="5181">
        <f ca="1"/>
        <v>152.18</v>
      </c>
      <c r="N641" vm="5177">
        <f ca="1"/>
        <v>45092</v>
      </c>
      <c r="O641" vm="5182">
        <f ca="1"/>
        <v>113.2</v>
      </c>
      <c r="P641" vm="5177">
        <f ca="1"/>
        <v>45092</v>
      </c>
      <c r="Q641" vm="5183">
        <f ca="1"/>
        <v>27.792000000000002</v>
      </c>
      <c r="R641" s="29">
        <f t="shared" ca="1" si="79"/>
        <v>3.1896602833936229E-2</v>
      </c>
      <c r="S641" s="30">
        <f t="shared" ca="1" si="80"/>
        <v>1.1994949494949576E-2</v>
      </c>
      <c r="T641" s="30">
        <f t="shared" ca="1" si="81"/>
        <v>1.2218045112781909E-2</v>
      </c>
      <c r="U641" s="30">
        <f t="shared" ca="1" si="82"/>
        <v>1.5326633165829131E-2</v>
      </c>
      <c r="V641" s="30">
        <f t="shared" ca="1" si="83"/>
        <v>1.273344651952465E-2</v>
      </c>
      <c r="W641" s="30">
        <f t="shared" ca="1" si="86"/>
        <v>3.4948895483020185E-3</v>
      </c>
      <c r="X641" s="30">
        <f t="shared" ca="1" si="84"/>
        <v>2.6478055857816481E-2</v>
      </c>
      <c r="Y641" s="31">
        <f t="shared" ca="1" si="85"/>
        <v>-1.7533936651583662E-2</v>
      </c>
    </row>
    <row r="642" spans="2:25" x14ac:dyDescent="0.45">
      <c r="B642" vm="5184">
        <f ca="1"/>
        <v>45093</v>
      </c>
      <c r="C642" vm="5185">
        <f ca="1"/>
        <v>342.33</v>
      </c>
      <c r="D642" vm="5184">
        <f ca="1"/>
        <v>45093</v>
      </c>
      <c r="E642" vm="5186">
        <f ca="1"/>
        <v>16.059999999999999</v>
      </c>
      <c r="F642" vm="5184">
        <f ca="1"/>
        <v>45093</v>
      </c>
      <c r="G642" vm="5187">
        <f ca="1"/>
        <v>228.91</v>
      </c>
      <c r="H642" vm="5184">
        <f ca="1"/>
        <v>45093</v>
      </c>
      <c r="I642" vm="5188">
        <f ca="1"/>
        <v>121.13</v>
      </c>
      <c r="J642" vm="5184">
        <f ca="1"/>
        <v>45093</v>
      </c>
      <c r="K642" vm="2297">
        <f ca="1"/>
        <v>23.41</v>
      </c>
      <c r="L642" vm="5184">
        <f ca="1"/>
        <v>45093</v>
      </c>
      <c r="M642" vm="5189">
        <f ca="1"/>
        <v>159.99</v>
      </c>
      <c r="N642" vm="5184">
        <f ca="1"/>
        <v>45093</v>
      </c>
      <c r="O642" vm="5190">
        <f ca="1"/>
        <v>109.2</v>
      </c>
      <c r="P642" vm="5184">
        <f ca="1"/>
        <v>45093</v>
      </c>
      <c r="Q642" vm="5191">
        <f ca="1"/>
        <v>29.338999999999999</v>
      </c>
      <c r="R642" s="29">
        <f t="shared" ca="1" si="79"/>
        <v>-1.6575696638896978E-2</v>
      </c>
      <c r="S642" s="30">
        <f t="shared" ca="1" si="80"/>
        <v>1.8714909544602358E-3</v>
      </c>
      <c r="T642" s="30">
        <f t="shared" ca="1" si="81"/>
        <v>1.211478091700937E-2</v>
      </c>
      <c r="U642" s="30">
        <f t="shared" ca="1" si="82"/>
        <v>-8.2487833044632951E-4</v>
      </c>
      <c r="V642" s="30">
        <f t="shared" ca="1" si="83"/>
        <v>-1.8860016764459316E-2</v>
      </c>
      <c r="W642" s="30">
        <f t="shared" ca="1" si="86"/>
        <v>5.1320804310684726E-2</v>
      </c>
      <c r="X642" s="30">
        <f t="shared" ca="1" si="84"/>
        <v>-3.5335689045936397E-2</v>
      </c>
      <c r="Y642" s="31">
        <f t="shared" ca="1" si="85"/>
        <v>5.566350028785251E-2</v>
      </c>
    </row>
    <row r="643" spans="2:25" x14ac:dyDescent="0.45">
      <c r="B643" vm="5192">
        <f ca="1"/>
        <v>45097</v>
      </c>
      <c r="C643" vm="5193">
        <f ca="1"/>
        <v>338.05</v>
      </c>
      <c r="D643" vm="5192">
        <f ca="1"/>
        <v>45097</v>
      </c>
      <c r="E643" vm="5194">
        <f ca="1"/>
        <v>15.78</v>
      </c>
      <c r="F643" vm="5192">
        <f ca="1"/>
        <v>45097</v>
      </c>
      <c r="G643" vm="5195">
        <f ca="1"/>
        <v>226.47</v>
      </c>
      <c r="H643" vm="5192">
        <f ca="1"/>
        <v>45097</v>
      </c>
      <c r="I643" vm="5196">
        <f ca="1"/>
        <v>118.16</v>
      </c>
      <c r="J643" vm="5192">
        <f ca="1"/>
        <v>45097</v>
      </c>
      <c r="K643" vm="5197">
        <f ca="1"/>
        <v>23.47</v>
      </c>
      <c r="L643" vm="5192">
        <f ca="1"/>
        <v>45097</v>
      </c>
      <c r="M643" vm="5198">
        <f ca="1"/>
        <v>156.82</v>
      </c>
      <c r="N643" vm="5192">
        <f ca="1"/>
        <v>45097</v>
      </c>
      <c r="O643" vm="5199">
        <f ca="1"/>
        <v>109.4</v>
      </c>
      <c r="P643" vm="5192">
        <f ca="1"/>
        <v>45097</v>
      </c>
      <c r="Q643" vm="5200">
        <f ca="1"/>
        <v>31.34</v>
      </c>
      <c r="R643" s="29">
        <f t="shared" ca="1" si="79"/>
        <v>-1.2502556013203554E-2</v>
      </c>
      <c r="S643" s="30">
        <f t="shared" ca="1" si="80"/>
        <v>-1.7434620174346164E-2</v>
      </c>
      <c r="T643" s="30">
        <f t="shared" ca="1" si="81"/>
        <v>-1.0659211043641596E-2</v>
      </c>
      <c r="U643" s="30">
        <f t="shared" ca="1" si="82"/>
        <v>-2.4519111698175507E-2</v>
      </c>
      <c r="V643" s="30">
        <f t="shared" ca="1" si="83"/>
        <v>2.5630072618538541E-3</v>
      </c>
      <c r="W643" s="30">
        <f t="shared" ca="1" si="86"/>
        <v>-1.9813738358647515E-2</v>
      </c>
      <c r="X643" s="30">
        <f t="shared" ca="1" si="84"/>
        <v>1.8315018315018575E-3</v>
      </c>
      <c r="Y643" s="31">
        <f t="shared" ca="1" si="85"/>
        <v>6.8202733562834503E-2</v>
      </c>
    </row>
    <row r="644" spans="2:25" x14ac:dyDescent="0.45">
      <c r="B644" vm="5201">
        <f ca="1"/>
        <v>45098</v>
      </c>
      <c r="C644" vm="5202">
        <f ca="1"/>
        <v>333.56</v>
      </c>
      <c r="D644" vm="5201">
        <f ca="1"/>
        <v>45098</v>
      </c>
      <c r="E644" vm="5203">
        <f ca="1"/>
        <v>15.61</v>
      </c>
      <c r="F644" vm="5201">
        <f ca="1"/>
        <v>45098</v>
      </c>
      <c r="G644" vm="5204">
        <f ca="1"/>
        <v>227.25</v>
      </c>
      <c r="H644" vm="5201">
        <f ca="1"/>
        <v>45098</v>
      </c>
      <c r="I644" vm="5205">
        <f ca="1"/>
        <v>118.33</v>
      </c>
      <c r="J644" vm="5201">
        <f ca="1"/>
        <v>45098</v>
      </c>
      <c r="K644" vm="5206">
        <f ca="1"/>
        <v>23.39</v>
      </c>
      <c r="L644" vm="5201">
        <f ca="1"/>
        <v>45098</v>
      </c>
      <c r="M644" vm="5207">
        <f ca="1"/>
        <v>155.93</v>
      </c>
      <c r="N644" vm="5201">
        <f ca="1"/>
        <v>45098</v>
      </c>
      <c r="O644" vm="5208">
        <f ca="1"/>
        <v>107.16</v>
      </c>
      <c r="P644" vm="5201">
        <f ca="1"/>
        <v>45098</v>
      </c>
      <c r="Q644" vm="5209">
        <f ca="1"/>
        <v>33.131</v>
      </c>
      <c r="R644" s="29">
        <f t="shared" ca="1" si="79"/>
        <v>-1.3282058867031531E-2</v>
      </c>
      <c r="S644" s="30">
        <f t="shared" ca="1" si="80"/>
        <v>-1.0773130544993658E-2</v>
      </c>
      <c r="T644" s="30">
        <f t="shared" ca="1" si="81"/>
        <v>3.4441647900384205E-3</v>
      </c>
      <c r="U644" s="30">
        <f t="shared" ca="1" si="82"/>
        <v>1.4387271496276381E-3</v>
      </c>
      <c r="V644" s="30">
        <f t="shared" ca="1" si="83"/>
        <v>-3.4086067319982231E-3</v>
      </c>
      <c r="W644" s="30">
        <f t="shared" ca="1" si="86"/>
        <v>-5.6752965183011501E-3</v>
      </c>
      <c r="X644" s="30">
        <f t="shared" ca="1" si="84"/>
        <v>-2.0475319926873941E-2</v>
      </c>
      <c r="Y644" s="31">
        <f t="shared" ca="1" si="85"/>
        <v>5.714741544352267E-2</v>
      </c>
    </row>
    <row r="645" spans="2:25" x14ac:dyDescent="0.45">
      <c r="B645" vm="5210">
        <f ca="1"/>
        <v>45099</v>
      </c>
      <c r="C645" vm="5211">
        <f ca="1"/>
        <v>339.71</v>
      </c>
      <c r="D645" vm="5210">
        <f ca="1"/>
        <v>45099</v>
      </c>
      <c r="E645" vm="5212">
        <f ca="1"/>
        <v>15.58</v>
      </c>
      <c r="F645" vm="5210">
        <f ca="1"/>
        <v>45099</v>
      </c>
      <c r="G645" vm="2519">
        <f ca="1"/>
        <v>228.39</v>
      </c>
      <c r="H645" vm="5210">
        <f ca="1"/>
        <v>45099</v>
      </c>
      <c r="I645" vm="5213">
        <f ca="1"/>
        <v>118.68</v>
      </c>
      <c r="J645" vm="5210">
        <f ca="1"/>
        <v>45099</v>
      </c>
      <c r="K645" vm="5214">
        <f ca="1"/>
        <v>23.42</v>
      </c>
      <c r="L645" vm="5210">
        <f ca="1"/>
        <v>45099</v>
      </c>
      <c r="M645" vm="5215">
        <f ca="1"/>
        <v>159.09</v>
      </c>
      <c r="N645" vm="5210">
        <f ca="1"/>
        <v>45099</v>
      </c>
      <c r="O645" vm="5216">
        <f ca="1"/>
        <v>104.6</v>
      </c>
      <c r="P645" vm="5210">
        <f ca="1"/>
        <v>45099</v>
      </c>
      <c r="Q645" vm="5217">
        <f ca="1"/>
        <v>32.722999999999999</v>
      </c>
      <c r="R645" s="29">
        <f t="shared" ref="R645:R708" ca="1" si="87">(C645-C644)/C644</f>
        <v>1.8437462525482604E-2</v>
      </c>
      <c r="S645" s="30">
        <f t="shared" ref="S645:S708" ca="1" si="88">(E645-E644)/E644</f>
        <v>-1.9218449711722845E-3</v>
      </c>
      <c r="T645" s="30">
        <f t="shared" ref="T645:T708" ca="1" si="89">(G645-G644)/G644</f>
        <v>5.0165016501649562E-3</v>
      </c>
      <c r="U645" s="30">
        <f t="shared" ref="U645:U708" ca="1" si="90">(I645-I644)/I644</f>
        <v>2.9578297980225516E-3</v>
      </c>
      <c r="V645" s="30">
        <f t="shared" ref="V645:V708" ca="1" si="91">(K645-K644)/K644</f>
        <v>1.2825994014536613E-3</v>
      </c>
      <c r="W645" s="30">
        <f t="shared" ca="1" si="86"/>
        <v>2.0265503751683425E-2</v>
      </c>
      <c r="X645" s="30">
        <f t="shared" ref="X645:X708" ca="1" si="92">(O645-O644)/O644</f>
        <v>-2.3889511011571503E-2</v>
      </c>
      <c r="Y645" s="31">
        <f t="shared" ref="Y645:Y708" ca="1" si="93">(Q645-Q644)/Q644</f>
        <v>-1.2314750535752053E-2</v>
      </c>
    </row>
    <row r="646" spans="2:25" x14ac:dyDescent="0.45">
      <c r="B646" vm="5218">
        <f ca="1"/>
        <v>45100</v>
      </c>
      <c r="C646" vm="5219">
        <f ca="1"/>
        <v>335.02</v>
      </c>
      <c r="D646" vm="5218">
        <f ca="1"/>
        <v>45100</v>
      </c>
      <c r="E646" vm="5220">
        <f ca="1"/>
        <v>15.45</v>
      </c>
      <c r="F646" vm="5218">
        <f ca="1"/>
        <v>45100</v>
      </c>
      <c r="G646" vm="5221">
        <f ca="1"/>
        <v>229.55</v>
      </c>
      <c r="H646" vm="5218">
        <f ca="1"/>
        <v>45100</v>
      </c>
      <c r="I646" vm="5222">
        <f ca="1"/>
        <v>119.42</v>
      </c>
      <c r="J646" vm="5218">
        <f ca="1"/>
        <v>45100</v>
      </c>
      <c r="K646" vm="5223">
        <f ca="1"/>
        <v>23.33</v>
      </c>
      <c r="L646" vm="5218">
        <f ca="1"/>
        <v>45100</v>
      </c>
      <c r="M646" vm="1959">
        <f ca="1"/>
        <v>157.49</v>
      </c>
      <c r="N646" vm="5218">
        <f ca="1"/>
        <v>45100</v>
      </c>
      <c r="O646" vm="5224">
        <f ca="1"/>
        <v>105.92</v>
      </c>
      <c r="P646" vm="5218">
        <f ca="1"/>
        <v>45100</v>
      </c>
      <c r="Q646" vm="5225">
        <f ca="1"/>
        <v>32.911000000000001</v>
      </c>
      <c r="R646" s="29">
        <f t="shared" ca="1" si="87"/>
        <v>-1.380589326189985E-2</v>
      </c>
      <c r="S646" s="30">
        <f t="shared" ca="1" si="88"/>
        <v>-8.3440308087291901E-3</v>
      </c>
      <c r="T646" s="30">
        <f t="shared" ca="1" si="89"/>
        <v>5.0790314812383429E-3</v>
      </c>
      <c r="U646" s="30">
        <f t="shared" ca="1" si="90"/>
        <v>6.2352544657903169E-3</v>
      </c>
      <c r="V646" s="30">
        <f t="shared" ca="1" si="91"/>
        <v>-3.8428693424425024E-3</v>
      </c>
      <c r="W646" s="30">
        <f t="shared" ref="W646:W709" ca="1" si="94">(M646-M645)/M645</f>
        <v>-1.0057200326858974E-2</v>
      </c>
      <c r="X646" s="30">
        <f t="shared" ca="1" si="92"/>
        <v>1.2619502868068904E-2</v>
      </c>
      <c r="Y646" s="31">
        <f t="shared" ca="1" si="93"/>
        <v>5.7451945115057418E-3</v>
      </c>
    </row>
    <row r="647" spans="2:25" x14ac:dyDescent="0.45">
      <c r="B647" vm="5226">
        <f ca="1"/>
        <v>45103</v>
      </c>
      <c r="C647" vm="5227">
        <f ca="1"/>
        <v>328.6</v>
      </c>
      <c r="D647" vm="5226">
        <f ca="1"/>
        <v>45103</v>
      </c>
      <c r="E647" vm="5228">
        <f ca="1"/>
        <v>15.63</v>
      </c>
      <c r="F647" vm="5226">
        <f ca="1"/>
        <v>45103</v>
      </c>
      <c r="G647" vm="5229">
        <f ca="1"/>
        <v>226.3</v>
      </c>
      <c r="H647" vm="5226">
        <f ca="1"/>
        <v>45103</v>
      </c>
      <c r="I647" vm="5230">
        <f ca="1"/>
        <v>118.37</v>
      </c>
      <c r="J647" vm="5226">
        <f ca="1"/>
        <v>45103</v>
      </c>
      <c r="K647" vm="5231">
        <f ca="1"/>
        <v>23.89</v>
      </c>
      <c r="L647" vm="5226">
        <f ca="1"/>
        <v>45103</v>
      </c>
      <c r="M647" vm="5232">
        <f ca="1"/>
        <v>153.78</v>
      </c>
      <c r="N647" vm="5226">
        <f ca="1"/>
        <v>45103</v>
      </c>
      <c r="O647" vm="5233">
        <f ca="1"/>
        <v>105.72</v>
      </c>
      <c r="P647" vm="5226">
        <f ca="1"/>
        <v>45103</v>
      </c>
      <c r="Q647" vm="5234">
        <f ca="1"/>
        <v>30.574000000000002</v>
      </c>
      <c r="R647" s="29">
        <f t="shared" ca="1" si="87"/>
        <v>-1.9163035042683896E-2</v>
      </c>
      <c r="S647" s="30">
        <f t="shared" ca="1" si="88"/>
        <v>1.1650485436893301E-2</v>
      </c>
      <c r="T647" s="30">
        <f t="shared" ca="1" si="89"/>
        <v>-1.4158135482465693E-2</v>
      </c>
      <c r="U647" s="30">
        <f t="shared" ca="1" si="90"/>
        <v>-8.7924970691676194E-3</v>
      </c>
      <c r="V647" s="30">
        <f t="shared" ca="1" si="91"/>
        <v>2.400342906129457E-2</v>
      </c>
      <c r="W647" s="30">
        <f t="shared" ca="1" si="94"/>
        <v>-2.3557051241348707E-2</v>
      </c>
      <c r="X647" s="30">
        <f t="shared" ca="1" si="92"/>
        <v>-1.8882175226586371E-3</v>
      </c>
      <c r="Y647" s="31">
        <f t="shared" ca="1" si="93"/>
        <v>-7.1009692807875779E-2</v>
      </c>
    </row>
    <row r="648" spans="2:25" x14ac:dyDescent="0.45">
      <c r="B648" vm="5235">
        <f ca="1"/>
        <v>45104</v>
      </c>
      <c r="C648" vm="5236">
        <f ca="1"/>
        <v>334.57</v>
      </c>
      <c r="D648" vm="5235">
        <f ca="1"/>
        <v>45104</v>
      </c>
      <c r="E648" vm="5171">
        <f ca="1"/>
        <v>15.84</v>
      </c>
      <c r="F648" vm="5235">
        <f ca="1"/>
        <v>45104</v>
      </c>
      <c r="G648" vm="1766">
        <f ca="1"/>
        <v>227.34</v>
      </c>
      <c r="H648" vm="5235">
        <f ca="1"/>
        <v>45104</v>
      </c>
      <c r="I648" vm="5237">
        <f ca="1"/>
        <v>117.04</v>
      </c>
      <c r="J648" vm="5235">
        <f ca="1"/>
        <v>45104</v>
      </c>
      <c r="K648" vm="5238">
        <f ca="1"/>
        <v>24.7</v>
      </c>
      <c r="L648" vm="5235">
        <f ca="1"/>
        <v>45104</v>
      </c>
      <c r="M648" vm="5239">
        <f ca="1"/>
        <v>158.62</v>
      </c>
      <c r="N648" vm="5235">
        <f ca="1"/>
        <v>45104</v>
      </c>
      <c r="O648" vm="5240">
        <f ca="1"/>
        <v>103.08</v>
      </c>
      <c r="P648" vm="5235">
        <f ca="1"/>
        <v>45104</v>
      </c>
      <c r="Q648" vm="5241">
        <f ca="1"/>
        <v>32.488</v>
      </c>
      <c r="R648" s="29">
        <f t="shared" ca="1" si="87"/>
        <v>1.8167985392574467E-2</v>
      </c>
      <c r="S648" s="30">
        <f t="shared" ca="1" si="88"/>
        <v>1.343570057581568E-2</v>
      </c>
      <c r="T648" s="30">
        <f t="shared" ca="1" si="89"/>
        <v>4.5956694653114978E-3</v>
      </c>
      <c r="U648" s="30">
        <f t="shared" ca="1" si="90"/>
        <v>-1.1235955056179761E-2</v>
      </c>
      <c r="V648" s="30">
        <f t="shared" ca="1" si="91"/>
        <v>3.390539974884884E-2</v>
      </c>
      <c r="W648" s="30">
        <f t="shared" ca="1" si="94"/>
        <v>3.1473533619456387E-2</v>
      </c>
      <c r="X648" s="30">
        <f t="shared" ca="1" si="92"/>
        <v>-2.4971623155505114E-2</v>
      </c>
      <c r="Y648" s="31">
        <f t="shared" ca="1" si="93"/>
        <v>6.2602211028978796E-2</v>
      </c>
    </row>
    <row r="649" spans="2:25" x14ac:dyDescent="0.45">
      <c r="B649" vm="5242">
        <f ca="1"/>
        <v>45105</v>
      </c>
      <c r="C649" vm="5243">
        <f ca="1"/>
        <v>335.85</v>
      </c>
      <c r="D649" vm="5242">
        <f ca="1"/>
        <v>45105</v>
      </c>
      <c r="E649" vm="5194">
        <f ca="1"/>
        <v>15.78</v>
      </c>
      <c r="F649" vm="5242">
        <f ca="1"/>
        <v>45105</v>
      </c>
      <c r="G649" vm="5244">
        <f ca="1"/>
        <v>227.96</v>
      </c>
      <c r="H649" vm="5242">
        <f ca="1"/>
        <v>45105</v>
      </c>
      <c r="I649" vm="5245">
        <f ca="1"/>
        <v>116.37</v>
      </c>
      <c r="J649" vm="5242">
        <f ca="1"/>
        <v>45105</v>
      </c>
      <c r="K649" vm="1687">
        <f ca="1"/>
        <v>24.45</v>
      </c>
      <c r="L649" vm="5242">
        <f ca="1"/>
        <v>45105</v>
      </c>
      <c r="M649" vm="5246">
        <f ca="1"/>
        <v>160.57</v>
      </c>
      <c r="N649" vm="5242">
        <f ca="1"/>
        <v>45105</v>
      </c>
      <c r="O649" vm="5247">
        <f ca="1"/>
        <v>99.32</v>
      </c>
      <c r="P649" vm="5242">
        <f ca="1"/>
        <v>45105</v>
      </c>
      <c r="Q649" vm="5248">
        <f ca="1"/>
        <v>32.561</v>
      </c>
      <c r="R649" s="29">
        <f t="shared" ca="1" si="87"/>
        <v>3.8258062587800149E-3</v>
      </c>
      <c r="S649" s="30">
        <f t="shared" ca="1" si="88"/>
        <v>-3.7878787878788192E-3</v>
      </c>
      <c r="T649" s="30">
        <f t="shared" ca="1" si="89"/>
        <v>2.7271927509457399E-3</v>
      </c>
      <c r="U649" s="30">
        <f t="shared" ca="1" si="90"/>
        <v>-5.7245386192754759E-3</v>
      </c>
      <c r="V649" s="30">
        <f t="shared" ca="1" si="91"/>
        <v>-1.0121457489878543E-2</v>
      </c>
      <c r="W649" s="30">
        <f t="shared" ca="1" si="94"/>
        <v>1.2293531711007367E-2</v>
      </c>
      <c r="X649" s="30">
        <f t="shared" ca="1" si="92"/>
        <v>-3.6476523088863066E-2</v>
      </c>
      <c r="Y649" s="31">
        <f t="shared" ca="1" si="93"/>
        <v>2.2469835016006032E-3</v>
      </c>
    </row>
    <row r="650" spans="2:25" x14ac:dyDescent="0.45">
      <c r="B650" vm="5249">
        <f ca="1"/>
        <v>45106</v>
      </c>
      <c r="C650" vm="5250">
        <f ca="1"/>
        <v>335.05</v>
      </c>
      <c r="D650" vm="5249">
        <f ca="1"/>
        <v>45106</v>
      </c>
      <c r="E650" vm="5251">
        <f ca="1"/>
        <v>15.98</v>
      </c>
      <c r="F650" vm="5249">
        <f ca="1"/>
        <v>45106</v>
      </c>
      <c r="G650" vm="1187">
        <f ca="1"/>
        <v>234.32</v>
      </c>
      <c r="H650" vm="5249">
        <f ca="1"/>
        <v>45106</v>
      </c>
      <c r="I650" vm="5252">
        <f ca="1"/>
        <v>118.05</v>
      </c>
      <c r="J650" vm="5249">
        <f ca="1"/>
        <v>45106</v>
      </c>
      <c r="K650" vm="5253">
        <f ca="1"/>
        <v>24.99</v>
      </c>
      <c r="L650" vm="5249">
        <f ca="1"/>
        <v>45106</v>
      </c>
      <c r="M650" vm="5254">
        <f ca="1"/>
        <v>159.26</v>
      </c>
      <c r="N650" vm="5249">
        <f ca="1"/>
        <v>45106</v>
      </c>
      <c r="O650" vm="5255">
        <f ca="1"/>
        <v>101.48</v>
      </c>
      <c r="P650" vm="5249">
        <f ca="1"/>
        <v>45106</v>
      </c>
      <c r="Q650" vm="5256">
        <f ca="1"/>
        <v>34.025500000000001</v>
      </c>
      <c r="R650" s="29">
        <f t="shared" ca="1" si="87"/>
        <v>-2.3820157808545819E-3</v>
      </c>
      <c r="S650" s="30">
        <f t="shared" ca="1" si="88"/>
        <v>1.2674271229404377E-2</v>
      </c>
      <c r="T650" s="30">
        <f t="shared" ca="1" si="89"/>
        <v>2.789963151430069E-2</v>
      </c>
      <c r="U650" s="30">
        <f t="shared" ca="1" si="90"/>
        <v>1.4436710492394884E-2</v>
      </c>
      <c r="V650" s="30">
        <f t="shared" ca="1" si="91"/>
        <v>2.2085889570552113E-2</v>
      </c>
      <c r="W650" s="30">
        <f t="shared" ca="1" si="94"/>
        <v>-8.1584355732702389E-3</v>
      </c>
      <c r="X650" s="30">
        <f t="shared" ca="1" si="92"/>
        <v>2.1747885622231282E-2</v>
      </c>
      <c r="Y650" s="31">
        <f t="shared" ca="1" si="93"/>
        <v>4.4977119867325971E-2</v>
      </c>
    </row>
    <row r="651" spans="2:25" x14ac:dyDescent="0.45">
      <c r="B651" vm="5257">
        <f ca="1"/>
        <v>45107</v>
      </c>
      <c r="C651" vm="5258">
        <f ca="1"/>
        <v>340.54</v>
      </c>
      <c r="D651" vm="5257">
        <f ca="1"/>
        <v>45107</v>
      </c>
      <c r="E651" vm="5067">
        <f ca="1"/>
        <v>15.95</v>
      </c>
      <c r="F651" vm="5257">
        <f ca="1"/>
        <v>45107</v>
      </c>
      <c r="G651" vm="5259">
        <f ca="1"/>
        <v>237.48</v>
      </c>
      <c r="H651" vm="5257">
        <f ca="1"/>
        <v>45107</v>
      </c>
      <c r="I651" vm="5260">
        <f ca="1"/>
        <v>120.25</v>
      </c>
      <c r="J651" vm="5257">
        <f ca="1"/>
        <v>45107</v>
      </c>
      <c r="K651" vm="4896">
        <f ca="1"/>
        <v>25.01</v>
      </c>
      <c r="L651" vm="5257">
        <f ca="1"/>
        <v>45107</v>
      </c>
      <c r="M651" vm="5261">
        <f ca="1"/>
        <v>160.55000000000001</v>
      </c>
      <c r="N651" vm="5257">
        <f ca="1"/>
        <v>45107</v>
      </c>
      <c r="O651" vm="4473">
        <f ca="1"/>
        <v>100</v>
      </c>
      <c r="P651" vm="5257">
        <f ca="1"/>
        <v>45107</v>
      </c>
      <c r="Q651" vm="5262">
        <f ca="1"/>
        <v>34.241999999999997</v>
      </c>
      <c r="R651" s="29">
        <f t="shared" ca="1" si="87"/>
        <v>1.6385614087449662E-2</v>
      </c>
      <c r="S651" s="30">
        <f t="shared" ca="1" si="88"/>
        <v>-1.8773466833542638E-3</v>
      </c>
      <c r="T651" s="30">
        <f t="shared" ca="1" si="89"/>
        <v>1.348583134175485E-2</v>
      </c>
      <c r="U651" s="30">
        <f t="shared" ca="1" si="90"/>
        <v>1.8636171113934799E-2</v>
      </c>
      <c r="V651" s="30">
        <f t="shared" ca="1" si="91"/>
        <v>8.0032012805134566E-4</v>
      </c>
      <c r="W651" s="30">
        <f t="shared" ca="1" si="94"/>
        <v>8.0999623257567537E-3</v>
      </c>
      <c r="X651" s="30">
        <f t="shared" ca="1" si="92"/>
        <v>-1.4584154513204611E-2</v>
      </c>
      <c r="Y651" s="31">
        <f t="shared" ca="1" si="93"/>
        <v>6.3628749026464378E-3</v>
      </c>
    </row>
    <row r="652" spans="2:25" x14ac:dyDescent="0.45">
      <c r="B652" vm="5263">
        <f ca="1"/>
        <v>45110</v>
      </c>
      <c r="C652" vm="5264">
        <f ca="1"/>
        <v>337.99</v>
      </c>
      <c r="D652" vm="5263">
        <f ca="1"/>
        <v>45110</v>
      </c>
      <c r="E652" vm="5265">
        <f ca="1"/>
        <v>16.12</v>
      </c>
      <c r="F652" vm="5263">
        <f ca="1"/>
        <v>45110</v>
      </c>
      <c r="G652" vm="5266">
        <f ca="1"/>
        <v>237.97</v>
      </c>
      <c r="H652" vm="5263">
        <f ca="1"/>
        <v>45110</v>
      </c>
      <c r="I652" vm="5267">
        <f ca="1"/>
        <v>119.32</v>
      </c>
      <c r="J652" vm="5263">
        <f ca="1"/>
        <v>45110</v>
      </c>
      <c r="K652" vm="4744">
        <f ca="1"/>
        <v>25.2</v>
      </c>
      <c r="L652" vm="5263">
        <f ca="1"/>
        <v>45110</v>
      </c>
      <c r="M652" vm="5268">
        <f ca="1"/>
        <v>160.56</v>
      </c>
      <c r="N652" vm="5263">
        <f ca="1"/>
        <v>45110</v>
      </c>
      <c r="O652" vm="5269">
        <f ca="1"/>
        <v>98.96</v>
      </c>
      <c r="P652" vm="5263">
        <f ca="1"/>
        <v>45110</v>
      </c>
      <c r="Q652" vm="5270">
        <f ca="1"/>
        <v>37.783999999999999</v>
      </c>
      <c r="R652" s="29">
        <f t="shared" ca="1" si="87"/>
        <v>-7.4881071239795947E-3</v>
      </c>
      <c r="S652" s="30">
        <f t="shared" ca="1" si="88"/>
        <v>1.0658307210031455E-2</v>
      </c>
      <c r="T652" s="30">
        <f t="shared" ca="1" si="89"/>
        <v>2.0633316489810051E-3</v>
      </c>
      <c r="U652" s="30">
        <f t="shared" ca="1" si="90"/>
        <v>-7.7338877338877909E-3</v>
      </c>
      <c r="V652" s="30">
        <f t="shared" ca="1" si="91"/>
        <v>7.5969612155137034E-3</v>
      </c>
      <c r="W652" s="30">
        <f t="shared" ca="1" si="94"/>
        <v>6.2285892245349765E-5</v>
      </c>
      <c r="X652" s="30">
        <f t="shared" ca="1" si="92"/>
        <v>-1.0400000000000062E-2</v>
      </c>
      <c r="Y652" s="31">
        <f t="shared" ca="1" si="93"/>
        <v>0.10344021961334039</v>
      </c>
    </row>
    <row r="653" spans="2:25" x14ac:dyDescent="0.45">
      <c r="B653" vm="5271">
        <f ca="1"/>
        <v>45112</v>
      </c>
      <c r="C653" vm="5272">
        <f ca="1"/>
        <v>338.15</v>
      </c>
      <c r="D653" vm="5271">
        <f ca="1"/>
        <v>45112</v>
      </c>
      <c r="E653" vm="5140">
        <f ca="1"/>
        <v>16.07</v>
      </c>
      <c r="F653" vm="5271">
        <f ca="1"/>
        <v>45112</v>
      </c>
      <c r="G653" vm="5273">
        <f ca="1"/>
        <v>239.45</v>
      </c>
      <c r="H653" vm="5271">
        <f ca="1"/>
        <v>45112</v>
      </c>
      <c r="I653" vm="5164">
        <f ca="1"/>
        <v>119.5</v>
      </c>
      <c r="J653" vm="5271">
        <f ca="1"/>
        <v>45112</v>
      </c>
      <c r="K653" vm="5274">
        <f ca="1"/>
        <v>23.96</v>
      </c>
      <c r="L653" vm="5271">
        <f ca="1"/>
        <v>45112</v>
      </c>
      <c r="M653" vm="5275">
        <f ca="1"/>
        <v>160.72999999999999</v>
      </c>
      <c r="N653" vm="5271">
        <f ca="1"/>
        <v>45112</v>
      </c>
      <c r="O653" vm="5276">
        <f ca="1"/>
        <v>100.28</v>
      </c>
      <c r="P653" vm="5271">
        <f ca="1"/>
        <v>45112</v>
      </c>
      <c r="Q653" vm="5277">
        <f ca="1"/>
        <v>37.811</v>
      </c>
      <c r="R653" s="29">
        <f t="shared" ca="1" si="87"/>
        <v>4.7338678659122505E-4</v>
      </c>
      <c r="S653" s="30">
        <f t="shared" ca="1" si="88"/>
        <v>-3.1017369727047587E-3</v>
      </c>
      <c r="T653" s="30">
        <f t="shared" ca="1" si="89"/>
        <v>6.2192713367230732E-3</v>
      </c>
      <c r="U653" s="30">
        <f t="shared" ca="1" si="90"/>
        <v>1.508548441166668E-3</v>
      </c>
      <c r="V653" s="30">
        <f t="shared" ca="1" si="91"/>
        <v>-4.9206349206349143E-2</v>
      </c>
      <c r="W653" s="30">
        <f t="shared" ca="1" si="94"/>
        <v>1.0587942202291199E-3</v>
      </c>
      <c r="X653" s="30">
        <f t="shared" ca="1" si="92"/>
        <v>1.3338722716249064E-2</v>
      </c>
      <c r="Y653" s="31">
        <f t="shared" ca="1" si="93"/>
        <v>7.145881854753606E-4</v>
      </c>
    </row>
    <row r="654" spans="2:25" x14ac:dyDescent="0.45">
      <c r="B654" vm="5278">
        <f ca="1"/>
        <v>45113</v>
      </c>
      <c r="C654" vm="2075">
        <f ca="1"/>
        <v>341.27</v>
      </c>
      <c r="D654" vm="5278">
        <f ca="1"/>
        <v>45113</v>
      </c>
      <c r="E654" vm="5279">
        <f ca="1"/>
        <v>15.87</v>
      </c>
      <c r="F654" vm="5278">
        <f ca="1"/>
        <v>45113</v>
      </c>
      <c r="G654" vm="5280">
        <f ca="1"/>
        <v>238.88</v>
      </c>
      <c r="H654" vm="5278">
        <f ca="1"/>
        <v>45113</v>
      </c>
      <c r="I654" vm="5281">
        <f ca="1"/>
        <v>118.43</v>
      </c>
      <c r="J654" vm="5278">
        <f ca="1"/>
        <v>45113</v>
      </c>
      <c r="K654" vm="3715">
        <f ca="1"/>
        <v>23.17</v>
      </c>
      <c r="L654" vm="5278">
        <f ca="1"/>
        <v>45113</v>
      </c>
      <c r="M654" vm="5282">
        <f ca="1"/>
        <v>156.62</v>
      </c>
      <c r="N654" vm="5278">
        <f ca="1"/>
        <v>45113</v>
      </c>
      <c r="O654" vm="5283">
        <f ca="1"/>
        <v>106.04</v>
      </c>
      <c r="P654" vm="5278">
        <f ca="1"/>
        <v>45113</v>
      </c>
      <c r="Q654" vm="5284">
        <f ca="1"/>
        <v>37.655000000000001</v>
      </c>
      <c r="R654" s="29">
        <f t="shared" ca="1" si="87"/>
        <v>9.2266745527133064E-3</v>
      </c>
      <c r="S654" s="30">
        <f t="shared" ca="1" si="88"/>
        <v>-1.2445550715619232E-2</v>
      </c>
      <c r="T654" s="30">
        <f t="shared" ca="1" si="89"/>
        <v>-2.3804552098558914E-3</v>
      </c>
      <c r="U654" s="30">
        <f t="shared" ca="1" si="90"/>
        <v>-8.9539748953974332E-3</v>
      </c>
      <c r="V654" s="30">
        <f t="shared" ca="1" si="91"/>
        <v>-3.2971619365609314E-2</v>
      </c>
      <c r="W654" s="30">
        <f t="shared" ca="1" si="94"/>
        <v>-2.5570833074099332E-2</v>
      </c>
      <c r="X654" s="30">
        <f t="shared" ca="1" si="92"/>
        <v>5.7439170323095382E-2</v>
      </c>
      <c r="Y654" s="31">
        <f t="shared" ca="1" si="93"/>
        <v>-4.1257835021554258E-3</v>
      </c>
    </row>
    <row r="655" spans="2:25" x14ac:dyDescent="0.45">
      <c r="B655" vm="5285">
        <f ca="1"/>
        <v>45114</v>
      </c>
      <c r="C655" vm="5286">
        <f ca="1"/>
        <v>337.22</v>
      </c>
      <c r="D655" vm="5285">
        <f ca="1"/>
        <v>45114</v>
      </c>
      <c r="E655" vm="5203">
        <f ca="1"/>
        <v>15.61</v>
      </c>
      <c r="F655" vm="5285">
        <f ca="1"/>
        <v>45114</v>
      </c>
      <c r="G655" vm="5287">
        <f ca="1"/>
        <v>236.45</v>
      </c>
      <c r="H655" vm="5285">
        <f ca="1"/>
        <v>45114</v>
      </c>
      <c r="I655" vm="5288">
        <f ca="1"/>
        <v>117</v>
      </c>
      <c r="J655" vm="5285">
        <f ca="1"/>
        <v>45114</v>
      </c>
      <c r="K655" vm="1263">
        <f ca="1"/>
        <v>24.09</v>
      </c>
      <c r="L655" vm="5285">
        <f ca="1"/>
        <v>45114</v>
      </c>
      <c r="M655" vm="5289">
        <f ca="1"/>
        <v>156.97</v>
      </c>
      <c r="N655" vm="5285">
        <f ca="1"/>
        <v>45114</v>
      </c>
      <c r="O655" vm="5290">
        <f ca="1"/>
        <v>103.32</v>
      </c>
      <c r="P655" vm="5285">
        <f ca="1"/>
        <v>45114</v>
      </c>
      <c r="Q655" vm="5291">
        <f ca="1"/>
        <v>38.073999999999998</v>
      </c>
      <c r="R655" s="29">
        <f t="shared" ca="1" si="87"/>
        <v>-1.186743634072715E-2</v>
      </c>
      <c r="S655" s="30">
        <f t="shared" ca="1" si="88"/>
        <v>-1.6383112791430361E-2</v>
      </c>
      <c r="T655" s="30">
        <f t="shared" ca="1" si="89"/>
        <v>-1.0172471533824543E-2</v>
      </c>
      <c r="U655" s="30">
        <f t="shared" ca="1" si="90"/>
        <v>-1.2074643249176786E-2</v>
      </c>
      <c r="V655" s="30">
        <f t="shared" ca="1" si="91"/>
        <v>3.9706517047906696E-2</v>
      </c>
      <c r="W655" s="30">
        <f t="shared" ca="1" si="94"/>
        <v>2.2347082109564187E-3</v>
      </c>
      <c r="X655" s="30">
        <f t="shared" ca="1" si="92"/>
        <v>-2.5650697849868096E-2</v>
      </c>
      <c r="Y655" s="31">
        <f t="shared" ca="1" si="93"/>
        <v>1.1127340326649766E-2</v>
      </c>
    </row>
    <row r="656" spans="2:25" x14ac:dyDescent="0.45">
      <c r="B656" vm="5292">
        <f ca="1"/>
        <v>45117</v>
      </c>
      <c r="C656" vm="5293">
        <f ca="1"/>
        <v>331.83</v>
      </c>
      <c r="D656" vm="5292">
        <f ca="1"/>
        <v>45117</v>
      </c>
      <c r="E656" vm="5294">
        <f ca="1"/>
        <v>15.27</v>
      </c>
      <c r="F656" vm="5292">
        <f ca="1"/>
        <v>45117</v>
      </c>
      <c r="G656" vm="5295">
        <f ca="1"/>
        <v>238.16</v>
      </c>
      <c r="H656" vm="5292">
        <f ca="1"/>
        <v>45117</v>
      </c>
      <c r="I656" vm="5296">
        <f ca="1"/>
        <v>118.36</v>
      </c>
      <c r="J656" vm="5292">
        <f ca="1"/>
        <v>45117</v>
      </c>
      <c r="K656" vm="5297">
        <f ca="1"/>
        <v>24.24</v>
      </c>
      <c r="L656" vm="5292">
        <f ca="1"/>
        <v>45117</v>
      </c>
      <c r="M656" vm="5298">
        <f ca="1"/>
        <v>157.38999999999999</v>
      </c>
      <c r="N656" vm="5292">
        <f ca="1"/>
        <v>45117</v>
      </c>
      <c r="O656" vm="5299">
        <f ca="1"/>
        <v>102.64</v>
      </c>
      <c r="P656" vm="5292">
        <f ca="1"/>
        <v>45117</v>
      </c>
      <c r="Q656" vm="5300">
        <f ca="1"/>
        <v>40.771000000000001</v>
      </c>
      <c r="R656" s="29">
        <f t="shared" ca="1" si="87"/>
        <v>-1.5983630864124437E-2</v>
      </c>
      <c r="S656" s="30">
        <f t="shared" ca="1" si="88"/>
        <v>-2.1780909673286348E-2</v>
      </c>
      <c r="T656" s="30">
        <f t="shared" ca="1" si="89"/>
        <v>7.2319729329668346E-3</v>
      </c>
      <c r="U656" s="30">
        <f t="shared" ca="1" si="90"/>
        <v>1.1623931623931619E-2</v>
      </c>
      <c r="V656" s="30">
        <f t="shared" ca="1" si="91"/>
        <v>6.2266500622664414E-3</v>
      </c>
      <c r="W656" s="30">
        <f t="shared" ca="1" si="94"/>
        <v>2.6756705102885105E-3</v>
      </c>
      <c r="X656" s="30">
        <f t="shared" ca="1" si="92"/>
        <v>-6.581494386372364E-3</v>
      </c>
      <c r="Y656" s="31">
        <f t="shared" ca="1" si="93"/>
        <v>7.0835740925566076E-2</v>
      </c>
    </row>
    <row r="657" spans="2:25" x14ac:dyDescent="0.45">
      <c r="B657" vm="5301">
        <f ca="1"/>
        <v>45118</v>
      </c>
      <c r="C657" vm="5302">
        <f ca="1"/>
        <v>332.47</v>
      </c>
      <c r="D657" vm="5301">
        <f ca="1"/>
        <v>45118</v>
      </c>
      <c r="E657" vm="5303">
        <f ca="1"/>
        <v>15.23</v>
      </c>
      <c r="F657" vm="5301">
        <f ca="1"/>
        <v>45118</v>
      </c>
      <c r="G657" vm="5304">
        <f ca="1"/>
        <v>240.55</v>
      </c>
      <c r="H657" vm="5301">
        <f ca="1"/>
        <v>45118</v>
      </c>
      <c r="I657" vm="77">
        <f ca="1"/>
        <v>118.48</v>
      </c>
      <c r="J657" vm="5301">
        <f ca="1"/>
        <v>45118</v>
      </c>
      <c r="K657" vm="729">
        <f ca="1"/>
        <v>24.63</v>
      </c>
      <c r="L657" vm="5301">
        <f ca="1"/>
        <v>45118</v>
      </c>
      <c r="M657" vm="5305">
        <f ca="1"/>
        <v>160.58000000000001</v>
      </c>
      <c r="N657" vm="5301">
        <f ca="1"/>
        <v>45118</v>
      </c>
      <c r="O657" vm="5306">
        <f ca="1"/>
        <v>101.88</v>
      </c>
      <c r="P657" vm="5301">
        <f ca="1"/>
        <v>45118</v>
      </c>
      <c r="Q657" vm="5307">
        <f ca="1"/>
        <v>41.23</v>
      </c>
      <c r="R657" s="29">
        <f t="shared" ca="1" si="87"/>
        <v>1.9286984299190647E-3</v>
      </c>
      <c r="S657" s="30">
        <f t="shared" ca="1" si="88"/>
        <v>-2.6195153896528584E-3</v>
      </c>
      <c r="T657" s="30">
        <f t="shared" ca="1" si="89"/>
        <v>1.0035270406449508E-2</v>
      </c>
      <c r="U657" s="30">
        <f t="shared" ca="1" si="90"/>
        <v>1.0138560324434315E-3</v>
      </c>
      <c r="V657" s="30">
        <f t="shared" ca="1" si="91"/>
        <v>1.6089108910891114E-2</v>
      </c>
      <c r="W657" s="30">
        <f t="shared" ca="1" si="94"/>
        <v>2.0268123768981679E-2</v>
      </c>
      <c r="X657" s="30">
        <f t="shared" ca="1" si="92"/>
        <v>-7.4045206547155599E-3</v>
      </c>
      <c r="Y657" s="31">
        <f t="shared" ca="1" si="93"/>
        <v>1.1258002011233378E-2</v>
      </c>
    </row>
    <row r="658" spans="2:25" x14ac:dyDescent="0.45">
      <c r="B658" vm="5308">
        <f ca="1"/>
        <v>45119</v>
      </c>
      <c r="C658" vm="5309">
        <f ca="1"/>
        <v>337.2</v>
      </c>
      <c r="D658" vm="5308">
        <f ca="1"/>
        <v>45119</v>
      </c>
      <c r="E658" vm="3915">
        <f ca="1"/>
        <v>15.12</v>
      </c>
      <c r="F658" vm="5308">
        <f ca="1"/>
        <v>45119</v>
      </c>
      <c r="G658" vm="5310">
        <f ca="1"/>
        <v>242.21</v>
      </c>
      <c r="H658" vm="5308">
        <f ca="1"/>
        <v>45119</v>
      </c>
      <c r="I658" vm="5311">
        <f ca="1"/>
        <v>120</v>
      </c>
      <c r="J658" vm="5308">
        <f ca="1"/>
        <v>45119</v>
      </c>
      <c r="K658" vm="1435">
        <f ca="1"/>
        <v>25.07</v>
      </c>
      <c r="L658" vm="5308">
        <f ca="1"/>
        <v>45119</v>
      </c>
      <c r="M658" vm="5312">
        <f ca="1"/>
        <v>165.79</v>
      </c>
      <c r="N658" vm="5308">
        <f ca="1"/>
        <v>45119</v>
      </c>
      <c r="O658" vm="5313">
        <f ca="1"/>
        <v>96.28</v>
      </c>
      <c r="P658" vm="5308">
        <f ca="1"/>
        <v>45119</v>
      </c>
      <c r="Q658" vm="5314">
        <f ca="1"/>
        <v>41.348999999999997</v>
      </c>
      <c r="R658" s="29">
        <f t="shared" ca="1" si="87"/>
        <v>1.4226847535115833E-2</v>
      </c>
      <c r="S658" s="30">
        <f t="shared" ca="1" si="88"/>
        <v>-7.22258699934348E-3</v>
      </c>
      <c r="T658" s="30">
        <f t="shared" ca="1" si="89"/>
        <v>6.9008522136769761E-3</v>
      </c>
      <c r="U658" s="30">
        <f t="shared" ca="1" si="90"/>
        <v>1.2829169480080992E-2</v>
      </c>
      <c r="V658" s="30">
        <f t="shared" ca="1" si="91"/>
        <v>1.786439301664642E-2</v>
      </c>
      <c r="W658" s="30">
        <f t="shared" ca="1" si="94"/>
        <v>3.2444887283596832E-2</v>
      </c>
      <c r="X658" s="30">
        <f t="shared" ca="1" si="92"/>
        <v>-5.4966627404789893E-2</v>
      </c>
      <c r="Y658" s="31">
        <f t="shared" ca="1" si="93"/>
        <v>2.8862478777589083E-3</v>
      </c>
    </row>
    <row r="659" spans="2:25" x14ac:dyDescent="0.45">
      <c r="B659" vm="5315">
        <f ca="1"/>
        <v>45120</v>
      </c>
      <c r="C659" vm="5316">
        <f ca="1"/>
        <v>342.66</v>
      </c>
      <c r="D659" vm="5315">
        <f ca="1"/>
        <v>45120</v>
      </c>
      <c r="E659" vm="3915">
        <f ca="1"/>
        <v>15.12</v>
      </c>
      <c r="F659" vm="5315">
        <f ca="1"/>
        <v>45120</v>
      </c>
      <c r="G659" vm="5317">
        <f ca="1"/>
        <v>243.31</v>
      </c>
      <c r="H659" vm="5315">
        <f ca="1"/>
        <v>45120</v>
      </c>
      <c r="I659" vm="5318">
        <f ca="1"/>
        <v>119.35</v>
      </c>
      <c r="J659" vm="5315">
        <f ca="1"/>
        <v>45120</v>
      </c>
      <c r="K659" vm="5319">
        <f ca="1"/>
        <v>25.02</v>
      </c>
      <c r="L659" vm="5315">
        <f ca="1"/>
        <v>45120</v>
      </c>
      <c r="M659" vm="5320">
        <f ca="1"/>
        <v>171.1</v>
      </c>
      <c r="N659" vm="5315">
        <f ca="1"/>
        <v>45120</v>
      </c>
      <c r="O659" vm="5321">
        <f ca="1"/>
        <v>96.84</v>
      </c>
      <c r="P659" vm="5315">
        <f ca="1"/>
        <v>45120</v>
      </c>
      <c r="Q659" vm="5322">
        <f ca="1"/>
        <v>46.183</v>
      </c>
      <c r="R659" s="29">
        <f t="shared" ca="1" si="87"/>
        <v>1.6192170818505446E-2</v>
      </c>
      <c r="S659" s="30">
        <f t="shared" ca="1" si="88"/>
        <v>0</v>
      </c>
      <c r="T659" s="30">
        <f t="shared" ca="1" si="89"/>
        <v>4.541513562610934E-3</v>
      </c>
      <c r="U659" s="30">
        <f t="shared" ca="1" si="90"/>
        <v>-5.4166666666667137E-3</v>
      </c>
      <c r="V659" s="30">
        <f t="shared" ca="1" si="91"/>
        <v>-1.9944156362186162E-3</v>
      </c>
      <c r="W659" s="30">
        <f t="shared" ca="1" si="94"/>
        <v>3.2028469750889695E-2</v>
      </c>
      <c r="X659" s="30">
        <f t="shared" ca="1" si="92"/>
        <v>5.8163689239717729E-3</v>
      </c>
      <c r="Y659" s="31">
        <f t="shared" ca="1" si="93"/>
        <v>0.11690730126484325</v>
      </c>
    </row>
    <row r="660" spans="2:25" x14ac:dyDescent="0.45">
      <c r="B660" vm="5323">
        <f ca="1"/>
        <v>45121</v>
      </c>
      <c r="C660" vm="5324">
        <f ca="1"/>
        <v>345.24</v>
      </c>
      <c r="D660" vm="5323">
        <f ca="1"/>
        <v>45121</v>
      </c>
      <c r="E660" vm="5325">
        <f ca="1"/>
        <v>14.5</v>
      </c>
      <c r="F660" vm="5323">
        <f ca="1"/>
        <v>45121</v>
      </c>
      <c r="G660" vm="5326">
        <f ca="1"/>
        <v>243.16</v>
      </c>
      <c r="H660" vm="5323">
        <f ca="1"/>
        <v>45121</v>
      </c>
      <c r="I660" vm="5327">
        <f ca="1"/>
        <v>119.75</v>
      </c>
      <c r="J660" vm="5323">
        <f ca="1"/>
        <v>45121</v>
      </c>
      <c r="K660" vm="5328">
        <f ca="1"/>
        <v>24.51</v>
      </c>
      <c r="L660" vm="5323">
        <f ca="1"/>
        <v>45121</v>
      </c>
      <c r="M660" vm="5329">
        <f ca="1"/>
        <v>172.03</v>
      </c>
      <c r="N660" vm="5323">
        <f ca="1"/>
        <v>45121</v>
      </c>
      <c r="O660" vm="5330">
        <f ca="1"/>
        <v>95.68</v>
      </c>
      <c r="P660" vm="5323">
        <f ca="1"/>
        <v>45121</v>
      </c>
      <c r="Q660" vm="5331">
        <f ca="1"/>
        <v>45.886000000000003</v>
      </c>
      <c r="R660" s="29">
        <f t="shared" ca="1" si="87"/>
        <v>7.5293293643844744E-3</v>
      </c>
      <c r="S660" s="30">
        <f t="shared" ca="1" si="88"/>
        <v>-4.1005291005290954E-2</v>
      </c>
      <c r="T660" s="30">
        <f t="shared" ca="1" si="89"/>
        <v>-6.1649747236038673E-4</v>
      </c>
      <c r="U660" s="30">
        <f t="shared" ca="1" si="90"/>
        <v>3.3514872224550121E-3</v>
      </c>
      <c r="V660" s="30">
        <f t="shared" ca="1" si="91"/>
        <v>-2.0383693045563471E-2</v>
      </c>
      <c r="W660" s="30">
        <f t="shared" ca="1" si="94"/>
        <v>5.4354178842782397E-3</v>
      </c>
      <c r="X660" s="30">
        <f t="shared" ca="1" si="92"/>
        <v>-1.1978521272201535E-2</v>
      </c>
      <c r="Y660" s="31">
        <f t="shared" ca="1" si="93"/>
        <v>-6.4309377909619785E-3</v>
      </c>
    </row>
    <row r="661" spans="2:25" x14ac:dyDescent="0.45">
      <c r="B661" vm="5332">
        <f ca="1"/>
        <v>45124</v>
      </c>
      <c r="C661" vm="5333">
        <f ca="1"/>
        <v>345.73</v>
      </c>
      <c r="D661" vm="5332">
        <f ca="1"/>
        <v>45124</v>
      </c>
      <c r="E661" vm="5334">
        <f ca="1"/>
        <v>13.53</v>
      </c>
      <c r="F661" vm="5332">
        <f ca="1"/>
        <v>45124</v>
      </c>
      <c r="G661" vm="5335">
        <f ca="1"/>
        <v>243.99</v>
      </c>
      <c r="H661" vm="5332">
        <f ca="1"/>
        <v>45124</v>
      </c>
      <c r="I661" vm="5336">
        <f ca="1"/>
        <v>118.25</v>
      </c>
      <c r="J661" vm="5332">
        <f ca="1"/>
        <v>45124</v>
      </c>
      <c r="K661" vm="5337">
        <f ca="1"/>
        <v>24.61</v>
      </c>
      <c r="L661" vm="5332">
        <f ca="1"/>
        <v>45124</v>
      </c>
      <c r="M661" vm="5338">
        <f ca="1"/>
        <v>179.17</v>
      </c>
      <c r="N661" vm="5332">
        <f ca="1"/>
        <v>45124</v>
      </c>
      <c r="O661" vm="5339">
        <f ca="1"/>
        <v>95.48</v>
      </c>
      <c r="P661" vm="5332">
        <f ca="1"/>
        <v>45124</v>
      </c>
      <c r="Q661" vm="5340">
        <f ca="1"/>
        <v>44.988</v>
      </c>
      <c r="R661" s="29">
        <f t="shared" ca="1" si="87"/>
        <v>1.4193025141930515E-3</v>
      </c>
      <c r="S661" s="30">
        <f t="shared" ca="1" si="88"/>
        <v>-6.689655172413797E-2</v>
      </c>
      <c r="T661" s="30">
        <f t="shared" ca="1" si="89"/>
        <v>3.4133903602566727E-3</v>
      </c>
      <c r="U661" s="30">
        <f t="shared" ca="1" si="90"/>
        <v>-1.2526096033402923E-2</v>
      </c>
      <c r="V661" s="30">
        <f t="shared" ca="1" si="91"/>
        <v>4.0799673602610305E-3</v>
      </c>
      <c r="W661" s="30">
        <f t="shared" ca="1" si="94"/>
        <v>4.1504388769400609E-2</v>
      </c>
      <c r="X661" s="30">
        <f t="shared" ca="1" si="92"/>
        <v>-2.090301003344511E-3</v>
      </c>
      <c r="Y661" s="31">
        <f t="shared" ca="1" si="93"/>
        <v>-1.9570239288671996E-2</v>
      </c>
    </row>
    <row r="662" spans="2:25" x14ac:dyDescent="0.45">
      <c r="B662" vm="5341">
        <f ca="1"/>
        <v>45125</v>
      </c>
      <c r="C662" vm="5342">
        <f ca="1"/>
        <v>359.49</v>
      </c>
      <c r="D662" vm="5341">
        <f ca="1"/>
        <v>45125</v>
      </c>
      <c r="E662" vm="5343">
        <f ca="1"/>
        <v>13.45</v>
      </c>
      <c r="F662" vm="5341">
        <f ca="1"/>
        <v>45125</v>
      </c>
      <c r="G662" vm="5344">
        <f ca="1"/>
        <v>240.77</v>
      </c>
      <c r="H662" vm="5341">
        <f ca="1"/>
        <v>45125</v>
      </c>
      <c r="I662" vm="5345">
        <f ca="1"/>
        <v>119.56</v>
      </c>
      <c r="J662" vm="5341">
        <f ca="1"/>
        <v>45125</v>
      </c>
      <c r="K662" vm="720">
        <f ca="1"/>
        <v>25</v>
      </c>
      <c r="L662" vm="5341">
        <f ca="1"/>
        <v>45125</v>
      </c>
      <c r="M662" vm="5346">
        <f ca="1"/>
        <v>179.58</v>
      </c>
      <c r="N662" vm="5341">
        <f ca="1"/>
        <v>45125</v>
      </c>
      <c r="O662" vm="5347">
        <f ca="1"/>
        <v>93.92</v>
      </c>
      <c r="P662" vm="5341">
        <f ca="1"/>
        <v>45125</v>
      </c>
      <c r="Q662" vm="5348">
        <f ca="1"/>
        <v>44.579500000000003</v>
      </c>
      <c r="R662" s="29">
        <f t="shared" ca="1" si="87"/>
        <v>3.9799843808752469E-2</v>
      </c>
      <c r="S662" s="30">
        <f t="shared" ca="1" si="88"/>
        <v>-5.9127864005912838E-3</v>
      </c>
      <c r="T662" s="30">
        <f t="shared" ca="1" si="89"/>
        <v>-1.3197262182876342E-2</v>
      </c>
      <c r="U662" s="30">
        <f t="shared" ca="1" si="90"/>
        <v>1.1078224101479935E-2</v>
      </c>
      <c r="V662" s="30">
        <f t="shared" ca="1" si="91"/>
        <v>1.5847216578626599E-2</v>
      </c>
      <c r="W662" s="30">
        <f t="shared" ca="1" si="94"/>
        <v>2.2883295194509406E-3</v>
      </c>
      <c r="X662" s="30">
        <f t="shared" ca="1" si="92"/>
        <v>-1.6338500209467973E-2</v>
      </c>
      <c r="Y662" s="31">
        <f t="shared" ca="1" si="93"/>
        <v>-9.0801991642214929E-3</v>
      </c>
    </row>
    <row r="663" spans="2:25" x14ac:dyDescent="0.45">
      <c r="B663" vm="5349">
        <f ca="1"/>
        <v>45126</v>
      </c>
      <c r="C663" vm="5350">
        <f ca="1"/>
        <v>355.08</v>
      </c>
      <c r="D663" vm="5349">
        <f ca="1"/>
        <v>45126</v>
      </c>
      <c r="E663" vm="5351">
        <f ca="1"/>
        <v>14.59</v>
      </c>
      <c r="F663" vm="5349">
        <f ca="1"/>
        <v>45126</v>
      </c>
      <c r="G663" vm="5352">
        <f ca="1"/>
        <v>241.42</v>
      </c>
      <c r="H663" vm="5349">
        <f ca="1"/>
        <v>45126</v>
      </c>
      <c r="I663" vm="3101">
        <f ca="1"/>
        <v>123.08</v>
      </c>
      <c r="J663" vm="5349">
        <f ca="1"/>
        <v>45126</v>
      </c>
      <c r="K663" vm="5353">
        <f ca="1"/>
        <v>24.64</v>
      </c>
      <c r="L663" vm="5349">
        <f ca="1"/>
        <v>45126</v>
      </c>
      <c r="M663" vm="4521">
        <f ca="1"/>
        <v>179.84</v>
      </c>
      <c r="N663" vm="5349">
        <f ca="1"/>
        <v>45126</v>
      </c>
      <c r="O663" vm="5354">
        <f ca="1"/>
        <v>95.6</v>
      </c>
      <c r="P663" vm="5349">
        <f ca="1"/>
        <v>45126</v>
      </c>
      <c r="Q663" vm="5355">
        <f ca="1"/>
        <v>45.31</v>
      </c>
      <c r="R663" s="29">
        <f t="shared" ca="1" si="87"/>
        <v>-1.2267378786614439E-2</v>
      </c>
      <c r="S663" s="30">
        <f t="shared" ca="1" si="88"/>
        <v>8.4758364312267701E-2</v>
      </c>
      <c r="T663" s="30">
        <f t="shared" ca="1" si="89"/>
        <v>2.6996718860322184E-3</v>
      </c>
      <c r="U663" s="30">
        <f t="shared" ca="1" si="90"/>
        <v>2.944128471060552E-2</v>
      </c>
      <c r="V663" s="30">
        <f t="shared" ca="1" si="91"/>
        <v>-1.4399999999999977E-2</v>
      </c>
      <c r="W663" s="30">
        <f t="shared" ca="1" si="94"/>
        <v>1.4478226974050056E-3</v>
      </c>
      <c r="X663" s="30">
        <f t="shared" ca="1" si="92"/>
        <v>1.7887563884156649E-2</v>
      </c>
      <c r="Y663" s="31">
        <f t="shared" ca="1" si="93"/>
        <v>1.6386455657869631E-2</v>
      </c>
    </row>
    <row r="664" spans="2:25" x14ac:dyDescent="0.45">
      <c r="B664" vm="5356">
        <f ca="1"/>
        <v>45127</v>
      </c>
      <c r="C664" vm="5357">
        <f ca="1"/>
        <v>346.87</v>
      </c>
      <c r="D664" vm="5356">
        <f ca="1"/>
        <v>45127</v>
      </c>
      <c r="E664" vm="5358">
        <f ca="1"/>
        <v>14.66</v>
      </c>
      <c r="F664" vm="5356">
        <f ca="1"/>
        <v>45127</v>
      </c>
      <c r="G664" vm="5359">
        <f ca="1"/>
        <v>239.62</v>
      </c>
      <c r="H664" vm="5356">
        <f ca="1"/>
        <v>45127</v>
      </c>
      <c r="I664" vm="5360">
        <f ca="1"/>
        <v>124.55</v>
      </c>
      <c r="J664" vm="5356">
        <f ca="1"/>
        <v>45127</v>
      </c>
      <c r="K664" vm="1045">
        <f ca="1"/>
        <v>24.67</v>
      </c>
      <c r="L664" vm="5356">
        <f ca="1"/>
        <v>45127</v>
      </c>
      <c r="M664" vm="5361">
        <f ca="1"/>
        <v>172.48</v>
      </c>
      <c r="N664" vm="5356">
        <f ca="1"/>
        <v>45127</v>
      </c>
      <c r="O664" vm="5362">
        <f ca="1"/>
        <v>95.96</v>
      </c>
      <c r="P664" vm="5356">
        <f ca="1"/>
        <v>45127</v>
      </c>
      <c r="Q664" vm="5363">
        <f ca="1"/>
        <v>44.082999999999998</v>
      </c>
      <c r="R664" s="29">
        <f t="shared" ca="1" si="87"/>
        <v>-2.312155007322288E-2</v>
      </c>
      <c r="S664" s="30">
        <f t="shared" ca="1" si="88"/>
        <v>4.7978067169294229E-3</v>
      </c>
      <c r="T664" s="30">
        <f t="shared" ca="1" si="89"/>
        <v>-7.4558860077871885E-3</v>
      </c>
      <c r="U664" s="30">
        <f t="shared" ca="1" si="90"/>
        <v>1.1943451413714648E-2</v>
      </c>
      <c r="V664" s="30">
        <f t="shared" ca="1" si="91"/>
        <v>1.2175324675325137E-3</v>
      </c>
      <c r="W664" s="30">
        <f t="shared" ca="1" si="94"/>
        <v>-4.0925266903914667E-2</v>
      </c>
      <c r="X664" s="30">
        <f t="shared" ca="1" si="92"/>
        <v>3.765690376569032E-3</v>
      </c>
      <c r="Y664" s="31">
        <f t="shared" ca="1" si="93"/>
        <v>-2.7080114764952631E-2</v>
      </c>
    </row>
    <row r="665" spans="2:25" x14ac:dyDescent="0.45">
      <c r="B665" vm="5364">
        <f ca="1"/>
        <v>45128</v>
      </c>
      <c r="C665" vm="5365">
        <f ca="1"/>
        <v>343.77</v>
      </c>
      <c r="D665" vm="5364">
        <f ca="1"/>
        <v>45128</v>
      </c>
      <c r="E665" vm="5366">
        <f ca="1"/>
        <v>14.76</v>
      </c>
      <c r="F665" vm="5364">
        <f ca="1"/>
        <v>45128</v>
      </c>
      <c r="G665" vm="5367">
        <f ca="1"/>
        <v>239.25</v>
      </c>
      <c r="H665" vm="5364">
        <f ca="1"/>
        <v>45128</v>
      </c>
      <c r="I665" vm="5368">
        <f ca="1"/>
        <v>127.62</v>
      </c>
      <c r="J665" vm="5364">
        <f ca="1"/>
        <v>45128</v>
      </c>
      <c r="K665" vm="1313">
        <f ca="1"/>
        <v>24.22</v>
      </c>
      <c r="L665" vm="5364">
        <f ca="1"/>
        <v>45128</v>
      </c>
      <c r="M665" vm="5369">
        <f ca="1"/>
        <v>171.71</v>
      </c>
      <c r="N665" vm="5364">
        <f ca="1"/>
        <v>45128</v>
      </c>
      <c r="O665" vm="5370">
        <f ca="1"/>
        <v>94.8</v>
      </c>
      <c r="P665" vm="5364">
        <f ca="1"/>
        <v>45128</v>
      </c>
      <c r="Q665" vm="5371">
        <f ca="1"/>
        <v>43.664999999999999</v>
      </c>
      <c r="R665" s="29">
        <f t="shared" ca="1" si="87"/>
        <v>-8.937065759506509E-3</v>
      </c>
      <c r="S665" s="30">
        <f t="shared" ca="1" si="88"/>
        <v>6.8212824010913812E-3</v>
      </c>
      <c r="T665" s="30">
        <f t="shared" ca="1" si="89"/>
        <v>-1.5441115098906791E-3</v>
      </c>
      <c r="U665" s="30">
        <f t="shared" ca="1" si="90"/>
        <v>2.464873544761146E-2</v>
      </c>
      <c r="V665" s="30">
        <f t="shared" ca="1" si="91"/>
        <v>-1.8240778273206436E-2</v>
      </c>
      <c r="W665" s="30">
        <f t="shared" ca="1" si="94"/>
        <v>-4.4642857142856091E-3</v>
      </c>
      <c r="X665" s="30">
        <f t="shared" ca="1" si="92"/>
        <v>-1.2088370154230895E-2</v>
      </c>
      <c r="Y665" s="31">
        <f t="shared" ca="1" si="93"/>
        <v>-9.4821132863008254E-3</v>
      </c>
    </row>
    <row r="666" spans="2:25" x14ac:dyDescent="0.45">
      <c r="B666" vm="5372">
        <f ca="1"/>
        <v>45131</v>
      </c>
      <c r="C666" vm="5373">
        <f ca="1"/>
        <v>345.11</v>
      </c>
      <c r="D666" vm="5372">
        <f ca="1"/>
        <v>45131</v>
      </c>
      <c r="E666" vm="5374">
        <f ca="1"/>
        <v>14.95</v>
      </c>
      <c r="F666" vm="5372">
        <f ca="1"/>
        <v>45131</v>
      </c>
      <c r="G666" vm="3851">
        <f ca="1"/>
        <v>240.74</v>
      </c>
      <c r="H666" vm="5372">
        <f ca="1"/>
        <v>45131</v>
      </c>
      <c r="I666" vm="5375">
        <f ca="1"/>
        <v>127.72</v>
      </c>
      <c r="J666" vm="5372">
        <f ca="1"/>
        <v>45131</v>
      </c>
      <c r="K666" vm="5376">
        <f ca="1"/>
        <v>24.71</v>
      </c>
      <c r="L666" vm="5372">
        <f ca="1"/>
        <v>45131</v>
      </c>
      <c r="M666" vm="5377">
        <f ca="1"/>
        <v>163.72</v>
      </c>
      <c r="N666" vm="5372">
        <f ca="1"/>
        <v>45131</v>
      </c>
      <c r="O666" vm="5378">
        <f ca="1"/>
        <v>93.2</v>
      </c>
      <c r="P666" vm="5372">
        <f ca="1"/>
        <v>45131</v>
      </c>
      <c r="Q666" vm="5379">
        <f ca="1"/>
        <v>43.093499999999999</v>
      </c>
      <c r="R666" s="29">
        <f t="shared" ca="1" si="87"/>
        <v>3.8979550280711867E-3</v>
      </c>
      <c r="S666" s="30">
        <f t="shared" ca="1" si="88"/>
        <v>1.2872628726287229E-2</v>
      </c>
      <c r="T666" s="30">
        <f t="shared" ca="1" si="89"/>
        <v>6.2277951933124723E-3</v>
      </c>
      <c r="U666" s="30">
        <f t="shared" ca="1" si="90"/>
        <v>7.8357624196829893E-4</v>
      </c>
      <c r="V666" s="30">
        <f t="shared" ca="1" si="91"/>
        <v>2.0231213872832454E-2</v>
      </c>
      <c r="W666" s="30">
        <f t="shared" ca="1" si="94"/>
        <v>-4.6531943392929993E-2</v>
      </c>
      <c r="X666" s="30">
        <f t="shared" ca="1" si="92"/>
        <v>-1.6877637130801627E-2</v>
      </c>
      <c r="Y666" s="31">
        <f t="shared" ca="1" si="93"/>
        <v>-1.3088285812435598E-2</v>
      </c>
    </row>
    <row r="667" spans="2:25" x14ac:dyDescent="0.45">
      <c r="B667" vm="5380">
        <f ca="1"/>
        <v>45132</v>
      </c>
      <c r="C667" vm="5381">
        <f ca="1"/>
        <v>350.98</v>
      </c>
      <c r="D667" vm="5380">
        <f ca="1"/>
        <v>45132</v>
      </c>
      <c r="E667" vm="5382">
        <f ca="1"/>
        <v>14.8</v>
      </c>
      <c r="F667" vm="5380">
        <f ca="1"/>
        <v>45132</v>
      </c>
      <c r="G667" vm="5383">
        <f ca="1"/>
        <v>238.69</v>
      </c>
      <c r="H667" vm="5380">
        <f ca="1"/>
        <v>45132</v>
      </c>
      <c r="I667" vm="5384">
        <f ca="1"/>
        <v>127.31</v>
      </c>
      <c r="J667" vm="5380">
        <f ca="1"/>
        <v>45132</v>
      </c>
      <c r="K667" vm="980">
        <f ca="1"/>
        <v>25.5</v>
      </c>
      <c r="L667" vm="5380">
        <f ca="1"/>
        <v>45132</v>
      </c>
      <c r="M667" vm="5385">
        <f ca="1"/>
        <v>140.38</v>
      </c>
      <c r="N667" vm="5380">
        <f ca="1"/>
        <v>45132</v>
      </c>
      <c r="O667" vm="5386">
        <f ca="1"/>
        <v>93.16</v>
      </c>
      <c r="P667" vm="5380">
        <f ca="1"/>
        <v>45132</v>
      </c>
      <c r="Q667" vm="5387">
        <f ca="1"/>
        <v>43.682000000000002</v>
      </c>
      <c r="R667" s="29">
        <f t="shared" ca="1" si="87"/>
        <v>1.7009069572020526E-2</v>
      </c>
      <c r="S667" s="30">
        <f t="shared" ca="1" si="88"/>
        <v>-1.0033444816053417E-2</v>
      </c>
      <c r="T667" s="30">
        <f t="shared" ca="1" si="89"/>
        <v>-8.5154108166487132E-3</v>
      </c>
      <c r="U667" s="30">
        <f t="shared" ca="1" si="90"/>
        <v>-3.2101471969933964E-3</v>
      </c>
      <c r="V667" s="30">
        <f t="shared" ca="1" si="91"/>
        <v>3.1970861999190574E-2</v>
      </c>
      <c r="W667" s="30">
        <f t="shared" ca="1" si="94"/>
        <v>-0.14256046909357442</v>
      </c>
      <c r="X667" s="30">
        <f t="shared" ca="1" si="92"/>
        <v>-4.2918454935629026E-4</v>
      </c>
      <c r="Y667" s="31">
        <f t="shared" ca="1" si="93"/>
        <v>1.3656351886015371E-2</v>
      </c>
    </row>
    <row r="668" spans="2:25" x14ac:dyDescent="0.45">
      <c r="B668" vm="5388">
        <f ca="1"/>
        <v>45133</v>
      </c>
      <c r="C668" vm="5389">
        <f ca="1"/>
        <v>337.77</v>
      </c>
      <c r="D668" vm="5388">
        <f ca="1"/>
        <v>45133</v>
      </c>
      <c r="E668" vm="5390">
        <f ca="1"/>
        <v>14.89</v>
      </c>
      <c r="F668" vm="5388">
        <f ca="1"/>
        <v>45133</v>
      </c>
      <c r="G668" vm="5391">
        <f ca="1"/>
        <v>237.1</v>
      </c>
      <c r="H668" vm="5388">
        <f ca="1"/>
        <v>45133</v>
      </c>
      <c r="I668" vm="5392">
        <f ca="1"/>
        <v>128.47</v>
      </c>
      <c r="J668" vm="5388">
        <f ca="1"/>
        <v>45133</v>
      </c>
      <c r="K668" vm="5393">
        <f ca="1"/>
        <v>25.68</v>
      </c>
      <c r="L668" vm="5388">
        <f ca="1"/>
        <v>45133</v>
      </c>
      <c r="M668" vm="5394">
        <f ca="1"/>
        <v>149.13</v>
      </c>
      <c r="N668" vm="5388">
        <f ca="1"/>
        <v>45133</v>
      </c>
      <c r="O668" vm="5395">
        <f ca="1"/>
        <v>90.68</v>
      </c>
      <c r="P668" vm="5388">
        <f ca="1"/>
        <v>45133</v>
      </c>
      <c r="Q668" vm="5396">
        <f ca="1"/>
        <v>44.345999999999997</v>
      </c>
      <c r="R668" s="29">
        <f t="shared" ca="1" si="87"/>
        <v>-3.7637472220639456E-2</v>
      </c>
      <c r="S668" s="30">
        <f t="shared" ca="1" si="88"/>
        <v>6.081081081081071E-3</v>
      </c>
      <c r="T668" s="30">
        <f t="shared" ca="1" si="89"/>
        <v>-6.6613599229125783E-3</v>
      </c>
      <c r="U668" s="30">
        <f t="shared" ca="1" si="90"/>
        <v>9.1116173120728665E-3</v>
      </c>
      <c r="V668" s="30">
        <f t="shared" ca="1" si="91"/>
        <v>7.0588235294117537E-3</v>
      </c>
      <c r="W668" s="30">
        <f t="shared" ca="1" si="94"/>
        <v>6.2330816355606215E-2</v>
      </c>
      <c r="X668" s="30">
        <f t="shared" ca="1" si="92"/>
        <v>-2.6620867325032094E-2</v>
      </c>
      <c r="Y668" s="31">
        <f t="shared" ca="1" si="93"/>
        <v>1.5200769195549524E-2</v>
      </c>
    </row>
    <row r="669" spans="2:25" x14ac:dyDescent="0.45">
      <c r="B669" vm="5397">
        <f ca="1"/>
        <v>45134</v>
      </c>
      <c r="C669" vm="5398">
        <f ca="1"/>
        <v>330.72</v>
      </c>
      <c r="D669" vm="5397">
        <f ca="1"/>
        <v>45134</v>
      </c>
      <c r="E669" vm="5399">
        <f ca="1"/>
        <v>14.51</v>
      </c>
      <c r="F669" vm="5397">
        <f ca="1"/>
        <v>45134</v>
      </c>
      <c r="G669" vm="5400">
        <f ca="1"/>
        <v>234.44</v>
      </c>
      <c r="H669" vm="5397">
        <f ca="1"/>
        <v>45134</v>
      </c>
      <c r="I669" vm="5401">
        <f ca="1"/>
        <v>126.66</v>
      </c>
      <c r="J669" vm="5397">
        <f ca="1"/>
        <v>45134</v>
      </c>
      <c r="K669" vm="5402">
        <f ca="1"/>
        <v>25.03</v>
      </c>
      <c r="L669" vm="5397">
        <f ca="1"/>
        <v>45134</v>
      </c>
      <c r="M669" vm="5403">
        <f ca="1"/>
        <v>144.52000000000001</v>
      </c>
      <c r="N669" vm="5397">
        <f ca="1"/>
        <v>45134</v>
      </c>
      <c r="O669" vm="5404">
        <f ca="1"/>
        <v>95.2</v>
      </c>
      <c r="P669" vm="5397">
        <f ca="1"/>
        <v>45134</v>
      </c>
      <c r="Q669" vm="5405">
        <f ca="1"/>
        <v>42.615000000000002</v>
      </c>
      <c r="R669" s="29">
        <f t="shared" ca="1" si="87"/>
        <v>-2.0872191135979972E-2</v>
      </c>
      <c r="S669" s="30">
        <f t="shared" ca="1" si="88"/>
        <v>-2.5520483546004082E-2</v>
      </c>
      <c r="T669" s="30">
        <f t="shared" ca="1" si="89"/>
        <v>-1.1218894981020652E-2</v>
      </c>
      <c r="U669" s="30">
        <f t="shared" ca="1" si="90"/>
        <v>-1.4088892348408207E-2</v>
      </c>
      <c r="V669" s="30">
        <f t="shared" ca="1" si="91"/>
        <v>-2.5311526479750723E-2</v>
      </c>
      <c r="W669" s="30">
        <f t="shared" ca="1" si="94"/>
        <v>-3.0912626567424297E-2</v>
      </c>
      <c r="X669" s="30">
        <f t="shared" ca="1" si="92"/>
        <v>4.9845610939567665E-2</v>
      </c>
      <c r="Y669" s="31">
        <f t="shared" ca="1" si="93"/>
        <v>-3.9033960221891373E-2</v>
      </c>
    </row>
    <row r="670" spans="2:25" x14ac:dyDescent="0.45">
      <c r="B670" vm="5406">
        <f ca="1"/>
        <v>45135</v>
      </c>
      <c r="C670" vm="5407">
        <f ca="1"/>
        <v>338.37</v>
      </c>
      <c r="D670" vm="5406">
        <f ca="1"/>
        <v>45135</v>
      </c>
      <c r="E670" vm="5408">
        <f ca="1"/>
        <v>14.45</v>
      </c>
      <c r="F670" vm="5406">
        <f ca="1"/>
        <v>45135</v>
      </c>
      <c r="G670" vm="596">
        <f ca="1"/>
        <v>235.75</v>
      </c>
      <c r="H670" vm="5406">
        <f ca="1"/>
        <v>45135</v>
      </c>
      <c r="I670" vm="5409">
        <f ca="1"/>
        <v>126.05</v>
      </c>
      <c r="J670" vm="5406">
        <f ca="1"/>
        <v>45135</v>
      </c>
      <c r="K670" vm="1045">
        <f ca="1"/>
        <v>24.67</v>
      </c>
      <c r="L670" vm="5406">
        <f ca="1"/>
        <v>45135</v>
      </c>
      <c r="M670" vm="2342">
        <f ca="1"/>
        <v>148.6</v>
      </c>
      <c r="N670" vm="5406">
        <f ca="1"/>
        <v>45135</v>
      </c>
      <c r="O670" vm="5410">
        <f ca="1"/>
        <v>91.6</v>
      </c>
      <c r="P670" vm="5406">
        <f ca="1"/>
        <v>45135</v>
      </c>
      <c r="Q670" vm="5411">
        <f ca="1"/>
        <v>43.460999999999999</v>
      </c>
      <c r="R670" s="29">
        <f t="shared" ca="1" si="87"/>
        <v>2.3131349782293108E-2</v>
      </c>
      <c r="S670" s="30">
        <f t="shared" ca="1" si="88"/>
        <v>-4.1350792556857684E-3</v>
      </c>
      <c r="T670" s="30">
        <f t="shared" ca="1" si="89"/>
        <v>5.5877836546664493E-3</v>
      </c>
      <c r="U670" s="30">
        <f t="shared" ca="1" si="90"/>
        <v>-4.8160429496289237E-3</v>
      </c>
      <c r="V670" s="30">
        <f t="shared" ca="1" si="91"/>
        <v>-1.4382740711146601E-2</v>
      </c>
      <c r="W670" s="30">
        <f t="shared" ca="1" si="94"/>
        <v>2.82313866592858E-2</v>
      </c>
      <c r="X670" s="30">
        <f t="shared" ca="1" si="92"/>
        <v>-3.7815126050420256E-2</v>
      </c>
      <c r="Y670" s="31">
        <f t="shared" ca="1" si="93"/>
        <v>1.9852164730728535E-2</v>
      </c>
    </row>
    <row r="671" spans="2:25" x14ac:dyDescent="0.45">
      <c r="B671" vm="5412">
        <f ca="1"/>
        <v>45138</v>
      </c>
      <c r="C671" vm="5413">
        <f ca="1"/>
        <v>335.92</v>
      </c>
      <c r="D671" vm="5412">
        <f ca="1"/>
        <v>45138</v>
      </c>
      <c r="E671" vm="5414">
        <f ca="1"/>
        <v>14.52</v>
      </c>
      <c r="F671" vm="5412">
        <f ca="1"/>
        <v>45138</v>
      </c>
      <c r="G671" vm="5415">
        <f ca="1"/>
        <v>237.73</v>
      </c>
      <c r="H671" vm="5412">
        <f ca="1"/>
        <v>45138</v>
      </c>
      <c r="I671" vm="5416">
        <f ca="1"/>
        <v>121.77</v>
      </c>
      <c r="J671" vm="5412">
        <f ca="1"/>
        <v>45138</v>
      </c>
      <c r="K671" vm="980">
        <f ca="1"/>
        <v>25.5</v>
      </c>
      <c r="L671" vm="5412">
        <f ca="1"/>
        <v>45138</v>
      </c>
      <c r="M671" vm="5417">
        <f ca="1"/>
        <v>149.41</v>
      </c>
      <c r="N671" vm="5412">
        <f ca="1"/>
        <v>45138</v>
      </c>
      <c r="O671" vm="5418">
        <f ca="1"/>
        <v>90.4</v>
      </c>
      <c r="P671" vm="5412">
        <f ca="1"/>
        <v>45138</v>
      </c>
      <c r="Q671" vm="5419">
        <f ca="1"/>
        <v>43.787999999999997</v>
      </c>
      <c r="R671" s="29">
        <f t="shared" ca="1" si="87"/>
        <v>-7.2405946153618487E-3</v>
      </c>
      <c r="S671" s="30">
        <f t="shared" ca="1" si="88"/>
        <v>4.8442906574394659E-3</v>
      </c>
      <c r="T671" s="30">
        <f t="shared" ca="1" si="89"/>
        <v>8.3987274655354816E-3</v>
      </c>
      <c r="U671" s="30">
        <f t="shared" ca="1" si="90"/>
        <v>-3.3954779849266176E-2</v>
      </c>
      <c r="V671" s="30">
        <f t="shared" ca="1" si="91"/>
        <v>3.3644102148358258E-2</v>
      </c>
      <c r="W671" s="30">
        <f t="shared" ca="1" si="94"/>
        <v>5.450874831763138E-3</v>
      </c>
      <c r="X671" s="30">
        <f t="shared" ca="1" si="92"/>
        <v>-1.3100436681222584E-2</v>
      </c>
      <c r="Y671" s="31">
        <f t="shared" ca="1" si="93"/>
        <v>7.5239870228480292E-3</v>
      </c>
    </row>
    <row r="672" spans="2:25" x14ac:dyDescent="0.45">
      <c r="B672" vm="5420">
        <f ca="1"/>
        <v>45139</v>
      </c>
      <c r="C672" vm="5421">
        <f ca="1"/>
        <v>336.34</v>
      </c>
      <c r="D672" vm="5420">
        <f ca="1"/>
        <v>45139</v>
      </c>
      <c r="E672" vm="5422">
        <f ca="1"/>
        <v>14.3</v>
      </c>
      <c r="F672" vm="5420">
        <f ca="1"/>
        <v>45139</v>
      </c>
      <c r="G672" vm="1433">
        <f ca="1"/>
        <v>239.78</v>
      </c>
      <c r="H672" vm="5420">
        <f ca="1"/>
        <v>45139</v>
      </c>
      <c r="I672" vm="5423">
        <f ca="1"/>
        <v>122.48</v>
      </c>
      <c r="J672" vm="5420">
        <f ca="1"/>
        <v>45139</v>
      </c>
      <c r="K672" vm="2053">
        <f ca="1"/>
        <v>25.73</v>
      </c>
      <c r="L672" vm="5420">
        <f ca="1"/>
        <v>45139</v>
      </c>
      <c r="M672" vm="5424">
        <f ca="1"/>
        <v>150.84</v>
      </c>
      <c r="N672" vm="5420">
        <f ca="1"/>
        <v>45139</v>
      </c>
      <c r="O672" vm="5425">
        <f ca="1"/>
        <v>91.8</v>
      </c>
      <c r="P672" vm="5420">
        <f ca="1"/>
        <v>45139</v>
      </c>
      <c r="Q672" vm="2586">
        <f ca="1"/>
        <v>43.497999999999998</v>
      </c>
      <c r="R672" s="29">
        <f t="shared" ca="1" si="87"/>
        <v>1.250297689926051E-3</v>
      </c>
      <c r="S672" s="30">
        <f t="shared" ca="1" si="88"/>
        <v>-1.5151515151515074E-2</v>
      </c>
      <c r="T672" s="30">
        <f t="shared" ca="1" si="89"/>
        <v>8.6232280318008312E-3</v>
      </c>
      <c r="U672" s="30">
        <f t="shared" ca="1" si="90"/>
        <v>5.8306643672497984E-3</v>
      </c>
      <c r="V672" s="30">
        <f t="shared" ca="1" si="91"/>
        <v>9.0196078431372725E-3</v>
      </c>
      <c r="W672" s="30">
        <f t="shared" ca="1" si="94"/>
        <v>9.5709791847935679E-3</v>
      </c>
      <c r="X672" s="30">
        <f t="shared" ca="1" si="92"/>
        <v>1.5486725663716719E-2</v>
      </c>
      <c r="Y672" s="31">
        <f t="shared" ca="1" si="93"/>
        <v>-6.6228190371791168E-3</v>
      </c>
    </row>
    <row r="673" spans="2:25" x14ac:dyDescent="0.45">
      <c r="B673" vm="5426">
        <f ca="1"/>
        <v>45140</v>
      </c>
      <c r="C673" vm="5427">
        <f ca="1"/>
        <v>327.5</v>
      </c>
      <c r="D673" vm="5426">
        <f ca="1"/>
        <v>45140</v>
      </c>
      <c r="E673" vm="5428">
        <f ca="1"/>
        <v>14.35</v>
      </c>
      <c r="F673" vm="5426">
        <f ca="1"/>
        <v>45140</v>
      </c>
      <c r="G673" vm="5429">
        <f ca="1"/>
        <v>237.56</v>
      </c>
      <c r="H673" vm="5426">
        <f ca="1"/>
        <v>45140</v>
      </c>
      <c r="I673" vm="3494">
        <f ca="1"/>
        <v>127.71</v>
      </c>
      <c r="J673" vm="5426">
        <f ca="1"/>
        <v>45140</v>
      </c>
      <c r="K673" vm="5430">
        <f ca="1"/>
        <v>24.49</v>
      </c>
      <c r="L673" vm="5426">
        <f ca="1"/>
        <v>45140</v>
      </c>
      <c r="M673" vm="5431">
        <f ca="1"/>
        <v>146.51</v>
      </c>
      <c r="N673" vm="5426">
        <f ca="1"/>
        <v>45140</v>
      </c>
      <c r="O673" vm="5432">
        <f ca="1"/>
        <v>100.08</v>
      </c>
      <c r="P673" vm="5426">
        <f ca="1"/>
        <v>45140</v>
      </c>
      <c r="Q673" vm="5433">
        <f ca="1"/>
        <v>40.732999999999997</v>
      </c>
      <c r="R673" s="29">
        <f t="shared" ca="1" si="87"/>
        <v>-2.6282927989534327E-2</v>
      </c>
      <c r="S673" s="30">
        <f t="shared" ca="1" si="88"/>
        <v>3.4965034965034219E-3</v>
      </c>
      <c r="T673" s="30">
        <f t="shared" ca="1" si="89"/>
        <v>-9.2584869463674981E-3</v>
      </c>
      <c r="U673" s="30">
        <f t="shared" ca="1" si="90"/>
        <v>4.2700849118223298E-2</v>
      </c>
      <c r="V673" s="30">
        <f t="shared" ca="1" si="91"/>
        <v>-4.8192771084337428E-2</v>
      </c>
      <c r="W673" s="30">
        <f t="shared" ca="1" si="94"/>
        <v>-2.8705913550782367E-2</v>
      </c>
      <c r="X673" s="30">
        <f t="shared" ca="1" si="92"/>
        <v>9.0196078431372562E-2</v>
      </c>
      <c r="Y673" s="31">
        <f t="shared" ca="1" si="93"/>
        <v>-6.3566140971998725E-2</v>
      </c>
    </row>
    <row r="674" spans="2:25" x14ac:dyDescent="0.45">
      <c r="B674" vm="5434">
        <f ca="1"/>
        <v>45141</v>
      </c>
      <c r="C674" vm="5435">
        <f ca="1"/>
        <v>326.66000000000003</v>
      </c>
      <c r="D674" vm="5434">
        <f ca="1"/>
        <v>45141</v>
      </c>
      <c r="E674" vm="5436">
        <f ca="1"/>
        <v>14.09</v>
      </c>
      <c r="F674" vm="5434">
        <f ca="1"/>
        <v>45141</v>
      </c>
      <c r="G674" vm="5437">
        <f ca="1"/>
        <v>238.76</v>
      </c>
      <c r="H674" vm="5434">
        <f ca="1"/>
        <v>45141</v>
      </c>
      <c r="I674" vm="5438">
        <f ca="1"/>
        <v>125.05</v>
      </c>
      <c r="J674" vm="5434">
        <f ca="1"/>
        <v>45141</v>
      </c>
      <c r="K674" vm="5439">
        <f ca="1"/>
        <v>24.26</v>
      </c>
      <c r="L674" vm="5434">
        <f ca="1"/>
        <v>45141</v>
      </c>
      <c r="M674" vm="5440">
        <f ca="1"/>
        <v>145.41999999999999</v>
      </c>
      <c r="N674" vm="5434">
        <f ca="1"/>
        <v>45141</v>
      </c>
      <c r="O674" vm="5441">
        <f ca="1"/>
        <v>99.76</v>
      </c>
      <c r="P674" vm="5434">
        <f ca="1"/>
        <v>45141</v>
      </c>
      <c r="Q674" vm="5442">
        <f ca="1"/>
        <v>38.991</v>
      </c>
      <c r="R674" s="29">
        <f t="shared" ca="1" si="87"/>
        <v>-2.5648854961831296E-3</v>
      </c>
      <c r="S674" s="30">
        <f t="shared" ca="1" si="88"/>
        <v>-1.8118466898954688E-2</v>
      </c>
      <c r="T674" s="30">
        <f t="shared" ca="1" si="89"/>
        <v>5.0513554470449093E-3</v>
      </c>
      <c r="U674" s="30">
        <f t="shared" ca="1" si="90"/>
        <v>-2.0828439433090571E-2</v>
      </c>
      <c r="V674" s="30">
        <f t="shared" ca="1" si="91"/>
        <v>-9.3915884034298444E-3</v>
      </c>
      <c r="W674" s="30">
        <f t="shared" ca="1" si="94"/>
        <v>-7.4397652037403832E-3</v>
      </c>
      <c r="X674" s="30">
        <f t="shared" ca="1" si="92"/>
        <v>-3.1974420463628415E-3</v>
      </c>
      <c r="Y674" s="31">
        <f t="shared" ca="1" si="93"/>
        <v>-4.2766307416590911E-2</v>
      </c>
    </row>
    <row r="675" spans="2:25" x14ac:dyDescent="0.45">
      <c r="B675" vm="5443">
        <f ca="1"/>
        <v>45142</v>
      </c>
      <c r="C675" vm="5444">
        <f ca="1"/>
        <v>327.78</v>
      </c>
      <c r="D675" vm="5443">
        <f ca="1"/>
        <v>45142</v>
      </c>
      <c r="E675" vm="5445">
        <f ca="1"/>
        <v>14</v>
      </c>
      <c r="F675" vm="5443">
        <f ca="1"/>
        <v>45142</v>
      </c>
      <c r="G675" vm="5446">
        <f ca="1"/>
        <v>238.99</v>
      </c>
      <c r="H675" vm="5443">
        <f ca="1"/>
        <v>45142</v>
      </c>
      <c r="I675" vm="3028">
        <f ca="1"/>
        <v>126.3</v>
      </c>
      <c r="J675" vm="5443">
        <f ca="1"/>
        <v>45142</v>
      </c>
      <c r="K675" vm="5447">
        <f ca="1"/>
        <v>24.11</v>
      </c>
      <c r="L675" vm="5443">
        <f ca="1"/>
        <v>45142</v>
      </c>
      <c r="M675" vm="5448">
        <f ca="1"/>
        <v>144.12</v>
      </c>
      <c r="N675" vm="5443">
        <f ca="1"/>
        <v>45142</v>
      </c>
      <c r="O675" vm="5290">
        <f ca="1"/>
        <v>103.32</v>
      </c>
      <c r="P675" vm="5443">
        <f ca="1"/>
        <v>45142</v>
      </c>
      <c r="Q675" vm="5449">
        <f ca="1"/>
        <v>37.697000000000003</v>
      </c>
      <c r="R675" s="29">
        <f t="shared" ca="1" si="87"/>
        <v>3.428641400844755E-3</v>
      </c>
      <c r="S675" s="30">
        <f t="shared" ca="1" si="88"/>
        <v>-6.3875088715400893E-3</v>
      </c>
      <c r="T675" s="30">
        <f t="shared" ca="1" si="89"/>
        <v>9.6331043725924866E-4</v>
      </c>
      <c r="U675" s="30">
        <f t="shared" ca="1" si="90"/>
        <v>9.9960015993602568E-3</v>
      </c>
      <c r="V675" s="30">
        <f t="shared" ca="1" si="91"/>
        <v>-6.1830173124485625E-3</v>
      </c>
      <c r="W675" s="30">
        <f t="shared" ca="1" si="94"/>
        <v>-8.9396231605005025E-3</v>
      </c>
      <c r="X675" s="30">
        <f t="shared" ca="1" si="92"/>
        <v>3.5685645549318246E-2</v>
      </c>
      <c r="Y675" s="31">
        <f t="shared" ca="1" si="93"/>
        <v>-3.3187145751583623E-2</v>
      </c>
    </row>
    <row r="676" spans="2:25" x14ac:dyDescent="0.45">
      <c r="B676" vm="5450">
        <f ca="1"/>
        <v>45145</v>
      </c>
      <c r="C676" vm="5451">
        <f ca="1"/>
        <v>330.11</v>
      </c>
      <c r="D676" vm="5450">
        <f ca="1"/>
        <v>45145</v>
      </c>
      <c r="E676" vm="5452">
        <f ca="1"/>
        <v>14.01</v>
      </c>
      <c r="F676" vm="5450">
        <f ca="1"/>
        <v>45145</v>
      </c>
      <c r="G676" vm="5453">
        <f ca="1"/>
        <v>241.51</v>
      </c>
      <c r="H676" vm="5450">
        <f ca="1"/>
        <v>45145</v>
      </c>
      <c r="I676" vm="5454">
        <f ca="1"/>
        <v>126.51</v>
      </c>
      <c r="J676" vm="5450">
        <f ca="1"/>
        <v>45145</v>
      </c>
      <c r="K676" vm="5455">
        <f ca="1"/>
        <v>24.33</v>
      </c>
      <c r="L676" vm="5450">
        <f ca="1"/>
        <v>45145</v>
      </c>
      <c r="M676" vm="5456">
        <f ca="1"/>
        <v>141.99</v>
      </c>
      <c r="N676" vm="5450">
        <f ca="1"/>
        <v>45145</v>
      </c>
      <c r="O676" vm="5457">
        <f ca="1"/>
        <v>97.92</v>
      </c>
      <c r="P676" vm="5450">
        <f ca="1"/>
        <v>45145</v>
      </c>
      <c r="Q676" vm="5458">
        <f ca="1"/>
        <v>37.082000000000001</v>
      </c>
      <c r="R676" s="29">
        <f t="shared" ca="1" si="87"/>
        <v>7.1084263835500677E-3</v>
      </c>
      <c r="S676" s="30">
        <f t="shared" ca="1" si="88"/>
        <v>7.1428571428569911E-4</v>
      </c>
      <c r="T676" s="30">
        <f t="shared" ca="1" si="89"/>
        <v>1.054437424159999E-2</v>
      </c>
      <c r="U676" s="30">
        <f t="shared" ca="1" si="90"/>
        <v>1.662707838479873E-3</v>
      </c>
      <c r="V676" s="30">
        <f t="shared" ca="1" si="91"/>
        <v>9.1248444628784266E-3</v>
      </c>
      <c r="W676" s="30">
        <f t="shared" ca="1" si="94"/>
        <v>-1.4779350541215621E-2</v>
      </c>
      <c r="X676" s="30">
        <f t="shared" ca="1" si="92"/>
        <v>-5.2264808362369256E-2</v>
      </c>
      <c r="Y676" s="31">
        <f t="shared" ca="1" si="93"/>
        <v>-1.6314295567286571E-2</v>
      </c>
    </row>
    <row r="677" spans="2:25" x14ac:dyDescent="0.45">
      <c r="B677" vm="5459">
        <f ca="1"/>
        <v>45146</v>
      </c>
      <c r="C677" vm="5460">
        <f ca="1"/>
        <v>326.05</v>
      </c>
      <c r="D677" vm="5459">
        <f ca="1"/>
        <v>45146</v>
      </c>
      <c r="E677" vm="5461">
        <f ca="1"/>
        <v>14.18</v>
      </c>
      <c r="F677" vm="5459">
        <f ca="1"/>
        <v>45146</v>
      </c>
      <c r="G677" vm="5462">
        <f ca="1"/>
        <v>239.29</v>
      </c>
      <c r="H677" vm="5459">
        <f ca="1"/>
        <v>45146</v>
      </c>
      <c r="I677" vm="5463">
        <f ca="1"/>
        <v>128.35</v>
      </c>
      <c r="J677" vm="5459">
        <f ca="1"/>
        <v>45146</v>
      </c>
      <c r="K677" vm="5464">
        <f ca="1"/>
        <v>23.9</v>
      </c>
      <c r="L677" vm="5459">
        <f ca="1"/>
        <v>45146</v>
      </c>
      <c r="M677" vm="5465">
        <f ca="1"/>
        <v>138.37</v>
      </c>
      <c r="N677" vm="5459">
        <f ca="1"/>
        <v>45146</v>
      </c>
      <c r="O677" vm="5466">
        <f ca="1"/>
        <v>99.64</v>
      </c>
      <c r="P677" vm="5459">
        <f ca="1"/>
        <v>45146</v>
      </c>
      <c r="Q677" vm="5467">
        <f ca="1"/>
        <v>38.948</v>
      </c>
      <c r="R677" s="29">
        <f t="shared" ca="1" si="87"/>
        <v>-1.229893065947715E-2</v>
      </c>
      <c r="S677" s="30">
        <f t="shared" ca="1" si="88"/>
        <v>1.2134189864382579E-2</v>
      </c>
      <c r="T677" s="30">
        <f t="shared" ca="1" si="89"/>
        <v>-9.1921659558610366E-3</v>
      </c>
      <c r="U677" s="30">
        <f t="shared" ca="1" si="90"/>
        <v>1.4544304798039595E-2</v>
      </c>
      <c r="V677" s="30">
        <f t="shared" ca="1" si="91"/>
        <v>-1.7673653925195223E-2</v>
      </c>
      <c r="W677" s="30">
        <f t="shared" ca="1" si="94"/>
        <v>-2.5494753151630425E-2</v>
      </c>
      <c r="X677" s="30">
        <f t="shared" ca="1" si="92"/>
        <v>1.7565359477124173E-2</v>
      </c>
      <c r="Y677" s="31">
        <f t="shared" ca="1" si="93"/>
        <v>5.0320910414756476E-2</v>
      </c>
    </row>
    <row r="678" spans="2:25" x14ac:dyDescent="0.45">
      <c r="B678" vm="5468">
        <f ca="1"/>
        <v>45147</v>
      </c>
      <c r="C678" vm="5469">
        <f ca="1"/>
        <v>322.23</v>
      </c>
      <c r="D678" vm="5468">
        <f ca="1"/>
        <v>45147</v>
      </c>
      <c r="E678" vm="5470">
        <f ca="1"/>
        <v>14.27</v>
      </c>
      <c r="F678" vm="5468">
        <f ca="1"/>
        <v>45147</v>
      </c>
      <c r="G678" vm="5471">
        <f ca="1"/>
        <v>239.76</v>
      </c>
      <c r="H678" vm="5468">
        <f ca="1"/>
        <v>45147</v>
      </c>
      <c r="I678" vm="3204">
        <f ca="1"/>
        <v>127.63</v>
      </c>
      <c r="J678" vm="5468">
        <f ca="1"/>
        <v>45147</v>
      </c>
      <c r="K678" vm="1037">
        <f ca="1"/>
        <v>23.61</v>
      </c>
      <c r="L678" vm="5468">
        <f ca="1"/>
        <v>45147</v>
      </c>
      <c r="M678" vm="5472">
        <f ca="1"/>
        <v>139.09</v>
      </c>
      <c r="N678" vm="5468">
        <f ca="1"/>
        <v>45147</v>
      </c>
      <c r="O678" vm="5473">
        <f ca="1"/>
        <v>98.76</v>
      </c>
      <c r="P678" vm="5468">
        <f ca="1"/>
        <v>45147</v>
      </c>
      <c r="Q678" vm="5270">
        <f ca="1"/>
        <v>37.783999999999999</v>
      </c>
      <c r="R678" s="29">
        <f t="shared" ca="1" si="87"/>
        <v>-1.1715994479374308E-2</v>
      </c>
      <c r="S678" s="30">
        <f t="shared" ca="1" si="88"/>
        <v>6.3469675599435726E-3</v>
      </c>
      <c r="T678" s="30">
        <f t="shared" ca="1" si="89"/>
        <v>1.9641439257804291E-3</v>
      </c>
      <c r="U678" s="30">
        <f t="shared" ca="1" si="90"/>
        <v>-5.6096610829762285E-3</v>
      </c>
      <c r="V678" s="30">
        <f t="shared" ca="1" si="91"/>
        <v>-1.2133891213389087E-2</v>
      </c>
      <c r="W678" s="30">
        <f t="shared" ca="1" si="94"/>
        <v>5.2034400520343917E-3</v>
      </c>
      <c r="X678" s="30">
        <f t="shared" ca="1" si="92"/>
        <v>-8.8317944600561568E-3</v>
      </c>
      <c r="Y678" s="31">
        <f t="shared" ca="1" si="93"/>
        <v>-2.9886001848618709E-2</v>
      </c>
    </row>
    <row r="679" spans="2:25" x14ac:dyDescent="0.45">
      <c r="B679" vm="5474">
        <f ca="1"/>
        <v>45148</v>
      </c>
      <c r="C679" vm="5475">
        <f ca="1"/>
        <v>322.93</v>
      </c>
      <c r="D679" vm="5474">
        <f ca="1"/>
        <v>45148</v>
      </c>
      <c r="E679" vm="5476">
        <f ca="1"/>
        <v>14.17</v>
      </c>
      <c r="F679" vm="5474">
        <f ca="1"/>
        <v>45148</v>
      </c>
      <c r="G679" vm="4260">
        <f ca="1"/>
        <v>240.16</v>
      </c>
      <c r="H679" vm="5474">
        <f ca="1"/>
        <v>45148</v>
      </c>
      <c r="I679" vm="5477">
        <f ca="1"/>
        <v>127.65</v>
      </c>
      <c r="J679" vm="5474">
        <f ca="1"/>
        <v>45148</v>
      </c>
      <c r="K679" vm="883">
        <f ca="1"/>
        <v>22.5</v>
      </c>
      <c r="L679" vm="5474">
        <f ca="1"/>
        <v>45148</v>
      </c>
      <c r="M679" vm="5478">
        <f ca="1"/>
        <v>136.43</v>
      </c>
      <c r="N679" vm="5474">
        <f ca="1"/>
        <v>45148</v>
      </c>
      <c r="O679" vm="5479">
        <f ca="1"/>
        <v>99.2</v>
      </c>
      <c r="P679" vm="5474">
        <f ca="1"/>
        <v>45148</v>
      </c>
      <c r="Q679" vm="5480">
        <f ca="1"/>
        <v>37.801000000000002</v>
      </c>
      <c r="R679" s="29">
        <f t="shared" ca="1" si="87"/>
        <v>2.1723613567948006E-3</v>
      </c>
      <c r="S679" s="30">
        <f t="shared" ca="1" si="88"/>
        <v>-7.0077084793272355E-3</v>
      </c>
      <c r="T679" s="30">
        <f t="shared" ca="1" si="89"/>
        <v>1.6683350016683588E-3</v>
      </c>
      <c r="U679" s="30">
        <f t="shared" ca="1" si="90"/>
        <v>1.567029695213526E-4</v>
      </c>
      <c r="V679" s="30">
        <f t="shared" ca="1" si="91"/>
        <v>-4.7013977128335431E-2</v>
      </c>
      <c r="W679" s="30">
        <f t="shared" ca="1" si="94"/>
        <v>-1.9124308002013059E-2</v>
      </c>
      <c r="X679" s="30">
        <f t="shared" ca="1" si="92"/>
        <v>4.4552450384770931E-3</v>
      </c>
      <c r="Y679" s="31">
        <f t="shared" ca="1" si="93"/>
        <v>4.4992589455862303E-4</v>
      </c>
    </row>
    <row r="680" spans="2:25" x14ac:dyDescent="0.45">
      <c r="B680" vm="5481">
        <f ca="1"/>
        <v>45149</v>
      </c>
      <c r="C680" vm="5482">
        <f ca="1"/>
        <v>321.01</v>
      </c>
      <c r="D680" vm="5481">
        <f ca="1"/>
        <v>45149</v>
      </c>
      <c r="E680" vm="5483">
        <f ca="1"/>
        <v>14.37</v>
      </c>
      <c r="F680" vm="5481">
        <f ca="1"/>
        <v>45149</v>
      </c>
      <c r="G680" vm="5484">
        <f ca="1"/>
        <v>240.04</v>
      </c>
      <c r="H680" vm="5481">
        <f ca="1"/>
        <v>45149</v>
      </c>
      <c r="I680" vm="5485">
        <f ca="1"/>
        <v>126.86</v>
      </c>
      <c r="J680" vm="5481">
        <f ca="1"/>
        <v>45149</v>
      </c>
      <c r="K680" vm="754">
        <f ca="1"/>
        <v>22.72</v>
      </c>
      <c r="L680" vm="5481">
        <f ca="1"/>
        <v>45149</v>
      </c>
      <c r="M680" vm="5486">
        <f ca="1"/>
        <v>138.68</v>
      </c>
      <c r="N680" vm="5481">
        <f ca="1"/>
        <v>45149</v>
      </c>
      <c r="O680" vm="5487">
        <f ca="1"/>
        <v>95.32</v>
      </c>
      <c r="P680" vm="5481">
        <f ca="1"/>
        <v>45149</v>
      </c>
      <c r="Q680" vm="5488">
        <f ca="1"/>
        <v>38.430999999999997</v>
      </c>
      <c r="R680" s="29">
        <f t="shared" ca="1" si="87"/>
        <v>-5.9455609574830953E-3</v>
      </c>
      <c r="S680" s="30">
        <f t="shared" ca="1" si="88"/>
        <v>1.4114326040931496E-2</v>
      </c>
      <c r="T680" s="30">
        <f t="shared" ca="1" si="89"/>
        <v>-4.9966688874085842E-4</v>
      </c>
      <c r="U680" s="30">
        <f t="shared" ca="1" si="90"/>
        <v>-6.1887974931453676E-3</v>
      </c>
      <c r="V680" s="30">
        <f t="shared" ca="1" si="91"/>
        <v>9.7777777777777273E-3</v>
      </c>
      <c r="W680" s="30">
        <f t="shared" ca="1" si="94"/>
        <v>1.6491973906032398E-2</v>
      </c>
      <c r="X680" s="30">
        <f t="shared" ca="1" si="92"/>
        <v>-3.9112903225806545E-2</v>
      </c>
      <c r="Y680" s="31">
        <f t="shared" ca="1" si="93"/>
        <v>1.6666225761223126E-2</v>
      </c>
    </row>
    <row r="681" spans="2:25" x14ac:dyDescent="0.45">
      <c r="B681" vm="5489">
        <f ca="1"/>
        <v>45152</v>
      </c>
      <c r="C681" vm="5490">
        <f ca="1"/>
        <v>324.04000000000002</v>
      </c>
      <c r="D681" vm="5489">
        <f ca="1"/>
        <v>45152</v>
      </c>
      <c r="E681" vm="5491">
        <f ca="1"/>
        <v>14.26</v>
      </c>
      <c r="F681" vm="5489">
        <f ca="1"/>
        <v>45152</v>
      </c>
      <c r="G681" vm="5492">
        <f ca="1"/>
        <v>242.9</v>
      </c>
      <c r="H681" vm="5489">
        <f ca="1"/>
        <v>45152</v>
      </c>
      <c r="I681" vm="5493">
        <f ca="1"/>
        <v>126.65</v>
      </c>
      <c r="J681" vm="5489">
        <f ca="1"/>
        <v>45152</v>
      </c>
      <c r="K681" vm="5494">
        <f ca="1"/>
        <v>31.08</v>
      </c>
      <c r="L681" vm="5489">
        <f ca="1"/>
        <v>45152</v>
      </c>
      <c r="M681" vm="5495">
        <f ca="1"/>
        <v>139.38</v>
      </c>
      <c r="N681" vm="5489">
        <f ca="1"/>
        <v>45152</v>
      </c>
      <c r="O681" vm="5496">
        <f ca="1"/>
        <v>93.68</v>
      </c>
      <c r="P681" vm="5489">
        <f ca="1"/>
        <v>45152</v>
      </c>
      <c r="Q681" vm="5497">
        <f ca="1"/>
        <v>38.883000000000003</v>
      </c>
      <c r="R681" s="29">
        <f t="shared" ca="1" si="87"/>
        <v>9.4389582879038959E-3</v>
      </c>
      <c r="S681" s="30">
        <f t="shared" ca="1" si="88"/>
        <v>-7.6548364648573028E-3</v>
      </c>
      <c r="T681" s="30">
        <f t="shared" ca="1" si="89"/>
        <v>1.1914680886518971E-2</v>
      </c>
      <c r="U681" s="30">
        <f t="shared" ca="1" si="90"/>
        <v>-1.6553681223395377E-3</v>
      </c>
      <c r="V681" s="30">
        <f t="shared" ca="1" si="91"/>
        <v>0.36795774647887325</v>
      </c>
      <c r="W681" s="30">
        <f t="shared" ca="1" si="94"/>
        <v>5.0475915777328283E-3</v>
      </c>
      <c r="X681" s="30">
        <f t="shared" ca="1" si="92"/>
        <v>-1.7205203524968384E-2</v>
      </c>
      <c r="Y681" s="31">
        <f t="shared" ca="1" si="93"/>
        <v>1.1761338502771338E-2</v>
      </c>
    </row>
    <row r="682" spans="2:25" x14ac:dyDescent="0.45">
      <c r="B682" vm="5498">
        <f ca="1"/>
        <v>45153</v>
      </c>
      <c r="C682" vm="5499">
        <f ca="1"/>
        <v>321.86</v>
      </c>
      <c r="D682" vm="5498">
        <f ca="1"/>
        <v>45153</v>
      </c>
      <c r="E682" vm="5500">
        <f ca="1"/>
        <v>14.14</v>
      </c>
      <c r="F682" vm="5498">
        <f ca="1"/>
        <v>45153</v>
      </c>
      <c r="G682" vm="5501">
        <f ca="1"/>
        <v>239.83</v>
      </c>
      <c r="H682" vm="5498">
        <f ca="1"/>
        <v>45153</v>
      </c>
      <c r="I682" vm="4710">
        <f ca="1"/>
        <v>125.65</v>
      </c>
      <c r="J682" vm="5498">
        <f ca="1"/>
        <v>45153</v>
      </c>
      <c r="K682" vm="5502">
        <f ca="1"/>
        <v>30.23</v>
      </c>
      <c r="L682" vm="5498">
        <f ca="1"/>
        <v>45153</v>
      </c>
      <c r="M682" vm="3519">
        <f ca="1"/>
        <v>133.43</v>
      </c>
      <c r="N682" vm="5498">
        <f ca="1"/>
        <v>45153</v>
      </c>
      <c r="O682" vm="5503">
        <f ca="1"/>
        <v>99.08</v>
      </c>
      <c r="P682" vm="5498">
        <f ca="1"/>
        <v>45153</v>
      </c>
      <c r="Q682" vm="5504">
        <f ca="1"/>
        <v>37.615000000000002</v>
      </c>
      <c r="R682" s="29">
        <f t="shared" ca="1" si="87"/>
        <v>-6.7275644982101182E-3</v>
      </c>
      <c r="S682" s="30">
        <f t="shared" ca="1" si="88"/>
        <v>-8.4151472650770848E-3</v>
      </c>
      <c r="T682" s="30">
        <f t="shared" ca="1" si="89"/>
        <v>-1.2638946068340852E-2</v>
      </c>
      <c r="U682" s="30">
        <f t="shared" ca="1" si="90"/>
        <v>-7.895775759968417E-3</v>
      </c>
      <c r="V682" s="30">
        <f t="shared" ca="1" si="91"/>
        <v>-2.7348777348777283E-2</v>
      </c>
      <c r="W682" s="30">
        <f t="shared" ca="1" si="94"/>
        <v>-4.2689051513846957E-2</v>
      </c>
      <c r="X682" s="30">
        <f t="shared" ca="1" si="92"/>
        <v>5.7643040136635258E-2</v>
      </c>
      <c r="Y682" s="31">
        <f t="shared" ca="1" si="93"/>
        <v>-3.2610652470231219E-2</v>
      </c>
    </row>
    <row r="683" spans="2:25" x14ac:dyDescent="0.45">
      <c r="B683" vm="5505">
        <f ca="1"/>
        <v>45154</v>
      </c>
      <c r="C683" vm="5506">
        <f ca="1"/>
        <v>320.39999999999998</v>
      </c>
      <c r="D683" vm="5505">
        <f ca="1"/>
        <v>45154</v>
      </c>
      <c r="E683" vm="5507">
        <f ca="1"/>
        <v>14.1</v>
      </c>
      <c r="F683" vm="5505">
        <f ca="1"/>
        <v>45154</v>
      </c>
      <c r="G683" vm="5462">
        <f ca="1"/>
        <v>239.29</v>
      </c>
      <c r="H683" vm="5505">
        <f ca="1"/>
        <v>45154</v>
      </c>
      <c r="I683" vm="5508">
        <f ca="1"/>
        <v>121.36</v>
      </c>
      <c r="J683" vm="5505">
        <f ca="1"/>
        <v>45154</v>
      </c>
      <c r="K683" vm="5509">
        <f ca="1"/>
        <v>30.65</v>
      </c>
      <c r="L683" vm="5505">
        <f ca="1"/>
        <v>45154</v>
      </c>
      <c r="M683" vm="5510">
        <f ca="1"/>
        <v>134.35</v>
      </c>
      <c r="N683" vm="5505">
        <f ca="1"/>
        <v>45154</v>
      </c>
      <c r="O683" vm="5511">
        <f ca="1"/>
        <v>100.68</v>
      </c>
      <c r="P683" vm="5505">
        <f ca="1"/>
        <v>45154</v>
      </c>
      <c r="Q683" vm="5512">
        <f ca="1"/>
        <v>36.966999999999999</v>
      </c>
      <c r="R683" s="29">
        <f t="shared" ca="1" si="87"/>
        <v>-4.5361337227367068E-3</v>
      </c>
      <c r="S683" s="30">
        <f t="shared" ca="1" si="88"/>
        <v>-2.828854314002894E-3</v>
      </c>
      <c r="T683" s="30">
        <f t="shared" ca="1" si="89"/>
        <v>-2.2515948797065441E-3</v>
      </c>
      <c r="U683" s="30">
        <f t="shared" ca="1" si="90"/>
        <v>-3.4142459212097145E-2</v>
      </c>
      <c r="V683" s="30">
        <f t="shared" ca="1" si="91"/>
        <v>1.3893483294740263E-2</v>
      </c>
      <c r="W683" s="30">
        <f t="shared" ca="1" si="94"/>
        <v>6.895001124184872E-3</v>
      </c>
      <c r="X683" s="30">
        <f t="shared" ca="1" si="92"/>
        <v>1.6148566814695283E-2</v>
      </c>
      <c r="Y683" s="31">
        <f t="shared" ca="1" si="93"/>
        <v>-1.7227170011963399E-2</v>
      </c>
    </row>
    <row r="684" spans="2:25" x14ac:dyDescent="0.45">
      <c r="B684" vm="5513">
        <f ca="1"/>
        <v>45155</v>
      </c>
      <c r="C684" vm="5514">
        <f ca="1"/>
        <v>316.88</v>
      </c>
      <c r="D684" vm="5513">
        <f ca="1"/>
        <v>45155</v>
      </c>
      <c r="E684" vm="5452">
        <f ca="1"/>
        <v>14.01</v>
      </c>
      <c r="F684" vm="5513">
        <f ca="1"/>
        <v>45155</v>
      </c>
      <c r="G684" vm="5515">
        <f ca="1"/>
        <v>237.37</v>
      </c>
      <c r="H684" vm="5513">
        <f ca="1"/>
        <v>45155</v>
      </c>
      <c r="I684" vm="5516">
        <f ca="1"/>
        <v>120.85</v>
      </c>
      <c r="J684" vm="5513">
        <f ca="1"/>
        <v>45155</v>
      </c>
      <c r="K684" vm="5517">
        <f ca="1"/>
        <v>30.71</v>
      </c>
      <c r="L684" vm="5513">
        <f ca="1"/>
        <v>45155</v>
      </c>
      <c r="M684" vm="5518">
        <f ca="1"/>
        <v>131.57</v>
      </c>
      <c r="N684" vm="5513">
        <f ca="1"/>
        <v>45155</v>
      </c>
      <c r="O684" vm="5519">
        <f ca="1"/>
        <v>105.52</v>
      </c>
      <c r="P684" vm="5513">
        <f ca="1"/>
        <v>45155</v>
      </c>
      <c r="Q684" vm="5520">
        <f ca="1"/>
        <v>34.679000000000002</v>
      </c>
      <c r="R684" s="29">
        <f t="shared" ca="1" si="87"/>
        <v>-1.0986267166042391E-2</v>
      </c>
      <c r="S684" s="30">
        <f t="shared" ca="1" si="88"/>
        <v>-6.3829787234042454E-3</v>
      </c>
      <c r="T684" s="30">
        <f t="shared" ca="1" si="89"/>
        <v>-8.0237368882944866E-3</v>
      </c>
      <c r="U684" s="30">
        <f t="shared" ca="1" si="90"/>
        <v>-4.2023731048121717E-3</v>
      </c>
      <c r="V684" s="30">
        <f t="shared" ca="1" si="91"/>
        <v>1.9575856443720153E-3</v>
      </c>
      <c r="W684" s="30">
        <f t="shared" ca="1" si="94"/>
        <v>-2.0692221808708607E-2</v>
      </c>
      <c r="X684" s="30">
        <f t="shared" ca="1" si="92"/>
        <v>4.8073102900277997E-2</v>
      </c>
      <c r="Y684" s="31">
        <f t="shared" ca="1" si="93"/>
        <v>-6.1893039738144744E-2</v>
      </c>
    </row>
    <row r="685" spans="2:25" x14ac:dyDescent="0.45">
      <c r="B685" vm="5521">
        <f ca="1"/>
        <v>45156</v>
      </c>
      <c r="C685" vm="5522">
        <f ca="1"/>
        <v>316.48</v>
      </c>
      <c r="D685" vm="5521">
        <f ca="1"/>
        <v>45156</v>
      </c>
      <c r="E685" vm="5523">
        <f ca="1"/>
        <v>14.05</v>
      </c>
      <c r="F685" vm="5521">
        <f ca="1"/>
        <v>45156</v>
      </c>
      <c r="G685" vm="5524">
        <f ca="1"/>
        <v>238.17</v>
      </c>
      <c r="H685" vm="5521">
        <f ca="1"/>
        <v>45156</v>
      </c>
      <c r="I685" vm="5525">
        <f ca="1"/>
        <v>119.25</v>
      </c>
      <c r="J685" vm="5521">
        <f ca="1"/>
        <v>45156</v>
      </c>
      <c r="K685" vm="5526">
        <f ca="1"/>
        <v>30.99</v>
      </c>
      <c r="L685" vm="5521">
        <f ca="1"/>
        <v>45156</v>
      </c>
      <c r="M685" vm="944">
        <f ca="1"/>
        <v>131.87</v>
      </c>
      <c r="N685" vm="5521">
        <f ca="1"/>
        <v>45156</v>
      </c>
      <c r="O685" vm="5527">
        <f ca="1"/>
        <v>102.84</v>
      </c>
      <c r="P685" vm="5521">
        <f ca="1"/>
        <v>45156</v>
      </c>
      <c r="Q685" vm="5528">
        <f ca="1"/>
        <v>32.862000000000002</v>
      </c>
      <c r="R685" s="29">
        <f t="shared" ca="1" si="87"/>
        <v>-1.2623074981064669E-3</v>
      </c>
      <c r="S685" s="30">
        <f t="shared" ca="1" si="88"/>
        <v>2.8551034975018504E-3</v>
      </c>
      <c r="T685" s="30">
        <f t="shared" ca="1" si="89"/>
        <v>3.3702658297172471E-3</v>
      </c>
      <c r="U685" s="30">
        <f t="shared" ca="1" si="90"/>
        <v>-1.3239553165080633E-2</v>
      </c>
      <c r="V685" s="30">
        <f t="shared" ca="1" si="91"/>
        <v>9.1175512862259056E-3</v>
      </c>
      <c r="W685" s="30">
        <f t="shared" ca="1" si="94"/>
        <v>2.2801550505435236E-3</v>
      </c>
      <c r="X685" s="30">
        <f t="shared" ca="1" si="92"/>
        <v>-2.5398028809704251E-2</v>
      </c>
      <c r="Y685" s="31">
        <f t="shared" ca="1" si="93"/>
        <v>-5.2394821073272008E-2</v>
      </c>
    </row>
    <row r="686" spans="2:25" x14ac:dyDescent="0.45">
      <c r="B686" vm="5529">
        <f ca="1"/>
        <v>45159</v>
      </c>
      <c r="C686" vm="5530">
        <f ca="1"/>
        <v>321.88</v>
      </c>
      <c r="D686" vm="5529">
        <f ca="1"/>
        <v>45159</v>
      </c>
      <c r="E686" vm="5507">
        <f ca="1"/>
        <v>14.1</v>
      </c>
      <c r="F686" vm="5529">
        <f ca="1"/>
        <v>45159</v>
      </c>
      <c r="G686" vm="5531">
        <f ca="1"/>
        <v>239.46</v>
      </c>
      <c r="H686" vm="5529">
        <f ca="1"/>
        <v>45159</v>
      </c>
      <c r="I686" vm="4602">
        <f ca="1"/>
        <v>118.86</v>
      </c>
      <c r="J686" vm="5529">
        <f ca="1"/>
        <v>45159</v>
      </c>
      <c r="K686" vm="5532">
        <f ca="1"/>
        <v>31.93</v>
      </c>
      <c r="L686" vm="5529">
        <f ca="1"/>
        <v>45159</v>
      </c>
      <c r="M686" vm="5533">
        <f ca="1"/>
        <v>132.49</v>
      </c>
      <c r="N686" vm="5529">
        <f ca="1"/>
        <v>45159</v>
      </c>
      <c r="O686" vm="5534">
        <f ca="1"/>
        <v>100.12</v>
      </c>
      <c r="P686" vm="5529">
        <f ca="1"/>
        <v>45159</v>
      </c>
      <c r="Q686" vm="5535">
        <f ca="1"/>
        <v>33.524999999999999</v>
      </c>
      <c r="R686" s="29">
        <f t="shared" ca="1" si="87"/>
        <v>1.7062689585439765E-2</v>
      </c>
      <c r="S686" s="30">
        <f t="shared" ca="1" si="88"/>
        <v>3.5587188612098883E-3</v>
      </c>
      <c r="T686" s="30">
        <f t="shared" ca="1" si="89"/>
        <v>5.41629928202553E-3</v>
      </c>
      <c r="U686" s="30">
        <f t="shared" ca="1" si="90"/>
        <v>-3.2704402515723319E-3</v>
      </c>
      <c r="V686" s="30">
        <f t="shared" ca="1" si="91"/>
        <v>3.033236527912234E-2</v>
      </c>
      <c r="W686" s="30">
        <f t="shared" ca="1" si="94"/>
        <v>4.7016000606658415E-3</v>
      </c>
      <c r="X686" s="30">
        <f t="shared" ca="1" si="92"/>
        <v>-2.6448852586542188E-2</v>
      </c>
      <c r="Y686" s="31">
        <f t="shared" ca="1" si="93"/>
        <v>2.01752784371005E-2</v>
      </c>
    </row>
    <row r="687" spans="2:25" x14ac:dyDescent="0.45">
      <c r="B687" vm="5536">
        <f ca="1"/>
        <v>45160</v>
      </c>
      <c r="C687" vm="5537">
        <f ca="1"/>
        <v>322.45999999999998</v>
      </c>
      <c r="D687" vm="5536">
        <f ca="1"/>
        <v>45160</v>
      </c>
      <c r="E687" vm="5491">
        <f ca="1"/>
        <v>14.26</v>
      </c>
      <c r="F687" vm="5536">
        <f ca="1"/>
        <v>45160</v>
      </c>
      <c r="G687" vm="5538">
        <f ca="1"/>
        <v>240.57</v>
      </c>
      <c r="H687" vm="5536">
        <f ca="1"/>
        <v>45160</v>
      </c>
      <c r="I687" vm="5539">
        <f ca="1"/>
        <v>117.64</v>
      </c>
      <c r="J687" vm="5536">
        <f ca="1"/>
        <v>45160</v>
      </c>
      <c r="K687" vm="5540">
        <f ca="1"/>
        <v>32.020000000000003</v>
      </c>
      <c r="L687" vm="5536">
        <f ca="1"/>
        <v>45160</v>
      </c>
      <c r="M687" vm="5541">
        <f ca="1"/>
        <v>133.44</v>
      </c>
      <c r="N687" vm="5536">
        <f ca="1"/>
        <v>45160</v>
      </c>
      <c r="O687" vm="5542">
        <f ca="1"/>
        <v>100.56</v>
      </c>
      <c r="P687" vm="5536">
        <f ca="1"/>
        <v>45160</v>
      </c>
      <c r="Q687" vm="5543">
        <f ca="1"/>
        <v>32.951000000000001</v>
      </c>
      <c r="R687" s="29">
        <f t="shared" ca="1" si="87"/>
        <v>1.8019137566794585E-3</v>
      </c>
      <c r="S687" s="30">
        <f t="shared" ca="1" si="88"/>
        <v>1.1347517730496465E-2</v>
      </c>
      <c r="T687" s="30">
        <f t="shared" ca="1" si="89"/>
        <v>4.6354297168628798E-3</v>
      </c>
      <c r="U687" s="30">
        <f t="shared" ca="1" si="90"/>
        <v>-1.0264176341914849E-2</v>
      </c>
      <c r="V687" s="30">
        <f t="shared" ca="1" si="91"/>
        <v>2.818665831506527E-3</v>
      </c>
      <c r="W687" s="30">
        <f t="shared" ca="1" si="94"/>
        <v>7.1703524794323233E-3</v>
      </c>
      <c r="X687" s="30">
        <f t="shared" ca="1" si="92"/>
        <v>4.39472632840589E-3</v>
      </c>
      <c r="Y687" s="31">
        <f t="shared" ca="1" si="93"/>
        <v>-1.712155108128257E-2</v>
      </c>
    </row>
    <row r="688" spans="2:25" x14ac:dyDescent="0.45">
      <c r="B688" vm="5544">
        <f ca="1"/>
        <v>45161</v>
      </c>
      <c r="C688" vm="5545">
        <f ca="1"/>
        <v>327</v>
      </c>
      <c r="D688" vm="5544">
        <f ca="1"/>
        <v>45161</v>
      </c>
      <c r="E688" vm="5546">
        <f ca="1"/>
        <v>14.16</v>
      </c>
      <c r="F688" vm="5544">
        <f ca="1"/>
        <v>45161</v>
      </c>
      <c r="G688" vm="5547">
        <f ca="1"/>
        <v>242.3</v>
      </c>
      <c r="H688" vm="5544">
        <f ca="1"/>
        <v>45161</v>
      </c>
      <c r="I688" vm="5548">
        <f ca="1"/>
        <v>119.13</v>
      </c>
      <c r="J688" vm="5544">
        <f ca="1"/>
        <v>45161</v>
      </c>
      <c r="K688" vm="5549">
        <f ca="1"/>
        <v>31.32</v>
      </c>
      <c r="L688" vm="5544">
        <f ca="1"/>
        <v>45161</v>
      </c>
      <c r="M688" vm="5550">
        <f ca="1"/>
        <v>138.24</v>
      </c>
      <c r="N688" vm="5544">
        <f ca="1"/>
        <v>45161</v>
      </c>
      <c r="O688" vm="5551">
        <f ca="1"/>
        <v>97.22</v>
      </c>
      <c r="P688" vm="5544">
        <f ca="1"/>
        <v>45161</v>
      </c>
      <c r="Q688" vm="5552">
        <f ca="1"/>
        <v>34.64</v>
      </c>
      <c r="R688" s="29">
        <f t="shared" ca="1" si="87"/>
        <v>1.4079265645351426E-2</v>
      </c>
      <c r="S688" s="30">
        <f t="shared" ca="1" si="88"/>
        <v>-7.0126227208975912E-3</v>
      </c>
      <c r="T688" s="30">
        <f t="shared" ca="1" si="89"/>
        <v>7.1912541048344278E-3</v>
      </c>
      <c r="U688" s="30">
        <f t="shared" ca="1" si="90"/>
        <v>1.2665759945596692E-2</v>
      </c>
      <c r="V688" s="30">
        <f t="shared" ca="1" si="91"/>
        <v>-2.1861336664584723E-2</v>
      </c>
      <c r="W688" s="30">
        <f t="shared" ca="1" si="94"/>
        <v>3.5971223021582822E-2</v>
      </c>
      <c r="X688" s="30">
        <f t="shared" ca="1" si="92"/>
        <v>-3.3214001591089927E-2</v>
      </c>
      <c r="Y688" s="31">
        <f t="shared" ca="1" si="93"/>
        <v>5.1257928439197596E-2</v>
      </c>
    </row>
    <row r="689" spans="2:25" x14ac:dyDescent="0.45">
      <c r="B689" vm="5553">
        <f ca="1"/>
        <v>45162</v>
      </c>
      <c r="C689" vm="5554">
        <f ca="1"/>
        <v>319.97000000000003</v>
      </c>
      <c r="D689" vm="5553">
        <f ca="1"/>
        <v>45162</v>
      </c>
      <c r="E689" vm="5555">
        <f ca="1"/>
        <v>14.15</v>
      </c>
      <c r="F689" vm="5553">
        <f ca="1"/>
        <v>45162</v>
      </c>
      <c r="G689" vm="5556">
        <f ca="1"/>
        <v>239.47</v>
      </c>
      <c r="H689" vm="5553">
        <f ca="1"/>
        <v>45162</v>
      </c>
      <c r="I689" vm="5077">
        <f ca="1"/>
        <v>119.49</v>
      </c>
      <c r="J689" vm="5553">
        <f ca="1"/>
        <v>45162</v>
      </c>
      <c r="K689" vm="5557">
        <f ca="1"/>
        <v>30.45</v>
      </c>
      <c r="L689" vm="5553">
        <f ca="1"/>
        <v>45162</v>
      </c>
      <c r="M689" vm="5558">
        <f ca="1"/>
        <v>135.76</v>
      </c>
      <c r="N689" vm="5553">
        <f ca="1"/>
        <v>45162</v>
      </c>
      <c r="O689" vm="5559">
        <f ca="1"/>
        <v>101.2</v>
      </c>
      <c r="P689" vm="5553">
        <f ca="1"/>
        <v>45162</v>
      </c>
      <c r="Q689" vm="5560">
        <f ca="1"/>
        <v>33.655999999999999</v>
      </c>
      <c r="R689" s="29">
        <f t="shared" ca="1" si="87"/>
        <v>-2.149847094801215E-2</v>
      </c>
      <c r="S689" s="30">
        <f t="shared" ca="1" si="88"/>
        <v>-7.0621468926552165E-4</v>
      </c>
      <c r="T689" s="30">
        <f t="shared" ca="1" si="89"/>
        <v>-1.1679735864630674E-2</v>
      </c>
      <c r="U689" s="30">
        <f t="shared" ca="1" si="90"/>
        <v>3.0219088390833495E-3</v>
      </c>
      <c r="V689" s="30">
        <f t="shared" ca="1" si="91"/>
        <v>-2.7777777777777811E-2</v>
      </c>
      <c r="W689" s="30">
        <f t="shared" ca="1" si="94"/>
        <v>-1.7939814814814947E-2</v>
      </c>
      <c r="X689" s="30">
        <f t="shared" ca="1" si="92"/>
        <v>4.0938078584653405E-2</v>
      </c>
      <c r="Y689" s="31">
        <f t="shared" ca="1" si="93"/>
        <v>-2.8406466512702129E-2</v>
      </c>
    </row>
    <row r="690" spans="2:25" x14ac:dyDescent="0.45">
      <c r="B690" vm="5561">
        <f ca="1"/>
        <v>45163</v>
      </c>
      <c r="C690" vm="5562">
        <f ca="1"/>
        <v>322.98</v>
      </c>
      <c r="D690" vm="5561">
        <f ca="1"/>
        <v>45163</v>
      </c>
      <c r="E690" vm="5563">
        <f ca="1"/>
        <v>14.11</v>
      </c>
      <c r="F690" vm="5561">
        <f ca="1"/>
        <v>45163</v>
      </c>
      <c r="G690" vm="5564">
        <f ca="1"/>
        <v>242.57</v>
      </c>
      <c r="H690" vm="5561">
        <f ca="1"/>
        <v>45163</v>
      </c>
      <c r="I690" vm="5565">
        <f ca="1"/>
        <v>119.68</v>
      </c>
      <c r="J690" vm="5561">
        <f ca="1"/>
        <v>45163</v>
      </c>
      <c r="K690" vm="5566">
        <f ca="1"/>
        <v>30.29</v>
      </c>
      <c r="L690" vm="5561">
        <f ca="1"/>
        <v>45163</v>
      </c>
      <c r="M690" vm="5567">
        <f ca="1"/>
        <v>137.22</v>
      </c>
      <c r="N690" vm="5561">
        <f ca="1"/>
        <v>45163</v>
      </c>
      <c r="O690" vm="5568">
        <f ca="1"/>
        <v>96.8</v>
      </c>
      <c r="P690" vm="5561">
        <f ca="1"/>
        <v>45163</v>
      </c>
      <c r="Q690" vm="5569">
        <f ca="1"/>
        <v>33.604999999999997</v>
      </c>
      <c r="R690" s="29">
        <f t="shared" ca="1" si="87"/>
        <v>9.407131918617341E-3</v>
      </c>
      <c r="S690" s="30">
        <f t="shared" ca="1" si="88"/>
        <v>-2.826855123674977E-3</v>
      </c>
      <c r="T690" s="30">
        <f t="shared" ca="1" si="89"/>
        <v>1.2945254102810349E-2</v>
      </c>
      <c r="U690" s="30">
        <f t="shared" ca="1" si="90"/>
        <v>1.5900912210227798E-3</v>
      </c>
      <c r="V690" s="30">
        <f t="shared" ca="1" si="91"/>
        <v>-5.2545155993431901E-3</v>
      </c>
      <c r="W690" s="30">
        <f t="shared" ca="1" si="94"/>
        <v>1.0754272245138538E-2</v>
      </c>
      <c r="X690" s="30">
        <f t="shared" ca="1" si="92"/>
        <v>-4.3478260869565272E-2</v>
      </c>
      <c r="Y690" s="31">
        <f t="shared" ca="1" si="93"/>
        <v>-1.5153315902068556E-3</v>
      </c>
    </row>
    <row r="691" spans="2:25" x14ac:dyDescent="0.45">
      <c r="B691" vm="5570">
        <f ca="1"/>
        <v>45166</v>
      </c>
      <c r="C691" vm="5571">
        <f ca="1"/>
        <v>323.7</v>
      </c>
      <c r="D691" vm="5570">
        <f ca="1"/>
        <v>45166</v>
      </c>
      <c r="E691" vm="5572">
        <f ca="1"/>
        <v>14.21</v>
      </c>
      <c r="F691" vm="5570">
        <f ca="1"/>
        <v>45166</v>
      </c>
      <c r="G691" vm="1859">
        <f ca="1"/>
        <v>243.83</v>
      </c>
      <c r="H691" vm="5570">
        <f ca="1"/>
        <v>45166</v>
      </c>
      <c r="I691" vm="5573">
        <f ca="1"/>
        <v>119.92</v>
      </c>
      <c r="J691" vm="5570">
        <f ca="1"/>
        <v>45166</v>
      </c>
      <c r="K691" vm="4564">
        <f ca="1"/>
        <v>29.92</v>
      </c>
      <c r="L691" vm="5570">
        <f ca="1"/>
        <v>45166</v>
      </c>
      <c r="M691" vm="5574">
        <f ca="1"/>
        <v>141.26</v>
      </c>
      <c r="N691" vm="5570">
        <f ca="1"/>
        <v>45166</v>
      </c>
      <c r="O691" vm="5575">
        <f ca="1"/>
        <v>93</v>
      </c>
      <c r="P691" vm="5570">
        <f ca="1"/>
        <v>45166</v>
      </c>
      <c r="Q691" vm="5576">
        <f ca="1"/>
        <v>34.436999999999998</v>
      </c>
      <c r="R691" s="29">
        <f t="shared" ca="1" si="87"/>
        <v>2.2292402006315265E-3</v>
      </c>
      <c r="S691" s="30">
        <f t="shared" ca="1" si="88"/>
        <v>7.0871722182850056E-3</v>
      </c>
      <c r="T691" s="30">
        <f t="shared" ca="1" si="89"/>
        <v>5.1943768809004382E-3</v>
      </c>
      <c r="U691" s="30">
        <f t="shared" ca="1" si="90"/>
        <v>2.005347593582845E-3</v>
      </c>
      <c r="V691" s="30">
        <f t="shared" ca="1" si="91"/>
        <v>-1.2215252558600113E-2</v>
      </c>
      <c r="W691" s="30">
        <f t="shared" ca="1" si="94"/>
        <v>2.9441772336394053E-2</v>
      </c>
      <c r="X691" s="30">
        <f t="shared" ca="1" si="92"/>
        <v>-3.9256198347107411E-2</v>
      </c>
      <c r="Y691" s="31">
        <f t="shared" ca="1" si="93"/>
        <v>2.4758220502901378E-2</v>
      </c>
    </row>
    <row r="692" spans="2:25" x14ac:dyDescent="0.45">
      <c r="B692" vm="5577">
        <f ca="1"/>
        <v>45167</v>
      </c>
      <c r="C692" vm="5578">
        <f ca="1"/>
        <v>328.41</v>
      </c>
      <c r="D692" vm="5577">
        <f ca="1"/>
        <v>45167</v>
      </c>
      <c r="E692" vm="5579">
        <f ca="1"/>
        <v>14.77</v>
      </c>
      <c r="F692" vm="5577">
        <f ca="1"/>
        <v>45167</v>
      </c>
      <c r="G692" vm="5580">
        <f ca="1"/>
        <v>245.34</v>
      </c>
      <c r="H692" vm="5577">
        <f ca="1"/>
        <v>45167</v>
      </c>
      <c r="I692" vm="5581">
        <f ca="1"/>
        <v>122.02</v>
      </c>
      <c r="J692" vm="5577">
        <f ca="1"/>
        <v>45167</v>
      </c>
      <c r="K692" vm="5582">
        <f ca="1"/>
        <v>30.87</v>
      </c>
      <c r="L692" vm="5577">
        <f ca="1"/>
        <v>45167</v>
      </c>
      <c r="M692" vm="5583">
        <f ca="1"/>
        <v>144.51</v>
      </c>
      <c r="N692" vm="5577">
        <f ca="1"/>
        <v>45167</v>
      </c>
      <c r="O692" vm="5395">
        <f ca="1"/>
        <v>90.68</v>
      </c>
      <c r="P692" vm="5577">
        <f ca="1"/>
        <v>45167</v>
      </c>
      <c r="Q692" vm="5584">
        <f ca="1"/>
        <v>38.152000000000001</v>
      </c>
      <c r="R692" s="29">
        <f t="shared" ca="1" si="87"/>
        <v>1.4550509731232735E-2</v>
      </c>
      <c r="S692" s="30">
        <f t="shared" ca="1" si="88"/>
        <v>3.9408866995073802E-2</v>
      </c>
      <c r="T692" s="30">
        <f t="shared" ca="1" si="89"/>
        <v>6.1928392732641217E-3</v>
      </c>
      <c r="U692" s="30">
        <f t="shared" ca="1" si="90"/>
        <v>1.7511674449633041E-2</v>
      </c>
      <c r="V692" s="30">
        <f t="shared" ca="1" si="91"/>
        <v>3.1751336898395696E-2</v>
      </c>
      <c r="W692" s="30">
        <f t="shared" ca="1" si="94"/>
        <v>2.3007220727736092E-2</v>
      </c>
      <c r="X692" s="30">
        <f t="shared" ca="1" si="92"/>
        <v>-2.494623655913971E-2</v>
      </c>
      <c r="Y692" s="31">
        <f t="shared" ca="1" si="93"/>
        <v>0.1078781543107705</v>
      </c>
    </row>
    <row r="693" spans="2:25" x14ac:dyDescent="0.45">
      <c r="B693" vm="5585">
        <f ca="1"/>
        <v>45168</v>
      </c>
      <c r="C693" vm="5586">
        <f ca="1"/>
        <v>328.79</v>
      </c>
      <c r="D693" vm="5585">
        <f ca="1"/>
        <v>45168</v>
      </c>
      <c r="E693" vm="5587">
        <f ca="1"/>
        <v>14.73</v>
      </c>
      <c r="F693" vm="5585">
        <f ca="1"/>
        <v>45168</v>
      </c>
      <c r="G693" vm="950">
        <f ca="1"/>
        <v>246.23</v>
      </c>
      <c r="H693" vm="5585">
        <f ca="1"/>
        <v>45168</v>
      </c>
      <c r="I693" vm="5588">
        <f ca="1"/>
        <v>122.68</v>
      </c>
      <c r="J693" vm="5585">
        <f ca="1"/>
        <v>45168</v>
      </c>
      <c r="K693" vm="5589">
        <f ca="1"/>
        <v>30.73</v>
      </c>
      <c r="L693" vm="5585">
        <f ca="1"/>
        <v>45168</v>
      </c>
      <c r="M693" vm="5590">
        <f ca="1"/>
        <v>149.44999999999999</v>
      </c>
      <c r="N693" vm="5585">
        <f ca="1"/>
        <v>45168</v>
      </c>
      <c r="O693" vm="5591">
        <f ca="1"/>
        <v>87.96</v>
      </c>
      <c r="P693" vm="5585">
        <f ca="1"/>
        <v>45168</v>
      </c>
      <c r="Q693" vm="5592">
        <f ca="1"/>
        <v>37.167999999999999</v>
      </c>
      <c r="R693" s="29">
        <f t="shared" ca="1" si="87"/>
        <v>1.1570902225876052E-3</v>
      </c>
      <c r="S693" s="30">
        <f t="shared" ca="1" si="88"/>
        <v>-2.7081922816519395E-3</v>
      </c>
      <c r="T693" s="30">
        <f t="shared" ca="1" si="89"/>
        <v>3.6276188147060665E-3</v>
      </c>
      <c r="U693" s="30">
        <f t="shared" ca="1" si="90"/>
        <v>5.4089493525652423E-3</v>
      </c>
      <c r="V693" s="30">
        <f t="shared" ca="1" si="91"/>
        <v>-4.5351473922902678E-3</v>
      </c>
      <c r="W693" s="30">
        <f t="shared" ca="1" si="94"/>
        <v>3.4184485502733362E-2</v>
      </c>
      <c r="X693" s="30">
        <f t="shared" ca="1" si="92"/>
        <v>-2.9995588883987789E-2</v>
      </c>
      <c r="Y693" s="31">
        <f t="shared" ca="1" si="93"/>
        <v>-2.5791570559865844E-2</v>
      </c>
    </row>
    <row r="694" spans="2:25" x14ac:dyDescent="0.45">
      <c r="B694" vm="5593">
        <f ca="1"/>
        <v>45169</v>
      </c>
      <c r="C694" vm="5594">
        <f ca="1"/>
        <v>327.76</v>
      </c>
      <c r="D694" vm="5593">
        <f ca="1"/>
        <v>45169</v>
      </c>
      <c r="E694" vm="5595">
        <f ca="1"/>
        <v>14.79</v>
      </c>
      <c r="F694" vm="5593">
        <f ca="1"/>
        <v>45169</v>
      </c>
      <c r="G694" vm="5596">
        <f ca="1"/>
        <v>245.68</v>
      </c>
      <c r="H694" vm="5593">
        <f ca="1"/>
        <v>45169</v>
      </c>
      <c r="I694" vm="5597">
        <f ca="1"/>
        <v>121.07</v>
      </c>
      <c r="J694" vm="5593">
        <f ca="1"/>
        <v>45169</v>
      </c>
      <c r="K694" vm="5598">
        <f ca="1"/>
        <v>31.09</v>
      </c>
      <c r="L694" vm="5593">
        <f ca="1"/>
        <v>45169</v>
      </c>
      <c r="M694" vm="5599">
        <f ca="1"/>
        <v>153.97</v>
      </c>
      <c r="N694" vm="5593">
        <f ca="1"/>
        <v>45169</v>
      </c>
      <c r="O694" vm="2012">
        <f ca="1"/>
        <v>86</v>
      </c>
      <c r="P694" vm="5593">
        <f ca="1"/>
        <v>45169</v>
      </c>
      <c r="Q694" vm="5600">
        <f ca="1"/>
        <v>35.753</v>
      </c>
      <c r="R694" s="29">
        <f t="shared" ca="1" si="87"/>
        <v>-3.1326986830500607E-3</v>
      </c>
      <c r="S694" s="30">
        <f t="shared" ca="1" si="88"/>
        <v>4.0733197556007275E-3</v>
      </c>
      <c r="T694" s="30">
        <f t="shared" ca="1" si="89"/>
        <v>-2.2336839540266539E-3</v>
      </c>
      <c r="U694" s="30">
        <f t="shared" ca="1" si="90"/>
        <v>-1.3123573524617E-2</v>
      </c>
      <c r="V694" s="30">
        <f t="shared" ca="1" si="91"/>
        <v>1.1714936544093701E-2</v>
      </c>
      <c r="W694" s="30">
        <f t="shared" ca="1" si="94"/>
        <v>3.0244228839076685E-2</v>
      </c>
      <c r="X694" s="30">
        <f t="shared" ca="1" si="92"/>
        <v>-2.2282855843565187E-2</v>
      </c>
      <c r="Y694" s="31">
        <f t="shared" ca="1" si="93"/>
        <v>-3.8070383125269024E-2</v>
      </c>
    </row>
    <row r="695" spans="2:25" x14ac:dyDescent="0.45">
      <c r="B695" vm="5601">
        <f ca="1"/>
        <v>45170</v>
      </c>
      <c r="C695" vm="5602">
        <f ca="1"/>
        <v>328.66</v>
      </c>
      <c r="D695" vm="5601">
        <f ca="1"/>
        <v>45170</v>
      </c>
      <c r="E695" vm="5603">
        <f ca="1"/>
        <v>14.65</v>
      </c>
      <c r="F695" vm="5601">
        <f ca="1"/>
        <v>45170</v>
      </c>
      <c r="G695" vm="5604">
        <f ca="1"/>
        <v>248.11</v>
      </c>
      <c r="H695" vm="5601">
        <f ca="1"/>
        <v>45170</v>
      </c>
      <c r="I695" vm="5605">
        <f ca="1"/>
        <v>121.91</v>
      </c>
      <c r="J695" vm="5601">
        <f ca="1"/>
        <v>45170</v>
      </c>
      <c r="K695" vm="5606">
        <f ca="1"/>
        <v>31.04</v>
      </c>
      <c r="L695" vm="5601">
        <f ca="1"/>
        <v>45170</v>
      </c>
      <c r="M695" vm="5607">
        <f ca="1"/>
        <v>157.56</v>
      </c>
      <c r="N695" vm="5601">
        <f ca="1"/>
        <v>45170</v>
      </c>
      <c r="O695" vm="5608">
        <f ca="1"/>
        <v>84.84</v>
      </c>
      <c r="P695" vm="5601">
        <f ca="1"/>
        <v>45170</v>
      </c>
      <c r="Q695" vm="5609">
        <f ca="1"/>
        <v>35.148000000000003</v>
      </c>
      <c r="R695" s="29">
        <f t="shared" ca="1" si="87"/>
        <v>2.7459116426654692E-3</v>
      </c>
      <c r="S695" s="30">
        <f t="shared" ca="1" si="88"/>
        <v>-9.4658553076402158E-3</v>
      </c>
      <c r="T695" s="30">
        <f t="shared" ca="1" si="89"/>
        <v>9.8909150113969668E-3</v>
      </c>
      <c r="U695" s="30">
        <f t="shared" ca="1" si="90"/>
        <v>6.9381349632444324E-3</v>
      </c>
      <c r="V695" s="30">
        <f t="shared" ca="1" si="91"/>
        <v>-1.6082341588935579E-3</v>
      </c>
      <c r="W695" s="30">
        <f t="shared" ca="1" si="94"/>
        <v>2.3316230434500249E-2</v>
      </c>
      <c r="X695" s="30">
        <f t="shared" ca="1" si="92"/>
        <v>-1.3488372093023216E-2</v>
      </c>
      <c r="Y695" s="31">
        <f t="shared" ca="1" si="93"/>
        <v>-1.6921656923894413E-2</v>
      </c>
    </row>
    <row r="696" spans="2:25" x14ac:dyDescent="0.45">
      <c r="B696" vm="5610">
        <f ca="1"/>
        <v>45174</v>
      </c>
      <c r="C696" vm="5611">
        <f ca="1"/>
        <v>333.55</v>
      </c>
      <c r="D696" vm="5610">
        <f ca="1"/>
        <v>45174</v>
      </c>
      <c r="E696" vm="5612">
        <f ca="1"/>
        <v>14.48</v>
      </c>
      <c r="F696" vm="5610">
        <f ca="1"/>
        <v>45174</v>
      </c>
      <c r="G696" vm="5580">
        <f ca="1"/>
        <v>245.34</v>
      </c>
      <c r="H696" vm="5610">
        <f ca="1"/>
        <v>45174</v>
      </c>
      <c r="I696" vm="3550">
        <f ca="1"/>
        <v>118.73</v>
      </c>
      <c r="J696" vm="5610">
        <f ca="1"/>
        <v>45174</v>
      </c>
      <c r="K696" vm="5613">
        <f ca="1"/>
        <v>31.18</v>
      </c>
      <c r="L696" vm="5610">
        <f ca="1"/>
        <v>45174</v>
      </c>
      <c r="M696" vm="5614">
        <f ca="1"/>
        <v>159.32</v>
      </c>
      <c r="N696" vm="5610">
        <f ca="1"/>
        <v>45174</v>
      </c>
      <c r="O696" vm="5615">
        <f ca="1"/>
        <v>85.4</v>
      </c>
      <c r="P696" vm="5610">
        <f ca="1"/>
        <v>45174</v>
      </c>
      <c r="Q696" vm="5616">
        <f ca="1"/>
        <v>34.924999999999997</v>
      </c>
      <c r="R696" s="29">
        <f t="shared" ca="1" si="87"/>
        <v>1.4878597943163105E-2</v>
      </c>
      <c r="S696" s="30">
        <f t="shared" ca="1" si="88"/>
        <v>-1.1604095563139927E-2</v>
      </c>
      <c r="T696" s="30">
        <f t="shared" ca="1" si="89"/>
        <v>-1.1164402885816816E-2</v>
      </c>
      <c r="U696" s="30">
        <f t="shared" ca="1" si="90"/>
        <v>-2.6084816668033736E-2</v>
      </c>
      <c r="V696" s="30">
        <f t="shared" ca="1" si="91"/>
        <v>4.5103092783505341E-3</v>
      </c>
      <c r="W696" s="30">
        <f t="shared" ca="1" si="94"/>
        <v>1.1170347804011112E-2</v>
      </c>
      <c r="X696" s="30">
        <f t="shared" ca="1" si="92"/>
        <v>6.6006600660066276E-3</v>
      </c>
      <c r="Y696" s="31">
        <f t="shared" ca="1" si="93"/>
        <v>-6.3445999772392759E-3</v>
      </c>
    </row>
    <row r="697" spans="2:25" x14ac:dyDescent="0.45">
      <c r="B697" vm="5617">
        <f ca="1"/>
        <v>45175</v>
      </c>
      <c r="C697" vm="5618">
        <f ca="1"/>
        <v>332.88</v>
      </c>
      <c r="D697" vm="5617">
        <f ca="1"/>
        <v>45175</v>
      </c>
      <c r="E697" vm="5619">
        <f ca="1"/>
        <v>14.61</v>
      </c>
      <c r="F697" vm="5617">
        <f ca="1"/>
        <v>45175</v>
      </c>
      <c r="G697" vm="5620">
        <f ca="1"/>
        <v>246.16</v>
      </c>
      <c r="H697" vm="5617">
        <f ca="1"/>
        <v>45175</v>
      </c>
      <c r="I697" vm="2977">
        <f ca="1"/>
        <v>117.94</v>
      </c>
      <c r="J697" vm="5617">
        <f ca="1"/>
        <v>45175</v>
      </c>
      <c r="K697" vm="4641">
        <f ca="1"/>
        <v>31.02</v>
      </c>
      <c r="L697" vm="5617">
        <f ca="1"/>
        <v>45175</v>
      </c>
      <c r="M697" vm="5621">
        <f ca="1"/>
        <v>160.47</v>
      </c>
      <c r="N697" vm="5617">
        <f ca="1"/>
        <v>45175</v>
      </c>
      <c r="O697" vm="5622">
        <f ca="1"/>
        <v>86.96</v>
      </c>
      <c r="P697" vm="5617">
        <f ca="1"/>
        <v>45175</v>
      </c>
      <c r="Q697" vm="5623">
        <f ca="1"/>
        <v>35.07</v>
      </c>
      <c r="R697" s="29">
        <f t="shared" ca="1" si="87"/>
        <v>-2.0086943486734101E-3</v>
      </c>
      <c r="S697" s="30">
        <f t="shared" ca="1" si="88"/>
        <v>8.9779005524861181E-3</v>
      </c>
      <c r="T697" s="30">
        <f t="shared" ca="1" si="89"/>
        <v>3.3423004809651634E-3</v>
      </c>
      <c r="U697" s="30">
        <f t="shared" ca="1" si="90"/>
        <v>-6.6537522108987305E-3</v>
      </c>
      <c r="V697" s="30">
        <f t="shared" ca="1" si="91"/>
        <v>-5.1314945477870478E-3</v>
      </c>
      <c r="W697" s="30">
        <f t="shared" ca="1" si="94"/>
        <v>7.218177253326674E-3</v>
      </c>
      <c r="X697" s="30">
        <f t="shared" ca="1" si="92"/>
        <v>1.8266978922716486E-2</v>
      </c>
      <c r="Y697" s="31">
        <f t="shared" ca="1" si="93"/>
        <v>4.1517537580530606E-3</v>
      </c>
    </row>
    <row r="698" spans="2:25" x14ac:dyDescent="0.45">
      <c r="B698" vm="5624">
        <f ca="1"/>
        <v>45176</v>
      </c>
      <c r="C698" vm="5625">
        <f ca="1"/>
        <v>329.91</v>
      </c>
      <c r="D698" vm="5624">
        <f ca="1"/>
        <v>45176</v>
      </c>
      <c r="E698" vm="5619">
        <f ca="1"/>
        <v>14.61</v>
      </c>
      <c r="F698" vm="5624">
        <f ca="1"/>
        <v>45176</v>
      </c>
      <c r="G698" vm="5626">
        <f ca="1"/>
        <v>247.14</v>
      </c>
      <c r="H698" vm="5624">
        <f ca="1"/>
        <v>45176</v>
      </c>
      <c r="I698" vm="5108">
        <f ca="1"/>
        <v>116.26</v>
      </c>
      <c r="J698" vm="5624">
        <f ca="1"/>
        <v>45176</v>
      </c>
      <c r="K698" vm="5627">
        <f ca="1"/>
        <v>30.82</v>
      </c>
      <c r="L698" vm="5624">
        <f ca="1"/>
        <v>45176</v>
      </c>
      <c r="M698" vm="5628">
        <f ca="1"/>
        <v>160.1</v>
      </c>
      <c r="N698" vm="5624">
        <f ca="1"/>
        <v>45176</v>
      </c>
      <c r="O698" vm="3840">
        <f ca="1"/>
        <v>86.84</v>
      </c>
      <c r="P698" vm="5624">
        <f ca="1"/>
        <v>45176</v>
      </c>
      <c r="Q698" vm="5629">
        <f ca="1"/>
        <v>35.307000000000002</v>
      </c>
      <c r="R698" s="29">
        <f t="shared" ca="1" si="87"/>
        <v>-8.9221341023791468E-3</v>
      </c>
      <c r="S698" s="30">
        <f t="shared" ca="1" si="88"/>
        <v>0</v>
      </c>
      <c r="T698" s="30">
        <f t="shared" ca="1" si="89"/>
        <v>3.981150471238178E-3</v>
      </c>
      <c r="U698" s="30">
        <f t="shared" ca="1" si="90"/>
        <v>-1.424453111751732E-2</v>
      </c>
      <c r="V698" s="30">
        <f t="shared" ca="1" si="91"/>
        <v>-6.4474532559638713E-3</v>
      </c>
      <c r="W698" s="30">
        <f t="shared" ca="1" si="94"/>
        <v>-2.3057269271515211E-3</v>
      </c>
      <c r="X698" s="30">
        <f t="shared" ca="1" si="92"/>
        <v>-1.3799448022078008E-3</v>
      </c>
      <c r="Y698" s="31">
        <f t="shared" ca="1" si="93"/>
        <v>6.7579127459367512E-3</v>
      </c>
    </row>
    <row r="699" spans="2:25" x14ac:dyDescent="0.45">
      <c r="B699" vm="5630">
        <f ca="1"/>
        <v>45177</v>
      </c>
      <c r="C699" vm="5631">
        <f ca="1"/>
        <v>334.27</v>
      </c>
      <c r="D699" vm="5630">
        <f ca="1"/>
        <v>45177</v>
      </c>
      <c r="E699" vm="5632">
        <f ca="1"/>
        <v>14.4</v>
      </c>
      <c r="F699" vm="5630">
        <f ca="1"/>
        <v>45177</v>
      </c>
      <c r="G699" vm="5633">
        <f ca="1"/>
        <v>247.29</v>
      </c>
      <c r="H699" vm="5630">
        <f ca="1"/>
        <v>45177</v>
      </c>
      <c r="I699" vm="3066">
        <f ca="1"/>
        <v>113.99</v>
      </c>
      <c r="J699" vm="5630">
        <f ca="1"/>
        <v>45177</v>
      </c>
      <c r="K699" vm="5634">
        <f ca="1"/>
        <v>30.76</v>
      </c>
      <c r="L699" vm="5630">
        <f ca="1"/>
        <v>45177</v>
      </c>
      <c r="M699" vm="5635">
        <f ca="1"/>
        <v>155.47</v>
      </c>
      <c r="N699" vm="5630">
        <f ca="1"/>
        <v>45177</v>
      </c>
      <c r="O699" vm="5636">
        <f ca="1"/>
        <v>85.12</v>
      </c>
      <c r="P699" vm="5630">
        <f ca="1"/>
        <v>45177</v>
      </c>
      <c r="Q699" vm="5637">
        <f ca="1"/>
        <v>35.628</v>
      </c>
      <c r="R699" s="29">
        <f t="shared" ca="1" si="87"/>
        <v>1.3215725500894051E-2</v>
      </c>
      <c r="S699" s="30">
        <f t="shared" ca="1" si="88"/>
        <v>-1.4373716632443469E-2</v>
      </c>
      <c r="T699" s="30">
        <f t="shared" ca="1" si="89"/>
        <v>6.0694343287207931E-4</v>
      </c>
      <c r="U699" s="30">
        <f t="shared" ca="1" si="90"/>
        <v>-1.9525202133149924E-2</v>
      </c>
      <c r="V699" s="30">
        <f t="shared" ca="1" si="91"/>
        <v>-1.9467878001297443E-3</v>
      </c>
      <c r="W699" s="30">
        <f t="shared" ca="1" si="94"/>
        <v>-2.8919425359150503E-2</v>
      </c>
      <c r="X699" s="30">
        <f t="shared" ca="1" si="92"/>
        <v>-1.9806540764624583E-2</v>
      </c>
      <c r="Y699" s="31">
        <f t="shared" ca="1" si="93"/>
        <v>9.0916815362392135E-3</v>
      </c>
    </row>
    <row r="700" spans="2:25" x14ac:dyDescent="0.45">
      <c r="B700" vm="5638">
        <f ca="1"/>
        <v>45180</v>
      </c>
      <c r="C700" vm="5639">
        <f ca="1"/>
        <v>337.94</v>
      </c>
      <c r="D700" vm="5638">
        <f ca="1"/>
        <v>45180</v>
      </c>
      <c r="E700" vm="5414">
        <f ca="1"/>
        <v>14.52</v>
      </c>
      <c r="F700" vm="5638">
        <f ca="1"/>
        <v>45180</v>
      </c>
      <c r="G700" vm="5640">
        <f ca="1"/>
        <v>247.22</v>
      </c>
      <c r="H700" vm="5638">
        <f ca="1"/>
        <v>45180</v>
      </c>
      <c r="I700" vm="5641">
        <f ca="1"/>
        <v>113.1</v>
      </c>
      <c r="J700" vm="5638">
        <f ca="1"/>
        <v>45180</v>
      </c>
      <c r="K700" vm="5642">
        <f ca="1"/>
        <v>30.57</v>
      </c>
      <c r="L700" vm="5638">
        <f ca="1"/>
        <v>45180</v>
      </c>
      <c r="M700" vm="4235">
        <f ca="1"/>
        <v>157.66</v>
      </c>
      <c r="N700" vm="5638">
        <f ca="1"/>
        <v>45180</v>
      </c>
      <c r="O700" vm="5643">
        <f ca="1"/>
        <v>83.12</v>
      </c>
      <c r="P700" vm="5638">
        <f ca="1"/>
        <v>45180</v>
      </c>
      <c r="Q700" vm="5644">
        <f ca="1"/>
        <v>34.268000000000001</v>
      </c>
      <c r="R700" s="29">
        <f t="shared" ca="1" si="87"/>
        <v>1.0979148592455249E-2</v>
      </c>
      <c r="S700" s="30">
        <f t="shared" ca="1" si="88"/>
        <v>8.3333333333332794E-3</v>
      </c>
      <c r="T700" s="30">
        <f t="shared" ca="1" si="89"/>
        <v>-2.8306846212945605E-4</v>
      </c>
      <c r="U700" s="30">
        <f t="shared" ca="1" si="90"/>
        <v>-7.8077024300377282E-3</v>
      </c>
      <c r="V700" s="30">
        <f t="shared" ca="1" si="91"/>
        <v>-6.1768530559168167E-3</v>
      </c>
      <c r="W700" s="30">
        <f t="shared" ca="1" si="94"/>
        <v>1.4086318903968597E-2</v>
      </c>
      <c r="X700" s="30">
        <f t="shared" ca="1" si="92"/>
        <v>-2.3496240601503758E-2</v>
      </c>
      <c r="Y700" s="31">
        <f t="shared" ca="1" si="93"/>
        <v>-3.817222409340966E-2</v>
      </c>
    </row>
    <row r="701" spans="2:25" x14ac:dyDescent="0.45">
      <c r="B701" vm="5645">
        <f ca="1"/>
        <v>45181</v>
      </c>
      <c r="C701" vm="5646">
        <f ca="1"/>
        <v>331.77</v>
      </c>
      <c r="D701" vm="5645">
        <f ca="1"/>
        <v>45181</v>
      </c>
      <c r="E701" vm="5647">
        <f ca="1"/>
        <v>14.46</v>
      </c>
      <c r="F701" vm="5645">
        <f ca="1"/>
        <v>45181</v>
      </c>
      <c r="G701" vm="1076">
        <f ca="1"/>
        <v>247.3</v>
      </c>
      <c r="H701" vm="5645">
        <f ca="1"/>
        <v>45181</v>
      </c>
      <c r="I701" vm="5648">
        <f ca="1"/>
        <v>112.78</v>
      </c>
      <c r="J701" vm="5645">
        <f ca="1"/>
        <v>45181</v>
      </c>
      <c r="K701" vm="5649">
        <f ca="1"/>
        <v>30.25</v>
      </c>
      <c r="L701" vm="5645">
        <f ca="1"/>
        <v>45181</v>
      </c>
      <c r="M701" vm="5650">
        <f ca="1"/>
        <v>154.65</v>
      </c>
      <c r="N701" vm="5645">
        <f ca="1"/>
        <v>45181</v>
      </c>
      <c r="O701" vm="5651">
        <f ca="1"/>
        <v>83.72</v>
      </c>
      <c r="P701" vm="5645">
        <f ca="1"/>
        <v>45181</v>
      </c>
      <c r="Q701" vm="5652">
        <f ca="1"/>
        <v>34.776000000000003</v>
      </c>
      <c r="R701" s="29">
        <f t="shared" ca="1" si="87"/>
        <v>-1.8257678877907368E-2</v>
      </c>
      <c r="S701" s="30">
        <f t="shared" ca="1" si="88"/>
        <v>-4.1322314049585893E-3</v>
      </c>
      <c r="T701" s="30">
        <f t="shared" ca="1" si="89"/>
        <v>3.2359841436782019E-4</v>
      </c>
      <c r="U701" s="30">
        <f t="shared" ca="1" si="90"/>
        <v>-2.8293545534924243E-3</v>
      </c>
      <c r="V701" s="30">
        <f t="shared" ca="1" si="91"/>
        <v>-1.0467778868171419E-2</v>
      </c>
      <c r="W701" s="30">
        <f t="shared" ca="1" si="94"/>
        <v>-1.909171635164272E-2</v>
      </c>
      <c r="X701" s="30">
        <f t="shared" ca="1" si="92"/>
        <v>7.2184793070259176E-3</v>
      </c>
      <c r="Y701" s="31">
        <f t="shared" ca="1" si="93"/>
        <v>1.4824325901715963E-2</v>
      </c>
    </row>
    <row r="702" spans="2:25" x14ac:dyDescent="0.45">
      <c r="B702" vm="5653">
        <f ca="1"/>
        <v>45182</v>
      </c>
      <c r="C702" vm="1998">
        <f ca="1"/>
        <v>336.06</v>
      </c>
      <c r="D702" vm="5653">
        <f ca="1"/>
        <v>45182</v>
      </c>
      <c r="E702" vm="5654">
        <f ca="1"/>
        <v>14.62</v>
      </c>
      <c r="F702" vm="5653">
        <f ca="1"/>
        <v>45182</v>
      </c>
      <c r="G702" vm="5655">
        <f ca="1"/>
        <v>247.83</v>
      </c>
      <c r="H702" vm="5653">
        <f ca="1"/>
        <v>45182</v>
      </c>
      <c r="I702" vm="5656">
        <f ca="1"/>
        <v>113.43</v>
      </c>
      <c r="J702" vm="5653">
        <f ca="1"/>
        <v>45182</v>
      </c>
      <c r="K702" vm="5657">
        <f ca="1"/>
        <v>30.28</v>
      </c>
      <c r="L702" vm="5653">
        <f ca="1"/>
        <v>45182</v>
      </c>
      <c r="M702" vm="5658">
        <f ca="1"/>
        <v>155.49</v>
      </c>
      <c r="N702" vm="5653">
        <f ca="1"/>
        <v>45182</v>
      </c>
      <c r="O702" vm="5659">
        <f ca="1"/>
        <v>82.04</v>
      </c>
      <c r="P702" vm="5653">
        <f ca="1"/>
        <v>45182</v>
      </c>
      <c r="Q702" vm="5660">
        <f ca="1"/>
        <v>34.183999999999997</v>
      </c>
      <c r="R702" s="29">
        <f t="shared" ca="1" si="87"/>
        <v>1.2930644723754471E-2</v>
      </c>
      <c r="S702" s="30">
        <f t="shared" ca="1" si="88"/>
        <v>1.1065006915629208E-2</v>
      </c>
      <c r="T702" s="30">
        <f t="shared" ca="1" si="89"/>
        <v>2.1431459765467089E-3</v>
      </c>
      <c r="U702" s="30">
        <f t="shared" ca="1" si="90"/>
        <v>5.763433232842753E-3</v>
      </c>
      <c r="V702" s="30">
        <f t="shared" ca="1" si="91"/>
        <v>9.9173553719012018E-4</v>
      </c>
      <c r="W702" s="30">
        <f t="shared" ca="1" si="94"/>
        <v>5.4316197866149584E-3</v>
      </c>
      <c r="X702" s="30">
        <f t="shared" ca="1" si="92"/>
        <v>-2.0066889632106934E-2</v>
      </c>
      <c r="Y702" s="31">
        <f t="shared" ca="1" si="93"/>
        <v>-1.7023234414538929E-2</v>
      </c>
    </row>
    <row r="703" spans="2:25" x14ac:dyDescent="0.45">
      <c r="B703" vm="5661">
        <f ca="1"/>
        <v>45183</v>
      </c>
      <c r="C703" vm="5662">
        <f ca="1"/>
        <v>338.7</v>
      </c>
      <c r="D703" vm="5661">
        <f ca="1"/>
        <v>45183</v>
      </c>
      <c r="E703" vm="6">
        <f ca="1"/>
        <v>15.06</v>
      </c>
      <c r="F703" vm="5661">
        <f ca="1"/>
        <v>45183</v>
      </c>
      <c r="G703" vm="5663">
        <f ca="1"/>
        <v>241.5</v>
      </c>
      <c r="H703" vm="5661">
        <f ca="1"/>
        <v>45183</v>
      </c>
      <c r="I703" vm="5664">
        <f ca="1"/>
        <v>114.88</v>
      </c>
      <c r="J703" vm="5661">
        <f ca="1"/>
        <v>45183</v>
      </c>
      <c r="K703" vm="5665">
        <f ca="1"/>
        <v>30.84</v>
      </c>
      <c r="L703" vm="5661">
        <f ca="1"/>
        <v>45183</v>
      </c>
      <c r="M703" vm="5666">
        <f ca="1"/>
        <v>157.15</v>
      </c>
      <c r="N703" vm="5661">
        <f ca="1"/>
        <v>45183</v>
      </c>
      <c r="O703" vm="5667">
        <f ca="1"/>
        <v>79.64</v>
      </c>
      <c r="P703" vm="5661">
        <f ca="1"/>
        <v>45183</v>
      </c>
      <c r="Q703" vm="5552">
        <f ca="1"/>
        <v>34.64</v>
      </c>
      <c r="R703" s="29">
        <f t="shared" ca="1" si="87"/>
        <v>7.8557400464202409E-3</v>
      </c>
      <c r="S703" s="30">
        <f t="shared" ca="1" si="88"/>
        <v>3.0095759233926218E-2</v>
      </c>
      <c r="T703" s="30">
        <f t="shared" ca="1" si="89"/>
        <v>-2.5541701973126791E-2</v>
      </c>
      <c r="U703" s="30">
        <f t="shared" ca="1" si="90"/>
        <v>1.2783214317199934E-2</v>
      </c>
      <c r="V703" s="30">
        <f t="shared" ca="1" si="91"/>
        <v>1.8494055482166403E-2</v>
      </c>
      <c r="W703" s="30">
        <f t="shared" ca="1" si="94"/>
        <v>1.0675927712393058E-2</v>
      </c>
      <c r="X703" s="30">
        <f t="shared" ca="1" si="92"/>
        <v>-2.9254022428083927E-2</v>
      </c>
      <c r="Y703" s="31">
        <f t="shared" ca="1" si="93"/>
        <v>1.3339574069740319E-2</v>
      </c>
    </row>
    <row r="704" spans="2:25" x14ac:dyDescent="0.45">
      <c r="B704" vm="5668">
        <f ca="1"/>
        <v>45184</v>
      </c>
      <c r="C704" vm="5669">
        <f ca="1"/>
        <v>330.22</v>
      </c>
      <c r="D704" vm="5668">
        <f ca="1"/>
        <v>45184</v>
      </c>
      <c r="E704" vm="5303">
        <f ca="1"/>
        <v>15.23</v>
      </c>
      <c r="F704" vm="5668">
        <f ca="1"/>
        <v>45184</v>
      </c>
      <c r="G704" vm="3828">
        <f ca="1"/>
        <v>241.07</v>
      </c>
      <c r="H704" vm="5668">
        <f ca="1"/>
        <v>45184</v>
      </c>
      <c r="I704" vm="5670">
        <f ca="1"/>
        <v>115.91</v>
      </c>
      <c r="J704" vm="5668">
        <f ca="1"/>
        <v>45184</v>
      </c>
      <c r="K704" vm="5671">
        <f ca="1"/>
        <v>30.68</v>
      </c>
      <c r="L704" vm="5668">
        <f ca="1"/>
        <v>45184</v>
      </c>
      <c r="M704" vm="5672">
        <f ca="1"/>
        <v>158.58000000000001</v>
      </c>
      <c r="N704" vm="5668">
        <f ca="1"/>
        <v>45184</v>
      </c>
      <c r="O704" vm="5673">
        <f ca="1"/>
        <v>82.72</v>
      </c>
      <c r="P704" vm="5668">
        <f ca="1"/>
        <v>45184</v>
      </c>
      <c r="Q704" vm="5674">
        <f ca="1"/>
        <v>34.078000000000003</v>
      </c>
      <c r="R704" s="29">
        <f t="shared" ca="1" si="87"/>
        <v>-2.5036905816356543E-2</v>
      </c>
      <c r="S704" s="30">
        <f t="shared" ca="1" si="88"/>
        <v>1.1288180610889769E-2</v>
      </c>
      <c r="T704" s="30">
        <f t="shared" ca="1" si="89"/>
        <v>-1.780538302277461E-3</v>
      </c>
      <c r="U704" s="30">
        <f t="shared" ca="1" si="90"/>
        <v>8.9658774373259156E-3</v>
      </c>
      <c r="V704" s="30">
        <f t="shared" ca="1" si="91"/>
        <v>-5.1880674448767884E-3</v>
      </c>
      <c r="W704" s="30">
        <f t="shared" ca="1" si="94"/>
        <v>9.099586382437205E-3</v>
      </c>
      <c r="X704" s="30">
        <f t="shared" ca="1" si="92"/>
        <v>3.8674033149171248E-2</v>
      </c>
      <c r="Y704" s="31">
        <f t="shared" ca="1" si="93"/>
        <v>-1.6224018475750508E-2</v>
      </c>
    </row>
    <row r="705" spans="2:25" x14ac:dyDescent="0.45">
      <c r="B705" vm="5675">
        <f ca="1"/>
        <v>45187</v>
      </c>
      <c r="C705" vm="5676">
        <f ca="1"/>
        <v>329.06</v>
      </c>
      <c r="D705" vm="5675">
        <f ca="1"/>
        <v>45187</v>
      </c>
      <c r="E705" vm="5677">
        <f ca="1"/>
        <v>15.09</v>
      </c>
      <c r="F705" vm="5675">
        <f ca="1"/>
        <v>45187</v>
      </c>
      <c r="G705" vm="5678">
        <f ca="1"/>
        <v>244.66</v>
      </c>
      <c r="H705" vm="5675">
        <f ca="1"/>
        <v>45187</v>
      </c>
      <c r="I705" vm="5679">
        <f ca="1"/>
        <v>112.69</v>
      </c>
      <c r="J705" vm="5675">
        <f ca="1"/>
        <v>45187</v>
      </c>
      <c r="K705" vm="5680">
        <f ca="1"/>
        <v>30.53</v>
      </c>
      <c r="L705" vm="5675">
        <f ca="1"/>
        <v>45187</v>
      </c>
      <c r="M705" vm="5681">
        <f ca="1"/>
        <v>159.24</v>
      </c>
      <c r="N705" vm="5675">
        <f ca="1"/>
        <v>45187</v>
      </c>
      <c r="O705" vm="5659">
        <f ca="1"/>
        <v>82.04</v>
      </c>
      <c r="P705" vm="5675">
        <f ca="1"/>
        <v>45187</v>
      </c>
      <c r="Q705" vm="5682">
        <f ca="1"/>
        <v>34.061999999999998</v>
      </c>
      <c r="R705" s="29">
        <f t="shared" ca="1" si="87"/>
        <v>-3.5128096420568859E-3</v>
      </c>
      <c r="S705" s="30">
        <f t="shared" ca="1" si="88"/>
        <v>-9.1923834537098199E-3</v>
      </c>
      <c r="T705" s="30">
        <f t="shared" ca="1" si="89"/>
        <v>1.4891940100385795E-2</v>
      </c>
      <c r="U705" s="30">
        <f t="shared" ca="1" si="90"/>
        <v>-2.7780174273142947E-2</v>
      </c>
      <c r="V705" s="30">
        <f t="shared" ca="1" si="91"/>
        <v>-4.8891786179921307E-3</v>
      </c>
      <c r="W705" s="30">
        <f t="shared" ca="1" si="94"/>
        <v>4.1619371925841631E-3</v>
      </c>
      <c r="X705" s="30">
        <f t="shared" ca="1" si="92"/>
        <v>-8.2205029013538763E-3</v>
      </c>
      <c r="Y705" s="31">
        <f t="shared" ca="1" si="93"/>
        <v>-4.6951112154484833E-4</v>
      </c>
    </row>
    <row r="706" spans="2:25" x14ac:dyDescent="0.45">
      <c r="B706" vm="5683">
        <f ca="1"/>
        <v>45188</v>
      </c>
      <c r="C706" vm="5684">
        <f ca="1"/>
        <v>328.65</v>
      </c>
      <c r="D706" vm="5683">
        <f ca="1"/>
        <v>45188</v>
      </c>
      <c r="E706" vm="5114">
        <f ca="1"/>
        <v>15.21</v>
      </c>
      <c r="F706" vm="5683">
        <f ca="1"/>
        <v>45188</v>
      </c>
      <c r="G706" vm="5685">
        <f ca="1"/>
        <v>243.56</v>
      </c>
      <c r="H706" vm="5683">
        <f ca="1"/>
        <v>45188</v>
      </c>
      <c r="I706" vm="5686">
        <f ca="1"/>
        <v>112.31</v>
      </c>
      <c r="J706" vm="5683">
        <f ca="1"/>
        <v>45188</v>
      </c>
      <c r="K706" vm="5687">
        <f ca="1"/>
        <v>31.66</v>
      </c>
      <c r="L706" vm="5683">
        <f ca="1"/>
        <v>45188</v>
      </c>
      <c r="M706" vm="5688">
        <f ca="1"/>
        <v>160.16999999999999</v>
      </c>
      <c r="N706" vm="5683">
        <f ca="1"/>
        <v>45188</v>
      </c>
      <c r="O706" vm="5689">
        <f ca="1"/>
        <v>81.64</v>
      </c>
      <c r="P706" vm="5683">
        <f ca="1"/>
        <v>45188</v>
      </c>
      <c r="Q706" vm="5690">
        <f ca="1"/>
        <v>33.926000000000002</v>
      </c>
      <c r="R706" s="29">
        <f t="shared" ca="1" si="87"/>
        <v>-1.245973378715204E-3</v>
      </c>
      <c r="S706" s="30">
        <f t="shared" ca="1" si="88"/>
        <v>7.9522862823062299E-3</v>
      </c>
      <c r="T706" s="30">
        <f t="shared" ca="1" si="89"/>
        <v>-4.4960353143137181E-3</v>
      </c>
      <c r="U706" s="30">
        <f t="shared" ca="1" si="90"/>
        <v>-3.3720827047652451E-3</v>
      </c>
      <c r="V706" s="30">
        <f t="shared" ca="1" si="91"/>
        <v>3.7012774320340613E-2</v>
      </c>
      <c r="W706" s="30">
        <f t="shared" ca="1" si="94"/>
        <v>5.8402411454407084E-3</v>
      </c>
      <c r="X706" s="30">
        <f t="shared" ca="1" si="92"/>
        <v>-4.8756704046807129E-3</v>
      </c>
      <c r="Y706" s="31">
        <f t="shared" ca="1" si="93"/>
        <v>-3.9927191591801921E-3</v>
      </c>
    </row>
    <row r="707" spans="2:25" x14ac:dyDescent="0.45">
      <c r="B707" vm="5691">
        <f ca="1"/>
        <v>45189</v>
      </c>
      <c r="C707" vm="5692">
        <f ca="1"/>
        <v>320.77</v>
      </c>
      <c r="D707" vm="5691">
        <f ca="1"/>
        <v>45189</v>
      </c>
      <c r="E707" vm="5693">
        <f ca="1"/>
        <v>15.55</v>
      </c>
      <c r="F707" vm="5691">
        <f ca="1"/>
        <v>45189</v>
      </c>
      <c r="G707" vm="5694">
        <f ca="1"/>
        <v>241.86</v>
      </c>
      <c r="H707" vm="5691">
        <f ca="1"/>
        <v>45189</v>
      </c>
      <c r="I707" vm="5695">
        <f ca="1"/>
        <v>112.47</v>
      </c>
      <c r="J707" vm="5691">
        <f ca="1"/>
        <v>45189</v>
      </c>
      <c r="K707" vm="2674">
        <f ca="1"/>
        <v>31.42</v>
      </c>
      <c r="L707" vm="5691">
        <f ca="1"/>
        <v>45189</v>
      </c>
      <c r="M707" vm="5696">
        <f ca="1"/>
        <v>160.77000000000001</v>
      </c>
      <c r="N707" vm="5691">
        <f ca="1"/>
        <v>45189</v>
      </c>
      <c r="O707" vm="5697">
        <f ca="1"/>
        <v>84.72</v>
      </c>
      <c r="P707" vm="5691">
        <f ca="1"/>
        <v>45189</v>
      </c>
      <c r="Q707" vm="5698">
        <f ca="1"/>
        <v>33.347000000000001</v>
      </c>
      <c r="R707" s="29">
        <f t="shared" ca="1" si="87"/>
        <v>-2.3976875095085944E-2</v>
      </c>
      <c r="S707" s="30">
        <f t="shared" ca="1" si="88"/>
        <v>2.2353714661406957E-2</v>
      </c>
      <c r="T707" s="30">
        <f t="shared" ca="1" si="89"/>
        <v>-6.9797996386926778E-3</v>
      </c>
      <c r="U707" s="30">
        <f t="shared" ca="1" si="90"/>
        <v>1.4246282610630985E-3</v>
      </c>
      <c r="V707" s="30">
        <f t="shared" ca="1" si="91"/>
        <v>-7.5805432722677963E-3</v>
      </c>
      <c r="W707" s="30">
        <f t="shared" ca="1" si="94"/>
        <v>3.746019853905368E-3</v>
      </c>
      <c r="X707" s="30">
        <f t="shared" ca="1" si="92"/>
        <v>3.7726604605585475E-2</v>
      </c>
      <c r="Y707" s="31">
        <f t="shared" ca="1" si="93"/>
        <v>-1.7066556623238832E-2</v>
      </c>
    </row>
    <row r="708" spans="2:25" x14ac:dyDescent="0.45">
      <c r="B708" vm="5699">
        <f ca="1"/>
        <v>45190</v>
      </c>
      <c r="C708" vm="5700">
        <f ca="1"/>
        <v>319.52999999999997</v>
      </c>
      <c r="D708" vm="5699">
        <f ca="1"/>
        <v>45190</v>
      </c>
      <c r="E708" vm="3931">
        <f ca="1"/>
        <v>15.31</v>
      </c>
      <c r="F708" vm="5699">
        <f ca="1"/>
        <v>45190</v>
      </c>
      <c r="G708" vm="1286">
        <f ca="1"/>
        <v>236.61</v>
      </c>
      <c r="H708" vm="5699">
        <f ca="1"/>
        <v>45190</v>
      </c>
      <c r="I708" vm="5701">
        <f ca="1"/>
        <v>109.73</v>
      </c>
      <c r="J708" vm="5699">
        <f ca="1"/>
        <v>45190</v>
      </c>
      <c r="K708" vm="5702">
        <f ca="1"/>
        <v>31.23</v>
      </c>
      <c r="L708" vm="5699">
        <f ca="1"/>
        <v>45190</v>
      </c>
      <c r="M708" vm="5703">
        <f ca="1"/>
        <v>154.06</v>
      </c>
      <c r="N708" vm="5699">
        <f ca="1"/>
        <v>45190</v>
      </c>
      <c r="O708" vm="5704">
        <f ca="1"/>
        <v>91.24</v>
      </c>
      <c r="P708" vm="5699">
        <f ca="1"/>
        <v>45190</v>
      </c>
      <c r="Q708" vm="5705">
        <f ca="1"/>
        <v>32.606000000000002</v>
      </c>
      <c r="R708" s="29">
        <f t="shared" ca="1" si="87"/>
        <v>-3.8656981637934006E-3</v>
      </c>
      <c r="S708" s="30">
        <f t="shared" ca="1" si="88"/>
        <v>-1.5434083601286187E-2</v>
      </c>
      <c r="T708" s="30">
        <f t="shared" ca="1" si="89"/>
        <v>-2.1706772513024063E-2</v>
      </c>
      <c r="U708" s="30">
        <f t="shared" ca="1" si="90"/>
        <v>-2.436205210278292E-2</v>
      </c>
      <c r="V708" s="30">
        <f t="shared" ca="1" si="91"/>
        <v>-6.0471037555697412E-3</v>
      </c>
      <c r="W708" s="30">
        <f t="shared" ca="1" si="94"/>
        <v>-4.1736642408409574E-2</v>
      </c>
      <c r="X708" s="30">
        <f t="shared" ca="1" si="92"/>
        <v>7.6959395656279461E-2</v>
      </c>
      <c r="Y708" s="31">
        <f t="shared" ca="1" si="93"/>
        <v>-2.2220889435331504E-2</v>
      </c>
    </row>
    <row r="709" spans="2:25" x14ac:dyDescent="0.45">
      <c r="B709" vm="5706">
        <f ca="1"/>
        <v>45191</v>
      </c>
      <c r="C709" vm="5707">
        <f ca="1"/>
        <v>317.01</v>
      </c>
      <c r="D709" vm="5706">
        <f ca="1"/>
        <v>45191</v>
      </c>
      <c r="E709" vm="3915">
        <f ca="1"/>
        <v>15.12</v>
      </c>
      <c r="F709" vm="5706">
        <f ca="1"/>
        <v>45191</v>
      </c>
      <c r="G709" vm="5708">
        <f ca="1"/>
        <v>235.08</v>
      </c>
      <c r="H709" vm="5706">
        <f ca="1"/>
        <v>45191</v>
      </c>
      <c r="I709" vm="5709">
        <f ca="1"/>
        <v>111.41</v>
      </c>
      <c r="J709" vm="5706">
        <f ca="1"/>
        <v>45191</v>
      </c>
      <c r="K709" vm="5710">
        <f ca="1"/>
        <v>32</v>
      </c>
      <c r="L709" vm="5706">
        <f ca="1"/>
        <v>45191</v>
      </c>
      <c r="M709" vm="5711">
        <f ca="1"/>
        <v>156.35</v>
      </c>
      <c r="N709" vm="5706">
        <f ca="1"/>
        <v>45191</v>
      </c>
      <c r="O709" vm="5712">
        <f ca="1"/>
        <v>91.48</v>
      </c>
      <c r="P709" vm="5706">
        <f ca="1"/>
        <v>45191</v>
      </c>
      <c r="Q709" vm="5713">
        <f ca="1"/>
        <v>32.280999999999999</v>
      </c>
      <c r="R709" s="29">
        <f t="shared" ref="R709:R772" ca="1" si="95">(C709-C708)/C708</f>
        <v>-7.8865834193971827E-3</v>
      </c>
      <c r="S709" s="30">
        <f t="shared" ref="S709:S772" ca="1" si="96">(E709-E708)/E708</f>
        <v>-1.2410189418680684E-2</v>
      </c>
      <c r="T709" s="30">
        <f t="shared" ref="T709:T772" ca="1" si="97">(G709-G708)/G708</f>
        <v>-6.4663370102700695E-3</v>
      </c>
      <c r="U709" s="30">
        <f t="shared" ref="U709:U772" ca="1" si="98">(I709-I708)/I708</f>
        <v>1.5310307117470086E-2</v>
      </c>
      <c r="V709" s="30">
        <f t="shared" ref="V709:V772" ca="1" si="99">(K709-K708)/K708</f>
        <v>2.4655779699007351E-2</v>
      </c>
      <c r="W709" s="30">
        <f t="shared" ca="1" si="94"/>
        <v>1.4864338569388498E-2</v>
      </c>
      <c r="X709" s="30">
        <f t="shared" ref="X709:X772" ca="1" si="100">(O709-O708)/O708</f>
        <v>2.6304252520825198E-3</v>
      </c>
      <c r="Y709" s="31">
        <f t="shared" ref="Y709:Y772" ca="1" si="101">(Q709-Q708)/Q708</f>
        <v>-9.9674906458934801E-3</v>
      </c>
    </row>
    <row r="710" spans="2:25" x14ac:dyDescent="0.45">
      <c r="B710" vm="5714">
        <f ca="1"/>
        <v>45194</v>
      </c>
      <c r="C710" vm="5715">
        <f ca="1"/>
        <v>317.54000000000002</v>
      </c>
      <c r="D710" vm="5714">
        <f ca="1"/>
        <v>45194</v>
      </c>
      <c r="E710" vm="6">
        <f ca="1"/>
        <v>15.06</v>
      </c>
      <c r="F710" vm="5714">
        <f ca="1"/>
        <v>45194</v>
      </c>
      <c r="G710" vm="5716">
        <f ca="1"/>
        <v>233.36</v>
      </c>
      <c r="H710" vm="5714">
        <f ca="1"/>
        <v>45194</v>
      </c>
      <c r="I710" vm="5717">
        <f ca="1"/>
        <v>111.94</v>
      </c>
      <c r="J710" vm="5714">
        <f ca="1"/>
        <v>45194</v>
      </c>
      <c r="K710" vm="2735">
        <f ca="1"/>
        <v>32.049999999999997</v>
      </c>
      <c r="L710" vm="5714">
        <f ca="1"/>
        <v>45194</v>
      </c>
      <c r="M710" vm="5718">
        <f ca="1"/>
        <v>155.52000000000001</v>
      </c>
      <c r="N710" vm="5714">
        <f ca="1"/>
        <v>45194</v>
      </c>
      <c r="O710" vm="5410">
        <f ca="1"/>
        <v>91.6</v>
      </c>
      <c r="P710" vm="5714">
        <f ca="1"/>
        <v>45194</v>
      </c>
      <c r="Q710" vm="5719">
        <f ca="1"/>
        <v>32.76</v>
      </c>
      <c r="R710" s="29">
        <f t="shared" ca="1" si="95"/>
        <v>1.6718715497934752E-3</v>
      </c>
      <c r="S710" s="30">
        <f t="shared" ca="1" si="96"/>
        <v>-3.9682539682538839E-3</v>
      </c>
      <c r="T710" s="30">
        <f t="shared" ca="1" si="97"/>
        <v>-7.3166581589246158E-3</v>
      </c>
      <c r="U710" s="30">
        <f t="shared" ca="1" si="98"/>
        <v>4.757203123597533E-3</v>
      </c>
      <c r="V710" s="30">
        <f t="shared" ca="1" si="99"/>
        <v>1.5624999999999112E-3</v>
      </c>
      <c r="W710" s="30">
        <f t="shared" ref="W710:W773" ca="1" si="102">(M710-M709)/M709</f>
        <v>-5.3086024944034799E-3</v>
      </c>
      <c r="X710" s="30">
        <f t="shared" ca="1" si="100"/>
        <v>1.3117621337996319E-3</v>
      </c>
      <c r="Y710" s="31">
        <f t="shared" ca="1" si="101"/>
        <v>1.4838449862147989E-2</v>
      </c>
    </row>
    <row r="711" spans="2:25" x14ac:dyDescent="0.45">
      <c r="B711" vm="5720">
        <f ca="1"/>
        <v>45195</v>
      </c>
      <c r="C711" vm="5721">
        <f ca="1"/>
        <v>312.14</v>
      </c>
      <c r="D711" vm="5720">
        <f ca="1"/>
        <v>45195</v>
      </c>
      <c r="E711" vm="5722">
        <f ca="1"/>
        <v>15.02</v>
      </c>
      <c r="F711" vm="5720">
        <f ca="1"/>
        <v>45195</v>
      </c>
      <c r="G711" vm="5723">
        <f ca="1"/>
        <v>229.65</v>
      </c>
      <c r="H711" vm="5720">
        <f ca="1"/>
        <v>45195</v>
      </c>
      <c r="I711" vm="5724">
        <f ca="1"/>
        <v>110.73</v>
      </c>
      <c r="J711" vm="5720">
        <f ca="1"/>
        <v>45195</v>
      </c>
      <c r="K711" vm="5725">
        <f ca="1"/>
        <v>31.57</v>
      </c>
      <c r="L711" vm="5720">
        <f ca="1"/>
        <v>45195</v>
      </c>
      <c r="M711" vm="1797">
        <f ca="1"/>
        <v>152.36000000000001</v>
      </c>
      <c r="N711" vm="5720">
        <f ca="1"/>
        <v>45195</v>
      </c>
      <c r="O711" vm="5726">
        <f ca="1"/>
        <v>100.16</v>
      </c>
      <c r="P711" vm="5720">
        <f ca="1"/>
        <v>45195</v>
      </c>
      <c r="Q711" vm="5727">
        <f ca="1"/>
        <v>31.73</v>
      </c>
      <c r="R711" s="29">
        <f t="shared" ca="1" si="95"/>
        <v>-1.70057315613782E-2</v>
      </c>
      <c r="S711" s="30">
        <f t="shared" ca="1" si="96"/>
        <v>-2.6560424966800083E-3</v>
      </c>
      <c r="T711" s="30">
        <f t="shared" ca="1" si="97"/>
        <v>-1.5898183064792629E-2</v>
      </c>
      <c r="U711" s="30">
        <f t="shared" ca="1" si="98"/>
        <v>-1.0809362158299033E-2</v>
      </c>
      <c r="V711" s="30">
        <f t="shared" ca="1" si="99"/>
        <v>-1.4976599063962462E-2</v>
      </c>
      <c r="W711" s="30">
        <f t="shared" ca="1" si="102"/>
        <v>-2.031893004115224E-2</v>
      </c>
      <c r="X711" s="30">
        <f t="shared" ca="1" si="100"/>
        <v>9.3449781659388678E-2</v>
      </c>
      <c r="Y711" s="31">
        <f t="shared" ca="1" si="101"/>
        <v>-3.1440781440781371E-2</v>
      </c>
    </row>
    <row r="712" spans="2:25" x14ac:dyDescent="0.45">
      <c r="B712" vm="5728">
        <f ca="1"/>
        <v>45196</v>
      </c>
      <c r="C712" vm="5729">
        <f ca="1"/>
        <v>312.79000000000002</v>
      </c>
      <c r="D712" vm="5728">
        <f ca="1"/>
        <v>45196</v>
      </c>
      <c r="E712" vm="5730">
        <f ca="1"/>
        <v>14.87</v>
      </c>
      <c r="F712" vm="5728">
        <f ca="1"/>
        <v>45196</v>
      </c>
      <c r="G712" vm="5731">
        <f ca="1"/>
        <v>229.5</v>
      </c>
      <c r="H712" vm="5728">
        <f ca="1"/>
        <v>45196</v>
      </c>
      <c r="I712" vm="5732">
        <f ca="1"/>
        <v>110.5</v>
      </c>
      <c r="J712" vm="5728">
        <f ca="1"/>
        <v>45196</v>
      </c>
      <c r="K712" vm="5733">
        <f ca="1"/>
        <v>32.1</v>
      </c>
      <c r="L712" vm="5728">
        <f ca="1"/>
        <v>45196</v>
      </c>
      <c r="M712" vm="5734">
        <f ca="1"/>
        <v>153.75</v>
      </c>
      <c r="N712" vm="5728">
        <f ca="1"/>
        <v>45196</v>
      </c>
      <c r="O712" vm="5735">
        <f ca="1"/>
        <v>95.88</v>
      </c>
      <c r="P712" vm="5728">
        <f ca="1"/>
        <v>45196</v>
      </c>
      <c r="Q712" vm="5736">
        <f ca="1"/>
        <v>31.562999999999999</v>
      </c>
      <c r="R712" s="29">
        <f t="shared" ca="1" si="95"/>
        <v>2.0823989235600505E-3</v>
      </c>
      <c r="S712" s="30">
        <f t="shared" ca="1" si="96"/>
        <v>-9.9866844207723276E-3</v>
      </c>
      <c r="T712" s="30">
        <f t="shared" ca="1" si="97"/>
        <v>-6.53167864141109E-4</v>
      </c>
      <c r="U712" s="30">
        <f t="shared" ca="1" si="98"/>
        <v>-2.0771245371625029E-3</v>
      </c>
      <c r="V712" s="30">
        <f t="shared" ca="1" si="99"/>
        <v>1.6788089958821702E-2</v>
      </c>
      <c r="W712" s="30">
        <f t="shared" ca="1" si="102"/>
        <v>9.1231294302965751E-3</v>
      </c>
      <c r="X712" s="30">
        <f t="shared" ca="1" si="100"/>
        <v>-4.273162939297126E-2</v>
      </c>
      <c r="Y712" s="31">
        <f t="shared" ca="1" si="101"/>
        <v>-5.2631578947368923E-3</v>
      </c>
    </row>
    <row r="713" spans="2:25" x14ac:dyDescent="0.45">
      <c r="B713" vm="5737">
        <f ca="1"/>
        <v>45197</v>
      </c>
      <c r="C713" vm="5738">
        <f ca="1"/>
        <v>313.64</v>
      </c>
      <c r="D713" vm="5737">
        <f ca="1"/>
        <v>45197</v>
      </c>
      <c r="E713" vm="5739">
        <f ca="1"/>
        <v>15.01</v>
      </c>
      <c r="F713" vm="5737">
        <f ca="1"/>
        <v>45197</v>
      </c>
      <c r="G713" vm="5740">
        <f ca="1"/>
        <v>231.66</v>
      </c>
      <c r="H713" vm="5737">
        <f ca="1"/>
        <v>45197</v>
      </c>
      <c r="I713" vm="5741">
        <f ca="1"/>
        <v>112</v>
      </c>
      <c r="J713" vm="5737">
        <f ca="1"/>
        <v>45197</v>
      </c>
      <c r="K713" vm="5742">
        <f ca="1"/>
        <v>32.25</v>
      </c>
      <c r="L713" vm="5737">
        <f ca="1"/>
        <v>45197</v>
      </c>
      <c r="M713" vm="5743">
        <f ca="1"/>
        <v>153.53</v>
      </c>
      <c r="N713" vm="5737">
        <f ca="1"/>
        <v>45197</v>
      </c>
      <c r="O713" vm="5712">
        <f ca="1"/>
        <v>91.48</v>
      </c>
      <c r="P713" vm="5737">
        <f ca="1"/>
        <v>45197</v>
      </c>
      <c r="Q713" vm="5744">
        <f ca="1"/>
        <v>32.892000000000003</v>
      </c>
      <c r="R713" s="29">
        <f t="shared" ca="1" si="95"/>
        <v>2.71747818024862E-3</v>
      </c>
      <c r="S713" s="30">
        <f t="shared" ca="1" si="96"/>
        <v>9.4149293880296282E-3</v>
      </c>
      <c r="T713" s="30">
        <f t="shared" ca="1" si="97"/>
        <v>9.4117647058823382E-3</v>
      </c>
      <c r="U713" s="30">
        <f t="shared" ca="1" si="98"/>
        <v>1.3574660633484163E-2</v>
      </c>
      <c r="V713" s="30">
        <f t="shared" ca="1" si="99"/>
        <v>4.6728971962616377E-3</v>
      </c>
      <c r="W713" s="30">
        <f t="shared" ca="1" si="102"/>
        <v>-1.4308943089430821E-3</v>
      </c>
      <c r="X713" s="30">
        <f t="shared" ca="1" si="100"/>
        <v>-4.5890696704213516E-2</v>
      </c>
      <c r="Y713" s="31">
        <f t="shared" ca="1" si="101"/>
        <v>4.2106263663150026E-2</v>
      </c>
    </row>
    <row r="714" spans="2:25" x14ac:dyDescent="0.45">
      <c r="B714" vm="5745">
        <f ca="1"/>
        <v>45198</v>
      </c>
      <c r="C714" vm="5746">
        <f ca="1"/>
        <v>315.75</v>
      </c>
      <c r="D714" vm="5745">
        <f ca="1"/>
        <v>45198</v>
      </c>
      <c r="E714" vm="5722">
        <f ca="1"/>
        <v>15.02</v>
      </c>
      <c r="F714" vm="5745">
        <f ca="1"/>
        <v>45198</v>
      </c>
      <c r="G714" vm="5747">
        <f ca="1"/>
        <v>230.01</v>
      </c>
      <c r="H714" vm="5745">
        <f ca="1"/>
        <v>45198</v>
      </c>
      <c r="I714" vm="5748">
        <f ca="1"/>
        <v>111.82</v>
      </c>
      <c r="J714" vm="5745">
        <f ca="1"/>
        <v>45198</v>
      </c>
      <c r="K714" vm="5749">
        <f ca="1"/>
        <v>32.479999999999997</v>
      </c>
      <c r="L714" vm="5745">
        <f ca="1"/>
        <v>45198</v>
      </c>
      <c r="M714" vm="5750">
        <f ca="1"/>
        <v>154.63999999999999</v>
      </c>
      <c r="N714" vm="5745">
        <f ca="1"/>
        <v>45198</v>
      </c>
      <c r="O714" vm="5751">
        <f ca="1"/>
        <v>93.28</v>
      </c>
      <c r="P714" vm="5745">
        <f ca="1"/>
        <v>45198</v>
      </c>
      <c r="Q714" vm="5752">
        <f ca="1"/>
        <v>32.828000000000003</v>
      </c>
      <c r="R714" s="29">
        <f t="shared" ca="1" si="95"/>
        <v>6.7274582323683645E-3</v>
      </c>
      <c r="S714" s="30">
        <f t="shared" ca="1" si="96"/>
        <v>6.6622251832110506E-4</v>
      </c>
      <c r="T714" s="30">
        <f t="shared" ca="1" si="97"/>
        <v>-7.1225071225071469E-3</v>
      </c>
      <c r="U714" s="30">
        <f t="shared" ca="1" si="98"/>
        <v>-1.607142857142918E-3</v>
      </c>
      <c r="V714" s="30">
        <f t="shared" ca="1" si="99"/>
        <v>7.131782945736337E-3</v>
      </c>
      <c r="W714" s="30">
        <f t="shared" ca="1" si="102"/>
        <v>7.2298573568682686E-3</v>
      </c>
      <c r="X714" s="30">
        <f t="shared" ca="1" si="100"/>
        <v>1.9676432006996033E-2</v>
      </c>
      <c r="Y714" s="31">
        <f t="shared" ca="1" si="101"/>
        <v>-1.9457618873890323E-3</v>
      </c>
    </row>
    <row r="715" spans="2:25" x14ac:dyDescent="0.45">
      <c r="B715" vm="5753">
        <f ca="1"/>
        <v>45201</v>
      </c>
      <c r="C715" vm="5754">
        <f ca="1"/>
        <v>321.8</v>
      </c>
      <c r="D715" vm="5753">
        <f ca="1"/>
        <v>45201</v>
      </c>
      <c r="E715" vm="5755">
        <f ca="1"/>
        <v>14.67</v>
      </c>
      <c r="F715" vm="5753">
        <f ca="1"/>
        <v>45201</v>
      </c>
      <c r="G715" vm="4993">
        <f ca="1"/>
        <v>231.27</v>
      </c>
      <c r="H715" vm="5753">
        <f ca="1"/>
        <v>45201</v>
      </c>
      <c r="I715" vm="5756">
        <f ca="1"/>
        <v>110.9</v>
      </c>
      <c r="J715" vm="5753">
        <f ca="1"/>
        <v>45201</v>
      </c>
      <c r="K715" vm="5757">
        <f ca="1"/>
        <v>32.770000000000003</v>
      </c>
      <c r="L715" vm="5753">
        <f ca="1"/>
        <v>45201</v>
      </c>
      <c r="M715" vm="5758">
        <f ca="1"/>
        <v>158.11000000000001</v>
      </c>
      <c r="N715" vm="5753">
        <f ca="1"/>
        <v>45201</v>
      </c>
      <c r="O715" vm="5759">
        <f ca="1"/>
        <v>93.44</v>
      </c>
      <c r="P715" vm="5753">
        <f ca="1"/>
        <v>45201</v>
      </c>
      <c r="Q715" vm="5760">
        <f ca="1"/>
        <v>32.948999999999998</v>
      </c>
      <c r="R715" s="29">
        <f t="shared" ca="1" si="95"/>
        <v>1.9160728424386417E-2</v>
      </c>
      <c r="S715" s="30">
        <f t="shared" ca="1" si="96"/>
        <v>-2.3302263648468685E-2</v>
      </c>
      <c r="T715" s="30">
        <f t="shared" ca="1" si="97"/>
        <v>5.4780226946655334E-3</v>
      </c>
      <c r="U715" s="30">
        <f t="shared" ca="1" si="98"/>
        <v>-8.2275084957967055E-3</v>
      </c>
      <c r="V715" s="30">
        <f t="shared" ca="1" si="99"/>
        <v>8.9285714285716224E-3</v>
      </c>
      <c r="W715" s="30">
        <f t="shared" ca="1" si="102"/>
        <v>2.2439213657527338E-2</v>
      </c>
      <c r="X715" s="30">
        <f t="shared" ca="1" si="100"/>
        <v>1.7152658662092258E-3</v>
      </c>
      <c r="Y715" s="31">
        <f t="shared" ca="1" si="101"/>
        <v>3.6858779091018369E-3</v>
      </c>
    </row>
    <row r="716" spans="2:25" x14ac:dyDescent="0.45">
      <c r="B716" vm="5761">
        <f ca="1"/>
        <v>45202</v>
      </c>
      <c r="C716" vm="5762">
        <f ca="1"/>
        <v>313.39</v>
      </c>
      <c r="D716" vm="5761">
        <f ca="1"/>
        <v>45202</v>
      </c>
      <c r="E716" vm="5763">
        <f ca="1"/>
        <v>14.78</v>
      </c>
      <c r="F716" vm="5761">
        <f ca="1"/>
        <v>45202</v>
      </c>
      <c r="G716" vm="5764">
        <f ca="1"/>
        <v>228.81</v>
      </c>
      <c r="H716" vm="5761">
        <f ca="1"/>
        <v>45202</v>
      </c>
      <c r="I716" vm="5765">
        <f ca="1"/>
        <v>110.26</v>
      </c>
      <c r="J716" vm="5761">
        <f ca="1"/>
        <v>45202</v>
      </c>
      <c r="K716" vm="5766">
        <f ca="1"/>
        <v>32.89</v>
      </c>
      <c r="L716" vm="5761">
        <f ca="1"/>
        <v>45202</v>
      </c>
      <c r="M716" vm="4518">
        <f ca="1"/>
        <v>154.51</v>
      </c>
      <c r="N716" vm="5761">
        <f ca="1"/>
        <v>45202</v>
      </c>
      <c r="O716" vm="4466">
        <f ca="1"/>
        <v>102.24</v>
      </c>
      <c r="P716" vm="5761">
        <f ca="1"/>
        <v>45202</v>
      </c>
      <c r="Q716" vm="5767">
        <f ca="1"/>
        <v>31.132999999999999</v>
      </c>
      <c r="R716" s="29">
        <f t="shared" ca="1" si="95"/>
        <v>-2.613424487259175E-2</v>
      </c>
      <c r="S716" s="30">
        <f t="shared" ca="1" si="96"/>
        <v>7.498295841854085E-3</v>
      </c>
      <c r="T716" s="30">
        <f t="shared" ca="1" si="97"/>
        <v>-1.0636917888182678E-2</v>
      </c>
      <c r="U716" s="30">
        <f t="shared" ca="1" si="98"/>
        <v>-5.7709648331830529E-3</v>
      </c>
      <c r="V716" s="30">
        <f t="shared" ca="1" si="99"/>
        <v>3.6618858712236016E-3</v>
      </c>
      <c r="W716" s="30">
        <f t="shared" ca="1" si="102"/>
        <v>-2.2768958320156994E-2</v>
      </c>
      <c r="X716" s="30">
        <f t="shared" ca="1" si="100"/>
        <v>9.4178082191780796E-2</v>
      </c>
      <c r="Y716" s="31">
        <f t="shared" ca="1" si="101"/>
        <v>-5.511548150171474E-2</v>
      </c>
    </row>
    <row r="717" spans="2:25" x14ac:dyDescent="0.45">
      <c r="B717" vm="5768">
        <f ca="1"/>
        <v>45203</v>
      </c>
      <c r="C717" vm="5769">
        <f ca="1"/>
        <v>318.95499999999998</v>
      </c>
      <c r="D717" vm="5768">
        <f ca="1"/>
        <v>45203</v>
      </c>
      <c r="E717" vm="5603">
        <f ca="1"/>
        <v>14.65</v>
      </c>
      <c r="F717" vm="5768">
        <f ca="1"/>
        <v>45203</v>
      </c>
      <c r="G717" vm="5770">
        <f ca="1"/>
        <v>231.22</v>
      </c>
      <c r="H717" vm="5768">
        <f ca="1"/>
        <v>45203</v>
      </c>
      <c r="I717" vm="5771">
        <f ca="1"/>
        <v>111.67</v>
      </c>
      <c r="J717" vm="5768">
        <f ca="1"/>
        <v>45203</v>
      </c>
      <c r="K717" vm="5772">
        <f ca="1"/>
        <v>32.61</v>
      </c>
      <c r="L717" vm="5768">
        <f ca="1"/>
        <v>45203</v>
      </c>
      <c r="M717" vm="5773">
        <f ca="1"/>
        <v>159.58000000000001</v>
      </c>
      <c r="N717" vm="5768">
        <f ca="1"/>
        <v>45203</v>
      </c>
      <c r="O717" vm="5774">
        <f ca="1"/>
        <v>97.12</v>
      </c>
      <c r="P717" vm="5768">
        <f ca="1"/>
        <v>45203</v>
      </c>
      <c r="Q717" vm="5775">
        <f ca="1"/>
        <v>32.04</v>
      </c>
      <c r="R717" s="29">
        <f t="shared" ca="1" si="95"/>
        <v>1.7757426848335933E-2</v>
      </c>
      <c r="S717" s="30">
        <f t="shared" ca="1" si="96"/>
        <v>-8.7956698240865359E-3</v>
      </c>
      <c r="T717" s="30">
        <f t="shared" ca="1" si="97"/>
        <v>1.0532756435470463E-2</v>
      </c>
      <c r="U717" s="30">
        <f t="shared" ca="1" si="98"/>
        <v>1.2787955740975843E-2</v>
      </c>
      <c r="V717" s="30">
        <f t="shared" ca="1" si="99"/>
        <v>-8.5132259045302867E-3</v>
      </c>
      <c r="W717" s="30">
        <f t="shared" ca="1" si="102"/>
        <v>3.2813410135266466E-2</v>
      </c>
      <c r="X717" s="30">
        <f t="shared" ca="1" si="100"/>
        <v>-5.0078247261345764E-2</v>
      </c>
      <c r="Y717" s="31">
        <f t="shared" ca="1" si="101"/>
        <v>2.913307422991681E-2</v>
      </c>
    </row>
    <row r="718" spans="2:25" x14ac:dyDescent="0.45">
      <c r="B718" vm="5776">
        <f ca="1"/>
        <v>45204</v>
      </c>
      <c r="C718" vm="5777">
        <f ca="1"/>
        <v>319.36</v>
      </c>
      <c r="D718" vm="5776">
        <f ca="1"/>
        <v>45204</v>
      </c>
      <c r="E718" vm="5778">
        <f ca="1"/>
        <v>14.83</v>
      </c>
      <c r="F718" vm="5776">
        <f ca="1"/>
        <v>45204</v>
      </c>
      <c r="G718" vm="4865">
        <f ca="1"/>
        <v>233.48</v>
      </c>
      <c r="H718" vm="5776">
        <f ca="1"/>
        <v>45204</v>
      </c>
      <c r="I718" vm="5779">
        <f ca="1"/>
        <v>110.35</v>
      </c>
      <c r="J718" vm="5776">
        <f ca="1"/>
        <v>45204</v>
      </c>
      <c r="K718" vm="5780">
        <f ca="1"/>
        <v>33</v>
      </c>
      <c r="L718" vm="5776">
        <f ca="1"/>
        <v>45204</v>
      </c>
      <c r="M718" vm="2819">
        <f ca="1"/>
        <v>157.31</v>
      </c>
      <c r="N718" vm="5776">
        <f ca="1"/>
        <v>45204</v>
      </c>
      <c r="O718" vm="5781">
        <f ca="1"/>
        <v>95.76</v>
      </c>
      <c r="P718" vm="5776">
        <f ca="1"/>
        <v>45204</v>
      </c>
      <c r="Q718" vm="5782">
        <f ca="1"/>
        <v>32.341999999999999</v>
      </c>
      <c r="R718" s="29">
        <f t="shared" ca="1" si="95"/>
        <v>1.2697715978744011E-3</v>
      </c>
      <c r="S718" s="30">
        <f t="shared" ca="1" si="96"/>
        <v>1.2286689419795202E-2</v>
      </c>
      <c r="T718" s="30">
        <f t="shared" ca="1" si="97"/>
        <v>9.7742409826139208E-3</v>
      </c>
      <c r="U718" s="30">
        <f t="shared" ca="1" si="98"/>
        <v>-1.1820542670368115E-2</v>
      </c>
      <c r="V718" s="30">
        <f t="shared" ca="1" si="99"/>
        <v>1.1959521619135252E-2</v>
      </c>
      <c r="W718" s="30">
        <f t="shared" ca="1" si="102"/>
        <v>-1.4224840205539603E-2</v>
      </c>
      <c r="X718" s="30">
        <f t="shared" ca="1" si="100"/>
        <v>-1.4003294892915973E-2</v>
      </c>
      <c r="Y718" s="31">
        <f t="shared" ca="1" si="101"/>
        <v>9.4257178526841335E-3</v>
      </c>
    </row>
    <row r="719" spans="2:25" x14ac:dyDescent="0.45">
      <c r="B719" vm="5783">
        <f ca="1"/>
        <v>45205</v>
      </c>
      <c r="C719" vm="5784">
        <f ca="1"/>
        <v>327.26</v>
      </c>
      <c r="D719" vm="5783">
        <f ca="1"/>
        <v>45205</v>
      </c>
      <c r="E719" vm="5408">
        <f ca="1"/>
        <v>14.45</v>
      </c>
      <c r="F719" vm="5783">
        <f ca="1"/>
        <v>45205</v>
      </c>
      <c r="G719" vm="5785">
        <f ca="1"/>
        <v>235.04</v>
      </c>
      <c r="H719" vm="5783">
        <f ca="1"/>
        <v>45205</v>
      </c>
      <c r="I719" vm="5786">
        <f ca="1"/>
        <v>110.64</v>
      </c>
      <c r="J719" vm="5783">
        <f ca="1"/>
        <v>45205</v>
      </c>
      <c r="K719" vm="5787">
        <f ca="1"/>
        <v>33.07</v>
      </c>
      <c r="L719" vm="5783">
        <f ca="1"/>
        <v>45205</v>
      </c>
      <c r="M719" vm="5788">
        <f ca="1"/>
        <v>160.53</v>
      </c>
      <c r="N719" vm="5783">
        <f ca="1"/>
        <v>45205</v>
      </c>
      <c r="O719" vm="5789">
        <f ca="1"/>
        <v>94.56</v>
      </c>
      <c r="P719" vm="5783">
        <f ca="1"/>
        <v>45205</v>
      </c>
      <c r="Q719" vm="5790">
        <f ca="1"/>
        <v>34.063000000000002</v>
      </c>
      <c r="R719" s="29">
        <f t="shared" ca="1" si="95"/>
        <v>2.4736973947895719E-2</v>
      </c>
      <c r="S719" s="30">
        <f t="shared" ca="1" si="96"/>
        <v>-2.5623735670937342E-2</v>
      </c>
      <c r="T719" s="30">
        <f t="shared" ca="1" si="97"/>
        <v>6.681514476614709E-3</v>
      </c>
      <c r="U719" s="30">
        <f t="shared" ca="1" si="98"/>
        <v>2.6280018124150996E-3</v>
      </c>
      <c r="V719" s="30">
        <f t="shared" ca="1" si="99"/>
        <v>2.1212121212121297E-3</v>
      </c>
      <c r="W719" s="30">
        <f t="shared" ca="1" si="102"/>
        <v>2.0469137372067885E-2</v>
      </c>
      <c r="X719" s="30">
        <f t="shared" ca="1" si="100"/>
        <v>-1.2531328320802034E-2</v>
      </c>
      <c r="Y719" s="31">
        <f t="shared" ca="1" si="101"/>
        <v>5.3212540968400335E-2</v>
      </c>
    </row>
    <row r="720" spans="2:25" x14ac:dyDescent="0.45">
      <c r="B720" vm="5791">
        <f ca="1"/>
        <v>45208</v>
      </c>
      <c r="C720" vm="5792">
        <f ca="1"/>
        <v>329.82</v>
      </c>
      <c r="D720" vm="5791">
        <f ca="1"/>
        <v>45208</v>
      </c>
      <c r="E720" vm="5587">
        <f ca="1"/>
        <v>14.73</v>
      </c>
      <c r="F720" vm="5791">
        <f ca="1"/>
        <v>45208</v>
      </c>
      <c r="G720" vm="5400">
        <f ca="1"/>
        <v>234.44</v>
      </c>
      <c r="H720" vm="5791">
        <f ca="1"/>
        <v>45208</v>
      </c>
      <c r="I720" vm="5793">
        <f ca="1"/>
        <v>111.28</v>
      </c>
      <c r="J720" vm="5791">
        <f ca="1"/>
        <v>45208</v>
      </c>
      <c r="K720" vm="5794">
        <f ca="1"/>
        <v>33.01</v>
      </c>
      <c r="L720" vm="5791">
        <f ca="1"/>
        <v>45208</v>
      </c>
      <c r="M720" vm="5795">
        <f ca="1"/>
        <v>156.44999999999999</v>
      </c>
      <c r="N720" vm="5791">
        <f ca="1"/>
        <v>45208</v>
      </c>
      <c r="O720" vm="5796">
        <f ca="1"/>
        <v>93.24</v>
      </c>
      <c r="P720" vm="5791">
        <f ca="1"/>
        <v>45208</v>
      </c>
      <c r="Q720" vm="5797">
        <f ca="1"/>
        <v>34.045000000000002</v>
      </c>
      <c r="R720" s="29">
        <f t="shared" ca="1" si="95"/>
        <v>7.822526431583458E-3</v>
      </c>
      <c r="S720" s="30">
        <f t="shared" ca="1" si="96"/>
        <v>1.9377162629757864E-2</v>
      </c>
      <c r="T720" s="30">
        <f t="shared" ca="1" si="97"/>
        <v>-2.5527569775357145E-3</v>
      </c>
      <c r="U720" s="30">
        <f t="shared" ca="1" si="98"/>
        <v>5.7845263919016681E-3</v>
      </c>
      <c r="V720" s="30">
        <f t="shared" ca="1" si="99"/>
        <v>-1.8143332325371113E-3</v>
      </c>
      <c r="W720" s="30">
        <f t="shared" ca="1" si="102"/>
        <v>-2.541581012894794E-2</v>
      </c>
      <c r="X720" s="30">
        <f t="shared" ca="1" si="100"/>
        <v>-1.3959390862944241E-2</v>
      </c>
      <c r="Y720" s="31">
        <f t="shared" ca="1" si="101"/>
        <v>-5.2843261016354047E-4</v>
      </c>
    </row>
    <row r="721" spans="2:25" x14ac:dyDescent="0.45">
      <c r="B721" vm="5798">
        <f ca="1"/>
        <v>45209</v>
      </c>
      <c r="C721" vm="160">
        <f ca="1"/>
        <v>328.39</v>
      </c>
      <c r="D721" vm="5798">
        <f ca="1"/>
        <v>45209</v>
      </c>
      <c r="E721" vm="5799">
        <f ca="1"/>
        <v>14.96</v>
      </c>
      <c r="F721" vm="5798">
        <f ca="1"/>
        <v>45209</v>
      </c>
      <c r="G721" vm="5800">
        <f ca="1"/>
        <v>236.6</v>
      </c>
      <c r="H721" vm="5798">
        <f ca="1"/>
        <v>45209</v>
      </c>
      <c r="I721" vm="5801">
        <f ca="1"/>
        <v>113.29</v>
      </c>
      <c r="J721" vm="5798">
        <f ca="1"/>
        <v>45209</v>
      </c>
      <c r="K721" vm="5802">
        <f ca="1"/>
        <v>33.08</v>
      </c>
      <c r="L721" vm="5798">
        <f ca="1"/>
        <v>45209</v>
      </c>
      <c r="M721" vm="5803">
        <f ca="1"/>
        <v>157.6</v>
      </c>
      <c r="N721" vm="5798">
        <f ca="1"/>
        <v>45209</v>
      </c>
      <c r="O721" vm="5804">
        <f ca="1"/>
        <v>90.12</v>
      </c>
      <c r="P721" vm="5798">
        <f ca="1"/>
        <v>45209</v>
      </c>
      <c r="Q721" vm="5805">
        <f ca="1"/>
        <v>34.045999999999999</v>
      </c>
      <c r="R721" s="29">
        <f t="shared" ca="1" si="95"/>
        <v>-4.3356982596568037E-3</v>
      </c>
      <c r="S721" s="30">
        <f t="shared" ca="1" si="96"/>
        <v>1.5614392396469818E-2</v>
      </c>
      <c r="T721" s="30">
        <f t="shared" ca="1" si="97"/>
        <v>9.2134448046408326E-3</v>
      </c>
      <c r="U721" s="30">
        <f t="shared" ca="1" si="98"/>
        <v>1.8062544931703856E-2</v>
      </c>
      <c r="V721" s="30">
        <f t="shared" ca="1" si="99"/>
        <v>2.1205695243865581E-3</v>
      </c>
      <c r="W721" s="30">
        <f t="shared" ca="1" si="102"/>
        <v>7.3505912432087301E-3</v>
      </c>
      <c r="X721" s="30">
        <f t="shared" ca="1" si="100"/>
        <v>-3.3462033462033358E-2</v>
      </c>
      <c r="Y721" s="31">
        <f t="shared" ca="1" si="101"/>
        <v>2.9372888823547344E-5</v>
      </c>
    </row>
    <row r="722" spans="2:25" x14ac:dyDescent="0.45">
      <c r="B722" vm="5806">
        <f ca="1"/>
        <v>45210</v>
      </c>
      <c r="C722" vm="5807">
        <f ca="1"/>
        <v>332.42</v>
      </c>
      <c r="D722" vm="5806">
        <f ca="1"/>
        <v>45210</v>
      </c>
      <c r="E722" vm="5579">
        <f ca="1"/>
        <v>14.77</v>
      </c>
      <c r="F722" vm="5806">
        <f ca="1"/>
        <v>45210</v>
      </c>
      <c r="G722" vm="5808">
        <f ca="1"/>
        <v>235.68</v>
      </c>
      <c r="H722" vm="5806">
        <f ca="1"/>
        <v>45210</v>
      </c>
      <c r="I722" vm="5809">
        <f ca="1"/>
        <v>113.38</v>
      </c>
      <c r="J722" vm="5806">
        <f ca="1"/>
        <v>45210</v>
      </c>
      <c r="K722" vm="5810">
        <f ca="1"/>
        <v>33.53</v>
      </c>
      <c r="L722" vm="5806">
        <f ca="1"/>
        <v>45210</v>
      </c>
      <c r="M722" vm="5811">
        <f ca="1"/>
        <v>156.57</v>
      </c>
      <c r="N722" vm="5806">
        <f ca="1"/>
        <v>45210</v>
      </c>
      <c r="O722" vm="5812">
        <f ca="1"/>
        <v>88.48</v>
      </c>
      <c r="P722" vm="5806">
        <f ca="1"/>
        <v>45210</v>
      </c>
      <c r="Q722" vm="5813">
        <f ca="1"/>
        <v>33.460999999999999</v>
      </c>
      <c r="R722" s="29">
        <f t="shared" ca="1" si="95"/>
        <v>1.2271993666067876E-2</v>
      </c>
      <c r="S722" s="30">
        <f t="shared" ca="1" si="96"/>
        <v>-1.2700534759358374E-2</v>
      </c>
      <c r="T722" s="30">
        <f t="shared" ca="1" si="97"/>
        <v>-3.8884192730346051E-3</v>
      </c>
      <c r="U722" s="30">
        <f t="shared" ca="1" si="98"/>
        <v>7.9442139641618147E-4</v>
      </c>
      <c r="V722" s="30">
        <f t="shared" ca="1" si="99"/>
        <v>1.3603385731559942E-2</v>
      </c>
      <c r="W722" s="30">
        <f t="shared" ca="1" si="102"/>
        <v>-6.5355329949238657E-3</v>
      </c>
      <c r="X722" s="30">
        <f t="shared" ca="1" si="100"/>
        <v>-1.8197958277851759E-2</v>
      </c>
      <c r="Y722" s="31">
        <f t="shared" ca="1" si="101"/>
        <v>-1.7182635258180135E-2</v>
      </c>
    </row>
    <row r="723" spans="2:25" x14ac:dyDescent="0.45">
      <c r="B723" vm="5814">
        <f ca="1"/>
        <v>45211</v>
      </c>
      <c r="C723" vm="5815">
        <f ca="1"/>
        <v>331.16</v>
      </c>
      <c r="D723" vm="5814">
        <f ca="1"/>
        <v>45211</v>
      </c>
      <c r="E723" vm="5408">
        <f ca="1"/>
        <v>14.45</v>
      </c>
      <c r="F723" vm="5814">
        <f ca="1"/>
        <v>45211</v>
      </c>
      <c r="G723" vm="5816">
        <f ca="1"/>
        <v>236.78</v>
      </c>
      <c r="H723" vm="5814">
        <f ca="1"/>
        <v>45211</v>
      </c>
      <c r="I723" vm="5817">
        <f ca="1"/>
        <v>108.94</v>
      </c>
      <c r="J723" vm="5814">
        <f ca="1"/>
        <v>45211</v>
      </c>
      <c r="K723" vm="5818">
        <f ca="1"/>
        <v>33.57</v>
      </c>
      <c r="L723" vm="5814">
        <f ca="1"/>
        <v>45211</v>
      </c>
      <c r="M723" vm="5819">
        <f ca="1"/>
        <v>158.12</v>
      </c>
      <c r="N723" vm="5814">
        <f ca="1"/>
        <v>45211</v>
      </c>
      <c r="O723" vm="5418">
        <f ca="1"/>
        <v>90.4</v>
      </c>
      <c r="P723" vm="5814">
        <f ca="1"/>
        <v>45211</v>
      </c>
      <c r="Q723" vm="5820">
        <f ca="1"/>
        <v>32.36</v>
      </c>
      <c r="R723" s="29">
        <f t="shared" ca="1" si="95"/>
        <v>-3.7903856566993289E-3</v>
      </c>
      <c r="S723" s="30">
        <f t="shared" ca="1" si="96"/>
        <v>-2.1665538253215998E-2</v>
      </c>
      <c r="T723" s="30">
        <f t="shared" ca="1" si="97"/>
        <v>4.6673455532925756E-3</v>
      </c>
      <c r="U723" s="30">
        <f t="shared" ca="1" si="98"/>
        <v>-3.9160345739989395E-2</v>
      </c>
      <c r="V723" s="30">
        <f t="shared" ca="1" si="99"/>
        <v>1.192961526990729E-3</v>
      </c>
      <c r="W723" s="30">
        <f t="shared" ca="1" si="102"/>
        <v>9.8997253624577598E-3</v>
      </c>
      <c r="X723" s="30">
        <f t="shared" ca="1" si="100"/>
        <v>2.1699819168173616E-2</v>
      </c>
      <c r="Y723" s="31">
        <f t="shared" ca="1" si="101"/>
        <v>-3.2903977765159416E-2</v>
      </c>
    </row>
    <row r="724" spans="2:25" x14ac:dyDescent="0.45">
      <c r="B724" vm="5821">
        <f ca="1"/>
        <v>45212</v>
      </c>
      <c r="C724" vm="5822">
        <f ca="1"/>
        <v>327.73</v>
      </c>
      <c r="D724" vm="5821">
        <f ca="1"/>
        <v>45212</v>
      </c>
      <c r="E724" vm="5823">
        <f ca="1"/>
        <v>14.36</v>
      </c>
      <c r="F724" vm="5821">
        <f ca="1"/>
        <v>45212</v>
      </c>
      <c r="G724" vm="5824">
        <f ca="1"/>
        <v>237.67</v>
      </c>
      <c r="H724" vm="5821">
        <f ca="1"/>
        <v>45212</v>
      </c>
      <c r="I724" vm="5825">
        <f ca="1"/>
        <v>110.51</v>
      </c>
      <c r="J724" vm="5821">
        <f ca="1"/>
        <v>45212</v>
      </c>
      <c r="K724" vm="5826">
        <f ca="1"/>
        <v>33.25</v>
      </c>
      <c r="L724" vm="5821">
        <f ca="1"/>
        <v>45212</v>
      </c>
      <c r="M724" vm="5827">
        <f ca="1"/>
        <v>153.56</v>
      </c>
      <c r="N724" vm="5821">
        <f ca="1"/>
        <v>45212</v>
      </c>
      <c r="O724" vm="5828">
        <f ca="1"/>
        <v>101.28</v>
      </c>
      <c r="P724" vm="5821">
        <f ca="1"/>
        <v>45212</v>
      </c>
      <c r="Q724" vm="5829">
        <f ca="1"/>
        <v>31.821999999999999</v>
      </c>
      <c r="R724" s="29">
        <f t="shared" ca="1" si="95"/>
        <v>-1.0357531102790212E-2</v>
      </c>
      <c r="S724" s="30">
        <f t="shared" ca="1" si="96"/>
        <v>-6.2283737024221358E-3</v>
      </c>
      <c r="T724" s="30">
        <f t="shared" ca="1" si="97"/>
        <v>3.7587634090716546E-3</v>
      </c>
      <c r="U724" s="30">
        <f t="shared" ca="1" si="98"/>
        <v>1.4411602717092045E-2</v>
      </c>
      <c r="V724" s="30">
        <f t="shared" ca="1" si="99"/>
        <v>-9.5323205242776373E-3</v>
      </c>
      <c r="W724" s="30">
        <f t="shared" ca="1" si="102"/>
        <v>-2.8838856564634467E-2</v>
      </c>
      <c r="X724" s="30">
        <f t="shared" ca="1" si="100"/>
        <v>0.1203539823008849</v>
      </c>
      <c r="Y724" s="31">
        <f t="shared" ca="1" si="101"/>
        <v>-1.6625463535228684E-2</v>
      </c>
    </row>
    <row r="725" spans="2:25" x14ac:dyDescent="0.45">
      <c r="B725" vm="5830">
        <f ca="1"/>
        <v>45215</v>
      </c>
      <c r="C725" vm="5831">
        <f ca="1"/>
        <v>332.64</v>
      </c>
      <c r="D725" vm="5830">
        <f ca="1"/>
        <v>45215</v>
      </c>
      <c r="E725" vm="5832">
        <f ca="1"/>
        <v>14.41</v>
      </c>
      <c r="F725" vm="5830">
        <f ca="1"/>
        <v>45215</v>
      </c>
      <c r="G725" vm="5833">
        <f ca="1"/>
        <v>240.07</v>
      </c>
      <c r="H725" vm="5830">
        <f ca="1"/>
        <v>45215</v>
      </c>
      <c r="I725" vm="5834">
        <f ca="1"/>
        <v>111.5</v>
      </c>
      <c r="J725" vm="5830">
        <f ca="1"/>
        <v>45215</v>
      </c>
      <c r="K725" vm="5780">
        <f ca="1"/>
        <v>33</v>
      </c>
      <c r="L725" vm="5830">
        <f ca="1"/>
        <v>45215</v>
      </c>
      <c r="M725" vm="5819">
        <f ca="1"/>
        <v>158.12</v>
      </c>
      <c r="N725" vm="5830">
        <f ca="1"/>
        <v>45215</v>
      </c>
      <c r="O725" vm="5835">
        <f ca="1"/>
        <v>91.64</v>
      </c>
      <c r="P725" vm="5830">
        <f ca="1"/>
        <v>45215</v>
      </c>
      <c r="Q725" vm="5836">
        <f ca="1"/>
        <v>32.58</v>
      </c>
      <c r="R725" s="29">
        <f t="shared" ca="1" si="95"/>
        <v>1.4981844811277479E-2</v>
      </c>
      <c r="S725" s="30">
        <f t="shared" ca="1" si="96"/>
        <v>3.4818941504178771E-3</v>
      </c>
      <c r="T725" s="30">
        <f t="shared" ca="1" si="97"/>
        <v>1.0098035090671965E-2</v>
      </c>
      <c r="U725" s="30">
        <f t="shared" ca="1" si="98"/>
        <v>8.9584652972581197E-3</v>
      </c>
      <c r="V725" s="30">
        <f t="shared" ca="1" si="99"/>
        <v>-7.5187969924812026E-3</v>
      </c>
      <c r="W725" s="30">
        <f t="shared" ca="1" si="102"/>
        <v>2.9695233133628565E-2</v>
      </c>
      <c r="X725" s="30">
        <f t="shared" ca="1" si="100"/>
        <v>-9.5181674565560828E-2</v>
      </c>
      <c r="Y725" s="31">
        <f t="shared" ca="1" si="101"/>
        <v>2.3819998743007956E-2</v>
      </c>
    </row>
    <row r="726" spans="2:25" x14ac:dyDescent="0.45">
      <c r="B726" vm="5837">
        <f ca="1"/>
        <v>45216</v>
      </c>
      <c r="C726" vm="5838">
        <f ca="1"/>
        <v>332.06</v>
      </c>
      <c r="D726" vm="5837">
        <f ca="1"/>
        <v>45216</v>
      </c>
      <c r="E726" vm="5839">
        <f ca="1"/>
        <v>14.58</v>
      </c>
      <c r="F726" vm="5837">
        <f ca="1"/>
        <v>45216</v>
      </c>
      <c r="G726" vm="5840">
        <f ca="1"/>
        <v>241.2</v>
      </c>
      <c r="H726" vm="5837">
        <f ca="1"/>
        <v>45216</v>
      </c>
      <c r="I726" vm="5841">
        <f ca="1"/>
        <v>112.4</v>
      </c>
      <c r="J726" vm="5837">
        <f ca="1"/>
        <v>45216</v>
      </c>
      <c r="K726" vm="5842">
        <f ca="1"/>
        <v>33.200000000000003</v>
      </c>
      <c r="L726" vm="5837">
        <f ca="1"/>
        <v>45216</v>
      </c>
      <c r="M726" vm="5843">
        <f ca="1"/>
        <v>157.33000000000001</v>
      </c>
      <c r="N726" vm="5837">
        <f ca="1"/>
        <v>45216</v>
      </c>
      <c r="O726" vm="5844">
        <f ca="1"/>
        <v>94.2</v>
      </c>
      <c r="P726" vm="5837">
        <f ca="1"/>
        <v>45216</v>
      </c>
      <c r="Q726" vm="5845">
        <f ca="1"/>
        <v>33.540999999999997</v>
      </c>
      <c r="R726" s="29">
        <f t="shared" ca="1" si="95"/>
        <v>-1.7436267436266959E-3</v>
      </c>
      <c r="S726" s="30">
        <f t="shared" ca="1" si="96"/>
        <v>1.1797362942401106E-2</v>
      </c>
      <c r="T726" s="30">
        <f t="shared" ca="1" si="97"/>
        <v>4.7069604698629381E-3</v>
      </c>
      <c r="U726" s="30">
        <f t="shared" ca="1" si="98"/>
        <v>8.0717488789238175E-3</v>
      </c>
      <c r="V726" s="30">
        <f t="shared" ca="1" si="99"/>
        <v>6.0606060606061465E-3</v>
      </c>
      <c r="W726" s="30">
        <f t="shared" ca="1" si="102"/>
        <v>-4.9962054136098661E-3</v>
      </c>
      <c r="X726" s="30">
        <f t="shared" ca="1" si="100"/>
        <v>2.7935399388913162E-2</v>
      </c>
      <c r="Y726" s="31">
        <f t="shared" ca="1" si="101"/>
        <v>2.949662369551868E-2</v>
      </c>
    </row>
    <row r="727" spans="2:25" x14ac:dyDescent="0.45">
      <c r="B727" vm="5846">
        <f ca="1"/>
        <v>45217</v>
      </c>
      <c r="C727" vm="5451">
        <f ca="1"/>
        <v>330.11</v>
      </c>
      <c r="D727" vm="5846">
        <f ca="1"/>
        <v>45217</v>
      </c>
      <c r="E727" vm="5847">
        <f ca="1"/>
        <v>14.32</v>
      </c>
      <c r="F727" vm="5846">
        <f ca="1"/>
        <v>45217</v>
      </c>
      <c r="G727" vm="5848">
        <f ca="1"/>
        <v>237.47</v>
      </c>
      <c r="H727" vm="5846">
        <f ca="1"/>
        <v>45217</v>
      </c>
      <c r="I727" vm="5849">
        <f ca="1"/>
        <v>108.61</v>
      </c>
      <c r="J727" vm="5846">
        <f ca="1"/>
        <v>45217</v>
      </c>
      <c r="K727" vm="5850">
        <f ca="1"/>
        <v>32.46</v>
      </c>
      <c r="L727" vm="5846">
        <f ca="1"/>
        <v>45217</v>
      </c>
      <c r="M727" vm="5851">
        <f ca="1"/>
        <v>148.91999999999999</v>
      </c>
      <c r="N727" vm="5846">
        <f ca="1"/>
        <v>45217</v>
      </c>
      <c r="O727" vm="5852">
        <f ca="1"/>
        <v>100.24</v>
      </c>
      <c r="P727" vm="5846">
        <f ca="1"/>
        <v>45217</v>
      </c>
      <c r="Q727" vm="5853">
        <f ca="1"/>
        <v>32.914000000000001</v>
      </c>
      <c r="R727" s="29">
        <f t="shared" ca="1" si="95"/>
        <v>-5.8724326928867934E-3</v>
      </c>
      <c r="S727" s="30">
        <f t="shared" ca="1" si="96"/>
        <v>-1.7832647462277078E-2</v>
      </c>
      <c r="T727" s="30">
        <f t="shared" ca="1" si="97"/>
        <v>-1.546434494195684E-2</v>
      </c>
      <c r="U727" s="30">
        <f t="shared" ca="1" si="98"/>
        <v>-3.3718861209964465E-2</v>
      </c>
      <c r="V727" s="30">
        <f t="shared" ca="1" si="99"/>
        <v>-2.2289156626506081E-2</v>
      </c>
      <c r="W727" s="30">
        <f t="shared" ca="1" si="102"/>
        <v>-5.3454522341575189E-2</v>
      </c>
      <c r="X727" s="30">
        <f t="shared" ca="1" si="100"/>
        <v>6.411889596602964E-2</v>
      </c>
      <c r="Y727" s="31">
        <f t="shared" ca="1" si="101"/>
        <v>-1.8693539250469439E-2</v>
      </c>
    </row>
    <row r="728" spans="2:25" x14ac:dyDescent="0.45">
      <c r="B728" vm="5854">
        <f ca="1"/>
        <v>45218</v>
      </c>
      <c r="C728" vm="5855">
        <f ca="1"/>
        <v>331.32</v>
      </c>
      <c r="D728" vm="5854">
        <f ca="1"/>
        <v>45218</v>
      </c>
      <c r="E728" vm="5856">
        <f ca="1"/>
        <v>15.26</v>
      </c>
      <c r="F728" vm="5854">
        <f ca="1"/>
        <v>45218</v>
      </c>
      <c r="G728" vm="5857">
        <f ca="1"/>
        <v>233.81</v>
      </c>
      <c r="H728" vm="5854">
        <f ca="1"/>
        <v>45218</v>
      </c>
      <c r="I728" vm="5858">
        <f ca="1"/>
        <v>109.51</v>
      </c>
      <c r="J728" vm="5854">
        <f ca="1"/>
        <v>45218</v>
      </c>
      <c r="K728" vm="5540">
        <f ca="1"/>
        <v>32.020000000000003</v>
      </c>
      <c r="L728" vm="5854">
        <f ca="1"/>
        <v>45218</v>
      </c>
      <c r="M728" vm="5859">
        <f ca="1"/>
        <v>149.97</v>
      </c>
      <c r="N728" vm="5854">
        <f ca="1"/>
        <v>45218</v>
      </c>
      <c r="O728" vm="5860">
        <f ca="1"/>
        <v>105.2</v>
      </c>
      <c r="P728" vm="5854">
        <f ca="1"/>
        <v>45218</v>
      </c>
      <c r="Q728" vm="5861">
        <f ca="1"/>
        <v>34.234999999999999</v>
      </c>
      <c r="R728" s="29">
        <f t="shared" ca="1" si="95"/>
        <v>3.6654448517160327E-3</v>
      </c>
      <c r="S728" s="30">
        <f t="shared" ca="1" si="96"/>
        <v>6.5642458100558618E-2</v>
      </c>
      <c r="T728" s="30">
        <f t="shared" ca="1" si="97"/>
        <v>-1.5412473154503713E-2</v>
      </c>
      <c r="U728" s="30">
        <f t="shared" ca="1" si="98"/>
        <v>8.2865297854710033E-3</v>
      </c>
      <c r="V728" s="30">
        <f t="shared" ca="1" si="99"/>
        <v>-1.3555144793592043E-2</v>
      </c>
      <c r="W728" s="30">
        <f t="shared" ca="1" si="102"/>
        <v>7.0507655116842025E-3</v>
      </c>
      <c r="X728" s="30">
        <f t="shared" ca="1" si="100"/>
        <v>4.9481245011971348E-2</v>
      </c>
      <c r="Y728" s="31">
        <f t="shared" ca="1" si="101"/>
        <v>4.0134897004314211E-2</v>
      </c>
    </row>
    <row r="729" spans="2:25" x14ac:dyDescent="0.45">
      <c r="B729" vm="5862">
        <f ca="1"/>
        <v>45219</v>
      </c>
      <c r="C729" vm="5863">
        <f ca="1"/>
        <v>326.67</v>
      </c>
      <c r="D729" vm="5862">
        <f ca="1"/>
        <v>45219</v>
      </c>
      <c r="E729" vm="5864">
        <f ca="1"/>
        <v>15.38</v>
      </c>
      <c r="F729" vm="5862">
        <f ca="1"/>
        <v>45219</v>
      </c>
      <c r="G729" vm="5865">
        <f ca="1"/>
        <v>233.38</v>
      </c>
      <c r="H729" vm="5862">
        <f ca="1"/>
        <v>45219</v>
      </c>
      <c r="I729" vm="5866">
        <f ca="1"/>
        <v>109.23</v>
      </c>
      <c r="J729" vm="5862">
        <f ca="1"/>
        <v>45219</v>
      </c>
      <c r="K729" vm="5867">
        <f ca="1"/>
        <v>31.84</v>
      </c>
      <c r="L729" vm="5862">
        <f ca="1"/>
        <v>45219</v>
      </c>
      <c r="M729" vm="5868">
        <f ca="1"/>
        <v>149.91999999999999</v>
      </c>
      <c r="N729" vm="5862">
        <f ca="1"/>
        <v>45219</v>
      </c>
      <c r="O729" vm="5869">
        <f ca="1"/>
        <v>105.84</v>
      </c>
      <c r="P729" vm="5862">
        <f ca="1"/>
        <v>45219</v>
      </c>
      <c r="Q729" vm="5870">
        <f ca="1"/>
        <v>34.804000000000002</v>
      </c>
      <c r="R729" s="29">
        <f t="shared" ca="1" si="95"/>
        <v>-1.403477001086556E-2</v>
      </c>
      <c r="S729" s="30">
        <f t="shared" ca="1" si="96"/>
        <v>7.8636959370904976E-3</v>
      </c>
      <c r="T729" s="30">
        <f t="shared" ca="1" si="97"/>
        <v>-1.8391001240323631E-3</v>
      </c>
      <c r="U729" s="30">
        <f t="shared" ca="1" si="98"/>
        <v>-2.5568441238243184E-3</v>
      </c>
      <c r="V729" s="30">
        <f t="shared" ca="1" si="99"/>
        <v>-5.6214865708932929E-3</v>
      </c>
      <c r="W729" s="30">
        <f t="shared" ca="1" si="102"/>
        <v>-3.3340001333607636E-4</v>
      </c>
      <c r="X729" s="30">
        <f t="shared" ca="1" si="100"/>
        <v>6.0836501901140733E-3</v>
      </c>
      <c r="Y729" s="31">
        <f t="shared" ca="1" si="101"/>
        <v>1.6620417701183075E-2</v>
      </c>
    </row>
    <row r="730" spans="2:25" x14ac:dyDescent="0.45">
      <c r="B730" vm="5871">
        <f ca="1"/>
        <v>45222</v>
      </c>
      <c r="C730" vm="5872">
        <f ca="1"/>
        <v>329.32</v>
      </c>
      <c r="D730" vm="5871">
        <f ca="1"/>
        <v>45222</v>
      </c>
      <c r="E730" vm="5374">
        <f ca="1"/>
        <v>14.95</v>
      </c>
      <c r="F730" vm="5871">
        <f ca="1"/>
        <v>45222</v>
      </c>
      <c r="G730" vm="5873">
        <f ca="1"/>
        <v>231.53</v>
      </c>
      <c r="H730" vm="5871">
        <f ca="1"/>
        <v>45222</v>
      </c>
      <c r="I730" vm="5874">
        <f ca="1"/>
        <v>109.34</v>
      </c>
      <c r="J730" vm="5871">
        <f ca="1"/>
        <v>45222</v>
      </c>
      <c r="K730" vm="5687">
        <f ca="1"/>
        <v>31.66</v>
      </c>
      <c r="L730" vm="5871">
        <f ca="1"/>
        <v>45222</v>
      </c>
      <c r="M730" vm="2199">
        <f ca="1"/>
        <v>154.61000000000001</v>
      </c>
      <c r="N730" vm="5871">
        <f ca="1"/>
        <v>45222</v>
      </c>
      <c r="O730" vm="5875">
        <f ca="1"/>
        <v>102.2</v>
      </c>
      <c r="P730" vm="5871">
        <f ca="1"/>
        <v>45222</v>
      </c>
      <c r="Q730" vm="5876">
        <f ca="1"/>
        <v>37.749000000000002</v>
      </c>
      <c r="R730" s="29">
        <f t="shared" ca="1" si="95"/>
        <v>8.1121621207946165E-3</v>
      </c>
      <c r="S730" s="30">
        <f t="shared" ca="1" si="96"/>
        <v>-2.7958387516254971E-2</v>
      </c>
      <c r="T730" s="30">
        <f t="shared" ca="1" si="97"/>
        <v>-7.9269860313651314E-3</v>
      </c>
      <c r="U730" s="30">
        <f t="shared" ca="1" si="98"/>
        <v>1.0070493454179203E-3</v>
      </c>
      <c r="V730" s="30">
        <f t="shared" ca="1" si="99"/>
        <v>-5.653266331658283E-3</v>
      </c>
      <c r="W730" s="30">
        <f t="shared" ca="1" si="102"/>
        <v>3.1283351120597831E-2</v>
      </c>
      <c r="X730" s="30">
        <f t="shared" ca="1" si="100"/>
        <v>-3.4391534391534397E-2</v>
      </c>
      <c r="Y730" s="31">
        <f t="shared" ca="1" si="101"/>
        <v>8.4616710722905414E-2</v>
      </c>
    </row>
    <row r="731" spans="2:25" x14ac:dyDescent="0.45">
      <c r="B731" vm="5877">
        <f ca="1"/>
        <v>45223</v>
      </c>
      <c r="C731" vm="5878">
        <f ca="1"/>
        <v>330.53</v>
      </c>
      <c r="D731" vm="5877">
        <f ca="1"/>
        <v>45223</v>
      </c>
      <c r="E731" vm="3837">
        <f ca="1"/>
        <v>15.53</v>
      </c>
      <c r="F731" vm="5877">
        <f ca="1"/>
        <v>45223</v>
      </c>
      <c r="G731" vm="5879">
        <f ca="1"/>
        <v>234.65</v>
      </c>
      <c r="H731" vm="5877">
        <f ca="1"/>
        <v>45223</v>
      </c>
      <c r="I731" vm="5880">
        <f ca="1"/>
        <v>105.64</v>
      </c>
      <c r="J731" vm="5877">
        <f ca="1"/>
        <v>45223</v>
      </c>
      <c r="K731" vm="5749">
        <f ca="1"/>
        <v>32.479999999999997</v>
      </c>
      <c r="L731" vm="5877">
        <f ca="1"/>
        <v>45223</v>
      </c>
      <c r="M731" vm="5881">
        <f ca="1"/>
        <v>170.63</v>
      </c>
      <c r="N731" vm="5877">
        <f ca="1"/>
        <v>45223</v>
      </c>
      <c r="O731" vm="5882">
        <f ca="1"/>
        <v>97.56</v>
      </c>
      <c r="P731" vm="5877">
        <f ca="1"/>
        <v>45223</v>
      </c>
      <c r="Q731" vm="5883">
        <f ca="1"/>
        <v>42.487000000000002</v>
      </c>
      <c r="R731" s="29">
        <f t="shared" ca="1" si="95"/>
        <v>3.6742378233935976E-3</v>
      </c>
      <c r="S731" s="30">
        <f t="shared" ca="1" si="96"/>
        <v>3.8795986622073585E-2</v>
      </c>
      <c r="T731" s="30">
        <f t="shared" ca="1" si="97"/>
        <v>1.3475575519371159E-2</v>
      </c>
      <c r="U731" s="30">
        <f t="shared" ca="1" si="98"/>
        <v>-3.3839400036583159E-2</v>
      </c>
      <c r="V731" s="30">
        <f t="shared" ca="1" si="99"/>
        <v>2.5900189513581702E-2</v>
      </c>
      <c r="W731" s="30">
        <f t="shared" ca="1" si="102"/>
        <v>0.10361554880020685</v>
      </c>
      <c r="X731" s="30">
        <f t="shared" ca="1" si="100"/>
        <v>-4.5401174168297462E-2</v>
      </c>
      <c r="Y731" s="31">
        <f t="shared" ca="1" si="101"/>
        <v>0.12551325862936766</v>
      </c>
    </row>
    <row r="732" spans="2:25" x14ac:dyDescent="0.45">
      <c r="B732" vm="5884">
        <f ca="1"/>
        <v>45224</v>
      </c>
      <c r="C732" vm="5885">
        <f ca="1"/>
        <v>340.67</v>
      </c>
      <c r="D732" vm="5884">
        <f ca="1"/>
        <v>45224</v>
      </c>
      <c r="E732" vm="5886">
        <f ca="1"/>
        <v>15.19</v>
      </c>
      <c r="F732" vm="5884">
        <f ca="1"/>
        <v>45224</v>
      </c>
      <c r="G732" vm="5887">
        <f ca="1"/>
        <v>236.85</v>
      </c>
      <c r="H732" vm="5884">
        <f ca="1"/>
        <v>45224</v>
      </c>
      <c r="I732" vm="5888">
        <f ca="1"/>
        <v>103.4</v>
      </c>
      <c r="J732" vm="5884">
        <f ca="1"/>
        <v>45224</v>
      </c>
      <c r="K732" vm="9">
        <f ca="1"/>
        <v>32.4</v>
      </c>
      <c r="L732" vm="5884">
        <f ca="1"/>
        <v>45224</v>
      </c>
      <c r="M732" vm="5889">
        <f ca="1"/>
        <v>161.82</v>
      </c>
      <c r="N732" vm="5884">
        <f ca="1"/>
        <v>45224</v>
      </c>
      <c r="O732" vm="5890">
        <f ca="1"/>
        <v>103.92</v>
      </c>
      <c r="P732" vm="5884">
        <f ca="1"/>
        <v>45224</v>
      </c>
      <c r="Q732" vm="5891">
        <f ca="1"/>
        <v>43.322000000000003</v>
      </c>
      <c r="R732" s="29">
        <f t="shared" ca="1" si="95"/>
        <v>3.0678001996793162E-2</v>
      </c>
      <c r="S732" s="30">
        <f t="shared" ca="1" si="96"/>
        <v>-2.1893110109465541E-2</v>
      </c>
      <c r="T732" s="30">
        <f t="shared" ca="1" si="97"/>
        <v>9.3756658853611282E-3</v>
      </c>
      <c r="U732" s="30">
        <f t="shared" ca="1" si="98"/>
        <v>-2.1204089360090828E-2</v>
      </c>
      <c r="V732" s="30">
        <f t="shared" ca="1" si="99"/>
        <v>-2.4630541871920658E-3</v>
      </c>
      <c r="W732" s="30">
        <f t="shared" ca="1" si="102"/>
        <v>-5.1632186602590412E-2</v>
      </c>
      <c r="X732" s="30">
        <f t="shared" ca="1" si="100"/>
        <v>6.5190651906519057E-2</v>
      </c>
      <c r="Y732" s="31">
        <f t="shared" ca="1" si="101"/>
        <v>1.9653070350930894E-2</v>
      </c>
    </row>
    <row r="733" spans="2:25" x14ac:dyDescent="0.45">
      <c r="B733" vm="5892">
        <f ca="1"/>
        <v>45225</v>
      </c>
      <c r="C733" vm="5893">
        <f ca="1"/>
        <v>327.89</v>
      </c>
      <c r="D733" vm="5892">
        <f ca="1"/>
        <v>45225</v>
      </c>
      <c r="E733" vm="3915">
        <f ca="1"/>
        <v>15.12</v>
      </c>
      <c r="F733" vm="5892">
        <f ca="1"/>
        <v>45225</v>
      </c>
      <c r="G733" vm="5055">
        <f ca="1"/>
        <v>231.28</v>
      </c>
      <c r="H733" vm="5892">
        <f ca="1"/>
        <v>45225</v>
      </c>
      <c r="I733" vm="5894">
        <f ca="1"/>
        <v>104.31</v>
      </c>
      <c r="J733" vm="5892">
        <f ca="1"/>
        <v>45225</v>
      </c>
      <c r="K733" vm="5895">
        <f ca="1"/>
        <v>32.57</v>
      </c>
      <c r="L733" vm="5892">
        <f ca="1"/>
        <v>45225</v>
      </c>
      <c r="M733" vm="5896">
        <f ca="1"/>
        <v>158.38</v>
      </c>
      <c r="N733" vm="5892">
        <f ca="1"/>
        <v>45225</v>
      </c>
      <c r="O733" vm="5897">
        <f ca="1"/>
        <v>104.84</v>
      </c>
      <c r="P733" vm="5892">
        <f ca="1"/>
        <v>45225</v>
      </c>
      <c r="Q733" vm="5898">
        <f ca="1"/>
        <v>41.344999999999999</v>
      </c>
      <c r="R733" s="29">
        <f t="shared" ca="1" si="95"/>
        <v>-3.7514310036105405E-2</v>
      </c>
      <c r="S733" s="30">
        <f t="shared" ca="1" si="96"/>
        <v>-4.6082949308755951E-3</v>
      </c>
      <c r="T733" s="30">
        <f t="shared" ca="1" si="97"/>
        <v>-2.3516993877981816E-2</v>
      </c>
      <c r="U733" s="30">
        <f t="shared" ca="1" si="98"/>
        <v>8.8007736943906817E-3</v>
      </c>
      <c r="V733" s="30">
        <f t="shared" ca="1" si="99"/>
        <v>5.2469135802469665E-3</v>
      </c>
      <c r="W733" s="30">
        <f t="shared" ca="1" si="102"/>
        <v>-2.1258188110245938E-2</v>
      </c>
      <c r="X733" s="30">
        <f t="shared" ca="1" si="100"/>
        <v>8.8529638183218028E-3</v>
      </c>
      <c r="Y733" s="31">
        <f t="shared" ca="1" si="101"/>
        <v>-4.5635012233968972E-2</v>
      </c>
    </row>
    <row r="734" spans="2:25" x14ac:dyDescent="0.45">
      <c r="B734" vm="5899">
        <f ca="1"/>
        <v>45226</v>
      </c>
      <c r="C734" vm="5900">
        <f ca="1"/>
        <v>329.81</v>
      </c>
      <c r="D734" vm="5899">
        <f ca="1"/>
        <v>45226</v>
      </c>
      <c r="E734" vm="5901">
        <f ca="1"/>
        <v>14.82</v>
      </c>
      <c r="F734" vm="5899">
        <f ca="1"/>
        <v>45226</v>
      </c>
      <c r="G734" vm="5902">
        <f ca="1"/>
        <v>229.27</v>
      </c>
      <c r="H734" vm="5899">
        <f ca="1"/>
        <v>45226</v>
      </c>
      <c r="I734" vm="5903">
        <f ca="1"/>
        <v>102.77</v>
      </c>
      <c r="J734" vm="5899">
        <f ca="1"/>
        <v>45226</v>
      </c>
      <c r="K734" vm="2961">
        <f ca="1"/>
        <v>33.590000000000003</v>
      </c>
      <c r="L734" vm="5899">
        <f ca="1"/>
        <v>45226</v>
      </c>
      <c r="M734" vm="5904">
        <f ca="1"/>
        <v>159.35</v>
      </c>
      <c r="N734" vm="5899">
        <f ca="1"/>
        <v>45226</v>
      </c>
      <c r="O734" vm="5905">
        <f ca="1"/>
        <v>108.32</v>
      </c>
      <c r="P734" vm="5899">
        <f ca="1"/>
        <v>45226</v>
      </c>
      <c r="Q734" vm="5906">
        <f ca="1"/>
        <v>40.676000000000002</v>
      </c>
      <c r="R734" s="29">
        <f t="shared" ca="1" si="95"/>
        <v>5.8556223123609015E-3</v>
      </c>
      <c r="S734" s="30">
        <f t="shared" ca="1" si="96"/>
        <v>-1.9841269841269771E-2</v>
      </c>
      <c r="T734" s="30">
        <f t="shared" ca="1" si="97"/>
        <v>-8.6907644413697291E-3</v>
      </c>
      <c r="U734" s="30">
        <f t="shared" ca="1" si="98"/>
        <v>-1.476368516920723E-2</v>
      </c>
      <c r="V734" s="30">
        <f t="shared" ca="1" si="99"/>
        <v>3.1317163033466475E-2</v>
      </c>
      <c r="W734" s="30">
        <f t="shared" ca="1" si="102"/>
        <v>6.1245106705392028E-3</v>
      </c>
      <c r="X734" s="30">
        <f t="shared" ca="1" si="100"/>
        <v>3.3193437619229202E-2</v>
      </c>
      <c r="Y734" s="31">
        <f t="shared" ca="1" si="101"/>
        <v>-1.6180916676744393E-2</v>
      </c>
    </row>
    <row r="735" spans="2:25" x14ac:dyDescent="0.45">
      <c r="B735" vm="5907">
        <f ca="1"/>
        <v>45229</v>
      </c>
      <c r="C735" vm="5908">
        <f ca="1"/>
        <v>337.31</v>
      </c>
      <c r="D735" vm="5907">
        <f ca="1"/>
        <v>45229</v>
      </c>
      <c r="E735" vm="5856">
        <f ca="1"/>
        <v>15.26</v>
      </c>
      <c r="F735" vm="5907">
        <f ca="1"/>
        <v>45229</v>
      </c>
      <c r="G735" vm="5909">
        <f ca="1"/>
        <v>233.08</v>
      </c>
      <c r="H735" vm="5907">
        <f ca="1"/>
        <v>45229</v>
      </c>
      <c r="I735" vm="5910">
        <f ca="1"/>
        <v>101.17</v>
      </c>
      <c r="J735" vm="5907">
        <f ca="1"/>
        <v>45229</v>
      </c>
      <c r="K735" vm="5911">
        <f ca="1"/>
        <v>33.869999999999997</v>
      </c>
      <c r="L735" vm="5907">
        <f ca="1"/>
        <v>45229</v>
      </c>
      <c r="M735" vm="5912">
        <f ca="1"/>
        <v>162.66999999999999</v>
      </c>
      <c r="N735" vm="5907">
        <f ca="1"/>
        <v>45229</v>
      </c>
      <c r="O735" vm="5852">
        <f ca="1"/>
        <v>100.24</v>
      </c>
      <c r="P735" vm="5907">
        <f ca="1"/>
        <v>45229</v>
      </c>
      <c r="Q735" vm="5913">
        <f ca="1"/>
        <v>42.021999999999998</v>
      </c>
      <c r="R735" s="29">
        <f t="shared" ca="1" si="95"/>
        <v>2.2740365665079896E-2</v>
      </c>
      <c r="S735" s="30">
        <f t="shared" ca="1" si="96"/>
        <v>2.9689608636977022E-2</v>
      </c>
      <c r="T735" s="30">
        <f t="shared" ca="1" si="97"/>
        <v>1.6617961355606937E-2</v>
      </c>
      <c r="U735" s="30">
        <f t="shared" ca="1" si="98"/>
        <v>-1.556874574292103E-2</v>
      </c>
      <c r="V735" s="30">
        <f t="shared" ca="1" si="99"/>
        <v>8.3358142304255436E-3</v>
      </c>
      <c r="W735" s="30">
        <f t="shared" ca="1" si="102"/>
        <v>2.0834640727957286E-2</v>
      </c>
      <c r="X735" s="30">
        <f t="shared" ca="1" si="100"/>
        <v>-7.4593796159527312E-2</v>
      </c>
      <c r="Y735" s="31">
        <f t="shared" ca="1" si="101"/>
        <v>3.3090766053692509E-2</v>
      </c>
    </row>
    <row r="736" spans="2:25" x14ac:dyDescent="0.45">
      <c r="B736" vm="5914">
        <f ca="1"/>
        <v>45230</v>
      </c>
      <c r="C736" vm="5915">
        <f ca="1"/>
        <v>338.11</v>
      </c>
      <c r="D736" vm="5914">
        <f ca="1"/>
        <v>45230</v>
      </c>
      <c r="E736" vm="5916">
        <f ca="1"/>
        <v>15.4</v>
      </c>
      <c r="F736" vm="5914">
        <f ca="1"/>
        <v>45230</v>
      </c>
      <c r="G736" vm="5917">
        <f ca="1"/>
        <v>235.1</v>
      </c>
      <c r="H736" vm="5914">
        <f ca="1"/>
        <v>45230</v>
      </c>
      <c r="I736" vm="5918">
        <f ca="1"/>
        <v>103.37</v>
      </c>
      <c r="J736" vm="5914">
        <f ca="1"/>
        <v>45230</v>
      </c>
      <c r="K736" vm="5919">
        <f ca="1"/>
        <v>33.89</v>
      </c>
      <c r="L736" vm="5914">
        <f ca="1"/>
        <v>45230</v>
      </c>
      <c r="M736" vm="5920">
        <f ca="1"/>
        <v>164.76</v>
      </c>
      <c r="N736" vm="5914">
        <f ca="1"/>
        <v>45230</v>
      </c>
      <c r="O736" vm="5921">
        <f ca="1"/>
        <v>93.8</v>
      </c>
      <c r="P736" vm="5914">
        <f ca="1"/>
        <v>45230</v>
      </c>
      <c r="Q736" vm="5922">
        <f ca="1"/>
        <v>42.338999999999999</v>
      </c>
      <c r="R736" s="29">
        <f t="shared" ca="1" si="95"/>
        <v>2.3717055527556589E-3</v>
      </c>
      <c r="S736" s="30">
        <f t="shared" ca="1" si="96"/>
        <v>9.1743119266055415E-3</v>
      </c>
      <c r="T736" s="30">
        <f t="shared" ca="1" si="97"/>
        <v>8.6665522567358055E-3</v>
      </c>
      <c r="U736" s="30">
        <f t="shared" ca="1" si="98"/>
        <v>2.1745576752001609E-2</v>
      </c>
      <c r="V736" s="30">
        <f t="shared" ca="1" si="99"/>
        <v>5.9049306170661734E-4</v>
      </c>
      <c r="W736" s="30">
        <f t="shared" ca="1" si="102"/>
        <v>1.2848097375053812E-2</v>
      </c>
      <c r="X736" s="30">
        <f t="shared" ca="1" si="100"/>
        <v>-6.4245810055865896E-2</v>
      </c>
      <c r="Y736" s="31">
        <f t="shared" ca="1" si="101"/>
        <v>7.5436676026843126E-3</v>
      </c>
    </row>
    <row r="737" spans="2:25" x14ac:dyDescent="0.45">
      <c r="B737" vm="5923">
        <f ca="1"/>
        <v>45231</v>
      </c>
      <c r="C737" vm="5924">
        <f ca="1"/>
        <v>346.07</v>
      </c>
      <c r="D737" vm="5923">
        <f ca="1"/>
        <v>45231</v>
      </c>
      <c r="E737" vm="5212">
        <f ca="1"/>
        <v>15.58</v>
      </c>
      <c r="F737" vm="5923">
        <f ca="1"/>
        <v>45231</v>
      </c>
      <c r="G737" vm="5925">
        <f ca="1"/>
        <v>238.58</v>
      </c>
      <c r="H737" vm="5923">
        <f ca="1"/>
        <v>45231</v>
      </c>
      <c r="I737" vm="5926">
        <f ca="1"/>
        <v>102.86</v>
      </c>
      <c r="J737" vm="5923">
        <f ca="1"/>
        <v>45231</v>
      </c>
      <c r="K737" vm="5927">
        <f ca="1"/>
        <v>34.25</v>
      </c>
      <c r="L737" vm="5923">
        <f ca="1"/>
        <v>45231</v>
      </c>
      <c r="M737" vm="5928">
        <f ca="1"/>
        <v>167.63</v>
      </c>
      <c r="N737" vm="5923">
        <f ca="1"/>
        <v>45231</v>
      </c>
      <c r="O737" vm="5929">
        <f ca="1"/>
        <v>89.84</v>
      </c>
      <c r="P737" vm="5923">
        <f ca="1"/>
        <v>45231</v>
      </c>
      <c r="Q737" vm="5930">
        <f ca="1"/>
        <v>42.667000000000002</v>
      </c>
      <c r="R737" s="29">
        <f t="shared" ca="1" si="95"/>
        <v>2.3542634054006032E-2</v>
      </c>
      <c r="S737" s="30">
        <f t="shared" ca="1" si="96"/>
        <v>1.168831168831167E-2</v>
      </c>
      <c r="T737" s="30">
        <f t="shared" ca="1" si="97"/>
        <v>1.4802211824755501E-2</v>
      </c>
      <c r="U737" s="30">
        <f t="shared" ca="1" si="98"/>
        <v>-4.9337331914482453E-3</v>
      </c>
      <c r="V737" s="30">
        <f t="shared" ca="1" si="99"/>
        <v>1.0622602537621701E-2</v>
      </c>
      <c r="W737" s="30">
        <f t="shared" ca="1" si="102"/>
        <v>1.7419276523428045E-2</v>
      </c>
      <c r="X737" s="30">
        <f t="shared" ca="1" si="100"/>
        <v>-4.2217484008528719E-2</v>
      </c>
      <c r="Y737" s="31">
        <f t="shared" ca="1" si="101"/>
        <v>7.7469944967997108E-3</v>
      </c>
    </row>
    <row r="738" spans="2:25" x14ac:dyDescent="0.45">
      <c r="B738" vm="5931">
        <f ca="1"/>
        <v>45232</v>
      </c>
      <c r="C738" vm="5932">
        <f ca="1"/>
        <v>348.32</v>
      </c>
      <c r="D738" vm="5931">
        <f ca="1"/>
        <v>45232</v>
      </c>
      <c r="E738" vm="3820">
        <f ca="1"/>
        <v>15.73</v>
      </c>
      <c r="F738" vm="5931">
        <f ca="1"/>
        <v>45232</v>
      </c>
      <c r="G738" vm="5933">
        <f ca="1"/>
        <v>243.25</v>
      </c>
      <c r="H738" vm="5931">
        <f ca="1"/>
        <v>45232</v>
      </c>
      <c r="I738" vm="5934">
        <f ca="1"/>
        <v>104.47</v>
      </c>
      <c r="J738" vm="5931">
        <f ca="1"/>
        <v>45232</v>
      </c>
      <c r="K738" vm="5935">
        <f ca="1"/>
        <v>34.24</v>
      </c>
      <c r="L738" vm="5931">
        <f ca="1"/>
        <v>45232</v>
      </c>
      <c r="M738" vm="5936">
        <f ca="1"/>
        <v>167.31</v>
      </c>
      <c r="N738" vm="5931">
        <f ca="1"/>
        <v>45232</v>
      </c>
      <c r="O738" vm="5937">
        <f ca="1"/>
        <v>86.76</v>
      </c>
      <c r="P738" vm="5931">
        <f ca="1"/>
        <v>45232</v>
      </c>
      <c r="Q738" vm="5938">
        <f ca="1"/>
        <v>45.363</v>
      </c>
      <c r="R738" s="29">
        <f t="shared" ca="1" si="95"/>
        <v>6.5015748259022741E-3</v>
      </c>
      <c r="S738" s="30">
        <f t="shared" ca="1" si="96"/>
        <v>9.6277278562259538E-3</v>
      </c>
      <c r="T738" s="30">
        <f t="shared" ca="1" si="97"/>
        <v>1.957414703663336E-2</v>
      </c>
      <c r="U738" s="30">
        <f t="shared" ca="1" si="98"/>
        <v>1.5652342990472481E-2</v>
      </c>
      <c r="V738" s="30">
        <f t="shared" ca="1" si="99"/>
        <v>-2.9197080291964994E-4</v>
      </c>
      <c r="W738" s="30">
        <f t="shared" ca="1" si="102"/>
        <v>-1.9089661755055372E-3</v>
      </c>
      <c r="X738" s="30">
        <f t="shared" ca="1" si="100"/>
        <v>-3.4283170080142457E-2</v>
      </c>
      <c r="Y738" s="31">
        <f t="shared" ca="1" si="101"/>
        <v>6.3187006351512823E-2</v>
      </c>
    </row>
    <row r="739" spans="2:25" x14ac:dyDescent="0.45">
      <c r="B739" vm="5939">
        <f ca="1"/>
        <v>45233</v>
      </c>
      <c r="C739" vm="2131">
        <f ca="1"/>
        <v>352.8</v>
      </c>
      <c r="D739" vm="5939">
        <f ca="1"/>
        <v>45233</v>
      </c>
      <c r="E739" vm="5940">
        <f ca="1"/>
        <v>15.88</v>
      </c>
      <c r="F739" vm="5939">
        <f ca="1"/>
        <v>45233</v>
      </c>
      <c r="G739" vm="5941">
        <f ca="1"/>
        <v>243.6</v>
      </c>
      <c r="H739" vm="5939">
        <f ca="1"/>
        <v>45233</v>
      </c>
      <c r="I739" vm="5942">
        <f ca="1"/>
        <v>109.02</v>
      </c>
      <c r="J739" vm="5939">
        <f ca="1"/>
        <v>45233</v>
      </c>
      <c r="K739" vm="5935">
        <f ca="1"/>
        <v>34.24</v>
      </c>
      <c r="L739" vm="5939">
        <f ca="1"/>
        <v>45233</v>
      </c>
      <c r="M739" vm="5943">
        <f ca="1"/>
        <v>169.98</v>
      </c>
      <c r="N739" vm="5939">
        <f ca="1"/>
        <v>45233</v>
      </c>
      <c r="O739" vm="5697">
        <f ca="1"/>
        <v>84.72</v>
      </c>
      <c r="P739" vm="5939">
        <f ca="1"/>
        <v>45233</v>
      </c>
      <c r="Q739" vm="5944">
        <f ca="1"/>
        <v>45.395000000000003</v>
      </c>
      <c r="R739" s="29">
        <f t="shared" ca="1" si="95"/>
        <v>1.2861736334405197E-2</v>
      </c>
      <c r="S739" s="30">
        <f t="shared" ca="1" si="96"/>
        <v>9.5359186268277399E-3</v>
      </c>
      <c r="T739" s="30">
        <f t="shared" ca="1" si="97"/>
        <v>1.438848920863286E-3</v>
      </c>
      <c r="U739" s="30">
        <f t="shared" ca="1" si="98"/>
        <v>4.3553173159758755E-2</v>
      </c>
      <c r="V739" s="30">
        <f t="shared" ca="1" si="99"/>
        <v>0</v>
      </c>
      <c r="W739" s="30">
        <f t="shared" ca="1" si="102"/>
        <v>1.5958400573785114E-2</v>
      </c>
      <c r="X739" s="30">
        <f t="shared" ca="1" si="100"/>
        <v>-2.3513139695712379E-2</v>
      </c>
      <c r="Y739" s="31">
        <f t="shared" ca="1" si="101"/>
        <v>7.0542071732477088E-4</v>
      </c>
    </row>
    <row r="740" spans="2:25" x14ac:dyDescent="0.45">
      <c r="B740" vm="5945">
        <f ca="1"/>
        <v>45236</v>
      </c>
      <c r="C740" vm="5946">
        <f ca="1"/>
        <v>356.53</v>
      </c>
      <c r="D740" vm="5945">
        <f ca="1"/>
        <v>45236</v>
      </c>
      <c r="E740" vm="5947">
        <f ca="1"/>
        <v>15.75</v>
      </c>
      <c r="F740" vm="5945">
        <f ca="1"/>
        <v>45236</v>
      </c>
      <c r="G740" vm="5948">
        <f ca="1"/>
        <v>243.49</v>
      </c>
      <c r="H740" vm="5945">
        <f ca="1"/>
        <v>45236</v>
      </c>
      <c r="I740" vm="5949">
        <f ca="1"/>
        <v>107.53</v>
      </c>
      <c r="J740" vm="5945">
        <f ca="1"/>
        <v>45236</v>
      </c>
      <c r="K740" vm="5950">
        <f ca="1"/>
        <v>34.51</v>
      </c>
      <c r="L740" vm="5945">
        <f ca="1"/>
        <v>45236</v>
      </c>
      <c r="M740" vm="5951">
        <f ca="1"/>
        <v>167.24</v>
      </c>
      <c r="N740" vm="5945">
        <f ca="1"/>
        <v>45236</v>
      </c>
      <c r="O740" vm="5952">
        <f ca="1"/>
        <v>81.92</v>
      </c>
      <c r="P740" vm="5945">
        <f ca="1"/>
        <v>45236</v>
      </c>
      <c r="Q740" vm="5953">
        <f ca="1"/>
        <v>45.963000000000001</v>
      </c>
      <c r="R740" s="29">
        <f t="shared" ca="1" si="95"/>
        <v>1.0572562358276534E-2</v>
      </c>
      <c r="S740" s="30">
        <f t="shared" ca="1" si="96"/>
        <v>-8.186397984886698E-3</v>
      </c>
      <c r="T740" s="30">
        <f t="shared" ca="1" si="97"/>
        <v>-4.5155993431849435E-4</v>
      </c>
      <c r="U740" s="30">
        <f t="shared" ca="1" si="98"/>
        <v>-1.3667217024399146E-2</v>
      </c>
      <c r="V740" s="30">
        <f t="shared" ca="1" si="99"/>
        <v>7.8855140186914717E-3</v>
      </c>
      <c r="W740" s="30">
        <f t="shared" ca="1" si="102"/>
        <v>-1.6119543475702911E-2</v>
      </c>
      <c r="X740" s="30">
        <f t="shared" ca="1" si="100"/>
        <v>-3.3050047214353132E-2</v>
      </c>
      <c r="Y740" s="31">
        <f t="shared" ca="1" si="101"/>
        <v>1.2512391232514545E-2</v>
      </c>
    </row>
    <row r="741" spans="2:25" x14ac:dyDescent="0.45">
      <c r="B741" vm="5954">
        <f ca="1"/>
        <v>45237</v>
      </c>
      <c r="C741" vm="5955">
        <f ca="1"/>
        <v>360.53</v>
      </c>
      <c r="D741" vm="5954">
        <f ca="1"/>
        <v>45237</v>
      </c>
      <c r="E741" vm="5171">
        <f ca="1"/>
        <v>15.84</v>
      </c>
      <c r="F741" vm="5954">
        <f ca="1"/>
        <v>45237</v>
      </c>
      <c r="G741" vm="5956">
        <f ca="1"/>
        <v>244.77</v>
      </c>
      <c r="H741" vm="5954">
        <f ca="1"/>
        <v>45237</v>
      </c>
      <c r="I741" vm="5957">
        <f ca="1"/>
        <v>110.54</v>
      </c>
      <c r="J741" vm="5954">
        <f ca="1"/>
        <v>45237</v>
      </c>
      <c r="K741" vm="5958">
        <f ca="1"/>
        <v>34.18</v>
      </c>
      <c r="L741" vm="5954">
        <f ca="1"/>
        <v>45237</v>
      </c>
      <c r="M741" vm="5959">
        <f ca="1"/>
        <v>165.5</v>
      </c>
      <c r="N741" vm="5954">
        <f ca="1"/>
        <v>45237</v>
      </c>
      <c r="O741" vm="5960">
        <f ca="1"/>
        <v>81.52</v>
      </c>
      <c r="P741" vm="5954">
        <f ca="1"/>
        <v>45237</v>
      </c>
      <c r="Q741" vm="5961">
        <f ca="1"/>
        <v>47.354999999999997</v>
      </c>
      <c r="R741" s="29">
        <f t="shared" ca="1" si="95"/>
        <v>1.1219252236838416E-2</v>
      </c>
      <c r="S741" s="30">
        <f t="shared" ca="1" si="96"/>
        <v>5.7142857142857056E-3</v>
      </c>
      <c r="T741" s="30">
        <f t="shared" ca="1" si="97"/>
        <v>5.2568893999753626E-3</v>
      </c>
      <c r="U741" s="30">
        <f t="shared" ca="1" si="98"/>
        <v>2.7992188226541478E-2</v>
      </c>
      <c r="V741" s="30">
        <f t="shared" ca="1" si="99"/>
        <v>-9.5624456679222931E-3</v>
      </c>
      <c r="W741" s="30">
        <f t="shared" ca="1" si="102"/>
        <v>-1.0404209519253822E-2</v>
      </c>
      <c r="X741" s="30">
        <f t="shared" ca="1" si="100"/>
        <v>-4.8828125000000694E-3</v>
      </c>
      <c r="Y741" s="31">
        <f t="shared" ca="1" si="101"/>
        <v>3.0285229423666772E-2</v>
      </c>
    </row>
    <row r="742" spans="2:25" x14ac:dyDescent="0.45">
      <c r="B742" vm="5962">
        <f ca="1"/>
        <v>45238</v>
      </c>
      <c r="C742" vm="5963">
        <f ca="1"/>
        <v>363.2</v>
      </c>
      <c r="D742" vm="5962">
        <f ca="1"/>
        <v>45238</v>
      </c>
      <c r="E742" vm="5964">
        <f ca="1"/>
        <v>15.65</v>
      </c>
      <c r="F742" vm="5962">
        <f ca="1"/>
        <v>45238</v>
      </c>
      <c r="G742" vm="5965">
        <f ca="1"/>
        <v>243.91</v>
      </c>
      <c r="H742" vm="5962">
        <f ca="1"/>
        <v>45238</v>
      </c>
      <c r="I742" vm="5966">
        <f ca="1"/>
        <v>109.39</v>
      </c>
      <c r="J742" vm="5962">
        <f ca="1"/>
        <v>45238</v>
      </c>
      <c r="K742" vm="5967">
        <f ca="1"/>
        <v>34.14</v>
      </c>
      <c r="L742" vm="5962">
        <f ca="1"/>
        <v>45238</v>
      </c>
      <c r="M742" vm="5968">
        <f ca="1"/>
        <v>169.97</v>
      </c>
      <c r="N742" vm="5962">
        <f ca="1"/>
        <v>45238</v>
      </c>
      <c r="O742" vm="1996">
        <f ca="1"/>
        <v>80</v>
      </c>
      <c r="P742" vm="5962">
        <f ca="1"/>
        <v>45238</v>
      </c>
      <c r="Q742" vm="5969">
        <f ca="1"/>
        <v>47.45</v>
      </c>
      <c r="R742" s="29">
        <f t="shared" ca="1" si="95"/>
        <v>7.4057637367209829E-3</v>
      </c>
      <c r="S742" s="30">
        <f t="shared" ca="1" si="96"/>
        <v>-1.1994949494949463E-2</v>
      </c>
      <c r="T742" s="30">
        <f t="shared" ca="1" si="97"/>
        <v>-3.5135024717081898E-3</v>
      </c>
      <c r="U742" s="30">
        <f t="shared" ca="1" si="98"/>
        <v>-1.0403473855617927E-2</v>
      </c>
      <c r="V742" s="30">
        <f t="shared" ca="1" si="99"/>
        <v>-1.1702750146284128E-3</v>
      </c>
      <c r="W742" s="30">
        <f t="shared" ca="1" si="102"/>
        <v>2.7009063444108753E-2</v>
      </c>
      <c r="X742" s="30">
        <f t="shared" ca="1" si="100"/>
        <v>-1.8645731108930277E-2</v>
      </c>
      <c r="Y742" s="31">
        <f t="shared" ca="1" si="101"/>
        <v>2.0061239573435957E-3</v>
      </c>
    </row>
    <row r="743" spans="2:25" x14ac:dyDescent="0.45">
      <c r="B743" vm="5970">
        <f ca="1"/>
        <v>45239</v>
      </c>
      <c r="C743" vm="5971">
        <f ca="1"/>
        <v>360.69</v>
      </c>
      <c r="D743" vm="5970">
        <f ca="1"/>
        <v>45239</v>
      </c>
      <c r="E743" vm="5228">
        <f ca="1"/>
        <v>15.63</v>
      </c>
      <c r="F743" vm="5970">
        <f ca="1"/>
        <v>45239</v>
      </c>
      <c r="G743" vm="5972">
        <f ca="1"/>
        <v>241.64</v>
      </c>
      <c r="H743" vm="5970">
        <f ca="1"/>
        <v>45239</v>
      </c>
      <c r="I743" vm="5973">
        <f ca="1"/>
        <v>107.74</v>
      </c>
      <c r="J743" vm="5970">
        <f ca="1"/>
        <v>45239</v>
      </c>
      <c r="K743" vm="5974">
        <f ca="1"/>
        <v>33.979999999999997</v>
      </c>
      <c r="L743" vm="5970">
        <f ca="1"/>
        <v>45239</v>
      </c>
      <c r="M743" vm="5975">
        <f ca="1"/>
        <v>170.28</v>
      </c>
      <c r="N743" vm="5970">
        <f ca="1"/>
        <v>45239</v>
      </c>
      <c r="O743" vm="5976">
        <f ca="1"/>
        <v>83.08</v>
      </c>
      <c r="P743" vm="5970">
        <f ca="1"/>
        <v>45239</v>
      </c>
      <c r="Q743" vm="5977">
        <f ca="1"/>
        <v>49.406999999999996</v>
      </c>
      <c r="R743" s="29">
        <f t="shared" ca="1" si="95"/>
        <v>-6.9107929515418252E-3</v>
      </c>
      <c r="S743" s="30">
        <f t="shared" ca="1" si="96"/>
        <v>-1.2779552715654679E-3</v>
      </c>
      <c r="T743" s="30">
        <f t="shared" ca="1" si="97"/>
        <v>-9.3067114919437918E-3</v>
      </c>
      <c r="U743" s="30">
        <f t="shared" ca="1" si="98"/>
        <v>-1.5083645671450825E-2</v>
      </c>
      <c r="V743" s="30">
        <f t="shared" ca="1" si="99"/>
        <v>-4.686584651435375E-3</v>
      </c>
      <c r="W743" s="30">
        <f t="shared" ca="1" si="102"/>
        <v>1.8238512678708141E-3</v>
      </c>
      <c r="X743" s="30">
        <f t="shared" ca="1" si="100"/>
        <v>3.8499999999999979E-2</v>
      </c>
      <c r="Y743" s="31">
        <f t="shared" ca="1" si="101"/>
        <v>4.1243414120126311E-2</v>
      </c>
    </row>
    <row r="744" spans="2:25" x14ac:dyDescent="0.45">
      <c r="B744" vm="5978">
        <f ca="1"/>
        <v>45240</v>
      </c>
      <c r="C744" vm="5979">
        <f ca="1"/>
        <v>369.67</v>
      </c>
      <c r="D744" vm="5978">
        <f ca="1"/>
        <v>45240</v>
      </c>
      <c r="E744" vm="5090">
        <f ca="1"/>
        <v>15.64</v>
      </c>
      <c r="F744" vm="5978">
        <f ca="1"/>
        <v>45240</v>
      </c>
      <c r="G744" vm="5980">
        <f ca="1"/>
        <v>245.25</v>
      </c>
      <c r="H744" vm="5978">
        <f ca="1"/>
        <v>45240</v>
      </c>
      <c r="I744" vm="5981">
        <f ca="1"/>
        <v>108.47</v>
      </c>
      <c r="J744" vm="5978">
        <f ca="1"/>
        <v>45240</v>
      </c>
      <c r="K744" vm="5982">
        <f ca="1"/>
        <v>34.35</v>
      </c>
      <c r="L744" vm="5978">
        <f ca="1"/>
        <v>45240</v>
      </c>
      <c r="M744" vm="5983">
        <f ca="1"/>
        <v>170.98</v>
      </c>
      <c r="N744" vm="5978">
        <f ca="1"/>
        <v>45240</v>
      </c>
      <c r="O744" vm="5984">
        <f ca="1"/>
        <v>79.72</v>
      </c>
      <c r="P744" vm="5978">
        <f ca="1"/>
        <v>45240</v>
      </c>
      <c r="Q744" vm="5985">
        <f ca="1"/>
        <v>50.917999999999999</v>
      </c>
      <c r="R744" s="29">
        <f t="shared" ca="1" si="95"/>
        <v>2.4896725720147547E-2</v>
      </c>
      <c r="S744" s="30">
        <f t="shared" ca="1" si="96"/>
        <v>6.397952655150215E-4</v>
      </c>
      <c r="T744" s="30">
        <f t="shared" ca="1" si="97"/>
        <v>1.4939579539811346E-2</v>
      </c>
      <c r="U744" s="30">
        <f t="shared" ca="1" si="98"/>
        <v>6.7755708186374979E-3</v>
      </c>
      <c r="V744" s="30">
        <f t="shared" ca="1" si="99"/>
        <v>1.0888758092996016E-2</v>
      </c>
      <c r="W744" s="30">
        <f t="shared" ca="1" si="102"/>
        <v>4.1108762038993933E-3</v>
      </c>
      <c r="X744" s="30">
        <f t="shared" ca="1" si="100"/>
        <v>-4.0442946557534901E-2</v>
      </c>
      <c r="Y744" s="31">
        <f t="shared" ca="1" si="101"/>
        <v>3.0582710951889466E-2</v>
      </c>
    </row>
    <row r="745" spans="2:25" x14ac:dyDescent="0.45">
      <c r="B745" vm="5986">
        <f ca="1"/>
        <v>45243</v>
      </c>
      <c r="C745" vm="5987">
        <f ca="1"/>
        <v>366.68</v>
      </c>
      <c r="D745" vm="5986">
        <f ca="1"/>
        <v>45243</v>
      </c>
      <c r="E745" vm="5212">
        <f ca="1"/>
        <v>15.58</v>
      </c>
      <c r="F745" vm="5986">
        <f ca="1"/>
        <v>45243</v>
      </c>
      <c r="G745" vm="5988">
        <f ca="1"/>
        <v>244.67</v>
      </c>
      <c r="H745" vm="5986">
        <f ca="1"/>
        <v>45243</v>
      </c>
      <c r="I745" vm="5989">
        <f ca="1"/>
        <v>107.46</v>
      </c>
      <c r="J745" vm="5986">
        <f ca="1"/>
        <v>45243</v>
      </c>
      <c r="K745" vm="5990">
        <f ca="1"/>
        <v>34.08</v>
      </c>
      <c r="L745" vm="5986">
        <f ca="1"/>
        <v>45243</v>
      </c>
      <c r="M745" vm="5991">
        <f ca="1"/>
        <v>171.17</v>
      </c>
      <c r="N745" vm="5986">
        <f ca="1"/>
        <v>45243</v>
      </c>
      <c r="O745" vm="5992">
        <f ca="1"/>
        <v>78.84</v>
      </c>
      <c r="P745" vm="5986">
        <f ca="1"/>
        <v>45243</v>
      </c>
      <c r="Q745" vm="5993">
        <f ca="1"/>
        <v>50.488</v>
      </c>
      <c r="R745" s="29">
        <f t="shared" ca="1" si="95"/>
        <v>-8.0882949657803144E-3</v>
      </c>
      <c r="S745" s="30">
        <f t="shared" ca="1" si="96"/>
        <v>-3.8363171355499039E-3</v>
      </c>
      <c r="T745" s="30">
        <f t="shared" ca="1" si="97"/>
        <v>-2.3649337410805811E-3</v>
      </c>
      <c r="U745" s="30">
        <f t="shared" ca="1" si="98"/>
        <v>-9.3113303217479959E-3</v>
      </c>
      <c r="V745" s="30">
        <f t="shared" ca="1" si="99"/>
        <v>-7.8602620087337149E-3</v>
      </c>
      <c r="W745" s="30">
        <f t="shared" ca="1" si="102"/>
        <v>1.1112410808281539E-3</v>
      </c>
      <c r="X745" s="30">
        <f t="shared" ca="1" si="100"/>
        <v>-1.1038635223281428E-2</v>
      </c>
      <c r="Y745" s="31">
        <f t="shared" ca="1" si="101"/>
        <v>-8.4449507050551806E-3</v>
      </c>
    </row>
    <row r="746" spans="2:25" x14ac:dyDescent="0.45">
      <c r="B746" vm="5994">
        <f ca="1"/>
        <v>45244</v>
      </c>
      <c r="C746" vm="5995">
        <f ca="1"/>
        <v>370.27</v>
      </c>
      <c r="D746" vm="5994">
        <f ca="1"/>
        <v>45244</v>
      </c>
      <c r="E746" vm="5228">
        <f ca="1"/>
        <v>15.63</v>
      </c>
      <c r="F746" vm="5994">
        <f ca="1"/>
        <v>45244</v>
      </c>
      <c r="G746" vm="1406">
        <f ca="1"/>
        <v>246.94</v>
      </c>
      <c r="H746" vm="5994">
        <f ca="1"/>
        <v>45244</v>
      </c>
      <c r="I746" vm="5996">
        <f ca="1"/>
        <v>111.61</v>
      </c>
      <c r="J746" vm="5994">
        <f ca="1"/>
        <v>45244</v>
      </c>
      <c r="K746" vm="5997">
        <f ca="1"/>
        <v>34.4</v>
      </c>
      <c r="L746" vm="5994">
        <f ca="1"/>
        <v>45244</v>
      </c>
      <c r="M746" vm="5998">
        <f ca="1"/>
        <v>174.41</v>
      </c>
      <c r="N746" vm="5994">
        <f ca="1"/>
        <v>45244</v>
      </c>
      <c r="O746" vm="5999">
        <f ca="1"/>
        <v>78.239999999999995</v>
      </c>
      <c r="P746" vm="5994">
        <f ca="1"/>
        <v>45244</v>
      </c>
      <c r="Q746" vm="6000">
        <f ca="1"/>
        <v>48</v>
      </c>
      <c r="R746" s="29">
        <f t="shared" ca="1" si="95"/>
        <v>9.790553070797358E-3</v>
      </c>
      <c r="S746" s="30">
        <f t="shared" ca="1" si="96"/>
        <v>3.2092426187420226E-3</v>
      </c>
      <c r="T746" s="30">
        <f t="shared" ca="1" si="97"/>
        <v>9.2778027547309044E-3</v>
      </c>
      <c r="U746" s="30">
        <f t="shared" ca="1" si="98"/>
        <v>3.8619021031081391E-2</v>
      </c>
      <c r="V746" s="30">
        <f t="shared" ca="1" si="99"/>
        <v>9.3896713615023563E-3</v>
      </c>
      <c r="W746" s="30">
        <f t="shared" ca="1" si="102"/>
        <v>1.892855056376707E-2</v>
      </c>
      <c r="X746" s="30">
        <f t="shared" ca="1" si="100"/>
        <v>-7.6103500761036088E-3</v>
      </c>
      <c r="Y746" s="31">
        <f t="shared" ca="1" si="101"/>
        <v>-4.9279036602757086E-2</v>
      </c>
    </row>
    <row r="747" spans="2:25" x14ac:dyDescent="0.45">
      <c r="B747" vm="6001">
        <f ca="1"/>
        <v>45245</v>
      </c>
      <c r="C747" vm="5979">
        <f ca="1"/>
        <v>369.67</v>
      </c>
      <c r="D747" vm="6001">
        <f ca="1"/>
        <v>45245</v>
      </c>
      <c r="E747" vm="6002">
        <f ca="1"/>
        <v>15.76</v>
      </c>
      <c r="F747" vm="6001">
        <f ca="1"/>
        <v>45245</v>
      </c>
      <c r="G747" vm="5604">
        <f ca="1"/>
        <v>248.11</v>
      </c>
      <c r="H747" vm="6001">
        <f ca="1"/>
        <v>45245</v>
      </c>
      <c r="I747" vm="6003">
        <f ca="1"/>
        <v>113.6</v>
      </c>
      <c r="J747" vm="6001">
        <f ca="1"/>
        <v>45245</v>
      </c>
      <c r="K747" vm="6004">
        <f ca="1"/>
        <v>34.36</v>
      </c>
      <c r="L747" vm="6001">
        <f ca="1"/>
        <v>45245</v>
      </c>
      <c r="M747" vm="6005">
        <f ca="1"/>
        <v>173.76</v>
      </c>
      <c r="N747" vm="6001">
        <f ca="1"/>
        <v>45245</v>
      </c>
      <c r="O747" vm="6006">
        <f ca="1"/>
        <v>76.599999999999994</v>
      </c>
      <c r="P747" vm="6001">
        <f ca="1"/>
        <v>45245</v>
      </c>
      <c r="Q747" vm="6007">
        <f ca="1"/>
        <v>50.594999999999999</v>
      </c>
      <c r="R747" s="29">
        <f t="shared" ca="1" si="95"/>
        <v>-1.6204391390065788E-3</v>
      </c>
      <c r="S747" s="30">
        <f t="shared" ca="1" si="96"/>
        <v>8.3173384516953934E-3</v>
      </c>
      <c r="T747" s="30">
        <f t="shared" ca="1" si="97"/>
        <v>4.7379930347453466E-3</v>
      </c>
      <c r="U747" s="30">
        <f t="shared" ca="1" si="98"/>
        <v>1.7829943553444985E-2</v>
      </c>
      <c r="V747" s="30">
        <f t="shared" ca="1" si="99"/>
        <v>-1.1627906976743939E-3</v>
      </c>
      <c r="W747" s="30">
        <f t="shared" ca="1" si="102"/>
        <v>-3.7268505246259142E-3</v>
      </c>
      <c r="X747" s="30">
        <f t="shared" ca="1" si="100"/>
        <v>-2.0961145194274038E-2</v>
      </c>
      <c r="Y747" s="31">
        <f t="shared" ca="1" si="101"/>
        <v>5.4062499999999979E-2</v>
      </c>
    </row>
    <row r="748" spans="2:25" x14ac:dyDescent="0.45">
      <c r="B748" vm="6008">
        <f ca="1"/>
        <v>45246</v>
      </c>
      <c r="C748" vm="6009">
        <f ca="1"/>
        <v>376.17</v>
      </c>
      <c r="D748" vm="6008">
        <f ca="1"/>
        <v>45246</v>
      </c>
      <c r="E748" vm="5940">
        <f ca="1"/>
        <v>15.88</v>
      </c>
      <c r="F748" vm="6008">
        <f ca="1"/>
        <v>45246</v>
      </c>
      <c r="G748" vm="6010">
        <f ca="1"/>
        <v>248.57</v>
      </c>
      <c r="H748" vm="6008">
        <f ca="1"/>
        <v>45246</v>
      </c>
      <c r="I748" vm="6011">
        <f ca="1"/>
        <v>114.19</v>
      </c>
      <c r="J748" vm="6008">
        <f ca="1"/>
        <v>45246</v>
      </c>
      <c r="K748" vm="6012">
        <f ca="1"/>
        <v>34.43</v>
      </c>
      <c r="L748" vm="6008">
        <f ca="1"/>
        <v>45246</v>
      </c>
      <c r="M748" vm="6013">
        <f ca="1"/>
        <v>175.28</v>
      </c>
      <c r="N748" vm="6008">
        <f ca="1"/>
        <v>45246</v>
      </c>
      <c r="O748" vm="6014">
        <f ca="1"/>
        <v>75.400000000000006</v>
      </c>
      <c r="P748" vm="6008">
        <f ca="1"/>
        <v>45246</v>
      </c>
      <c r="Q748" vm="6015">
        <f ca="1"/>
        <v>48.908000000000001</v>
      </c>
      <c r="R748" s="29">
        <f t="shared" ca="1" si="95"/>
        <v>1.7583249925609327E-2</v>
      </c>
      <c r="S748" s="30">
        <f t="shared" ca="1" si="96"/>
        <v>7.6142131979696067E-3</v>
      </c>
      <c r="T748" s="30">
        <f t="shared" ca="1" si="97"/>
        <v>1.8540163637095622E-3</v>
      </c>
      <c r="U748" s="30">
        <f t="shared" ca="1" si="98"/>
        <v>5.1936619718310163E-3</v>
      </c>
      <c r="V748" s="30">
        <f t="shared" ca="1" si="99"/>
        <v>2.0372526193248048E-3</v>
      </c>
      <c r="W748" s="30">
        <f t="shared" ca="1" si="102"/>
        <v>8.7476979742173704E-3</v>
      </c>
      <c r="X748" s="30">
        <f t="shared" ca="1" si="100"/>
        <v>-1.5665796344647372E-2</v>
      </c>
      <c r="Y748" s="31">
        <f t="shared" ca="1" si="101"/>
        <v>-3.3343215732779874E-2</v>
      </c>
    </row>
    <row r="749" spans="2:25" x14ac:dyDescent="0.45">
      <c r="B749" vm="6016">
        <f ca="1"/>
        <v>45247</v>
      </c>
      <c r="C749" vm="6017">
        <f ca="1"/>
        <v>369.85</v>
      </c>
      <c r="D749" vm="6016">
        <f ca="1"/>
        <v>45247</v>
      </c>
      <c r="E749" vm="3852">
        <f ca="1"/>
        <v>15.9</v>
      </c>
      <c r="F749" vm="6016">
        <f ca="1"/>
        <v>45247</v>
      </c>
      <c r="G749" vm="6018">
        <f ca="1"/>
        <v>249.56</v>
      </c>
      <c r="H749" vm="6016">
        <f ca="1"/>
        <v>45247</v>
      </c>
      <c r="I749" vm="6019">
        <f ca="1"/>
        <v>113.15</v>
      </c>
      <c r="J749" vm="6016">
        <f ca="1"/>
        <v>45247</v>
      </c>
      <c r="K749" vm="5958">
        <f ca="1"/>
        <v>34.18</v>
      </c>
      <c r="L749" vm="6016">
        <f ca="1"/>
        <v>45247</v>
      </c>
      <c r="M749" vm="6020">
        <f ca="1"/>
        <v>176.05</v>
      </c>
      <c r="N749" vm="6016">
        <f ca="1"/>
        <v>45247</v>
      </c>
      <c r="O749" vm="6021">
        <f ca="1"/>
        <v>74.239999999999995</v>
      </c>
      <c r="P749" vm="6016">
        <f ca="1"/>
        <v>45247</v>
      </c>
      <c r="Q749" vm="6022">
        <f ca="1"/>
        <v>48.622</v>
      </c>
      <c r="R749" s="29">
        <f t="shared" ca="1" si="95"/>
        <v>-1.6800914480155232E-2</v>
      </c>
      <c r="S749" s="30">
        <f t="shared" ca="1" si="96"/>
        <v>1.2594458438286884E-3</v>
      </c>
      <c r="T749" s="30">
        <f t="shared" ca="1" si="97"/>
        <v>3.9827815102386017E-3</v>
      </c>
      <c r="U749" s="30">
        <f t="shared" ca="1" si="98"/>
        <v>-9.1076276381468792E-3</v>
      </c>
      <c r="V749" s="30">
        <f t="shared" ca="1" si="99"/>
        <v>-7.2611094975312228E-3</v>
      </c>
      <c r="W749" s="30">
        <f t="shared" ca="1" si="102"/>
        <v>4.3929712460064477E-3</v>
      </c>
      <c r="X749" s="30">
        <f t="shared" ca="1" si="100"/>
        <v>-1.5384615384615526E-2</v>
      </c>
      <c r="Y749" s="31">
        <f t="shared" ca="1" si="101"/>
        <v>-5.8477140754069137E-3</v>
      </c>
    </row>
    <row r="750" spans="2:25" x14ac:dyDescent="0.45">
      <c r="B750" vm="6023">
        <f ca="1"/>
        <v>45250</v>
      </c>
      <c r="C750" vm="6024">
        <f ca="1"/>
        <v>377.44</v>
      </c>
      <c r="D750" vm="6023">
        <f ca="1"/>
        <v>45250</v>
      </c>
      <c r="E750" vm="5061">
        <f ca="1"/>
        <v>16.100000000000001</v>
      </c>
      <c r="F750" vm="6023">
        <f ca="1"/>
        <v>45250</v>
      </c>
      <c r="G750" vm="6025">
        <f ca="1"/>
        <v>249.97</v>
      </c>
      <c r="H750" vm="6023">
        <f ca="1"/>
        <v>45250</v>
      </c>
      <c r="I750" vm="6026">
        <f ca="1"/>
        <v>113.98</v>
      </c>
      <c r="J750" vm="6023">
        <f ca="1"/>
        <v>45250</v>
      </c>
      <c r="K750" vm="6027">
        <f ca="1"/>
        <v>34.11</v>
      </c>
      <c r="L750" vm="6023">
        <f ca="1"/>
        <v>45250</v>
      </c>
      <c r="M750" vm="6028">
        <f ca="1"/>
        <v>179.86</v>
      </c>
      <c r="N750" vm="6023">
        <f ca="1"/>
        <v>45250</v>
      </c>
      <c r="O750" vm="6029">
        <f ca="1"/>
        <v>73.680000000000007</v>
      </c>
      <c r="P750" vm="6023">
        <f ca="1"/>
        <v>45250</v>
      </c>
      <c r="Q750" vm="6030">
        <f ca="1"/>
        <v>50.853000000000002</v>
      </c>
      <c r="R750" s="29">
        <f t="shared" ca="1" si="95"/>
        <v>2.0521833175611667E-2</v>
      </c>
      <c r="S750" s="30">
        <f t="shared" ca="1" si="96"/>
        <v>1.2578616352201324E-2</v>
      </c>
      <c r="T750" s="30">
        <f t="shared" ca="1" si="97"/>
        <v>1.6428914890206628E-3</v>
      </c>
      <c r="U750" s="30">
        <f t="shared" ca="1" si="98"/>
        <v>7.3353954927087781E-3</v>
      </c>
      <c r="V750" s="30">
        <f t="shared" ca="1" si="99"/>
        <v>-2.0479812755997743E-3</v>
      </c>
      <c r="W750" s="30">
        <f t="shared" ca="1" si="102"/>
        <v>2.1641579096847496E-2</v>
      </c>
      <c r="X750" s="30">
        <f t="shared" ca="1" si="100"/>
        <v>-7.5431034482757019E-3</v>
      </c>
      <c r="Y750" s="31">
        <f t="shared" ca="1" si="101"/>
        <v>4.5884578997161814E-2</v>
      </c>
    </row>
    <row r="751" spans="2:25" x14ac:dyDescent="0.45">
      <c r="B751" vm="6031">
        <f ca="1"/>
        <v>45251</v>
      </c>
      <c r="C751" vm="6032">
        <f ca="1"/>
        <v>373.07</v>
      </c>
      <c r="D751" vm="6031">
        <f ca="1"/>
        <v>45251</v>
      </c>
      <c r="E751" vm="6033">
        <f ca="1"/>
        <v>16.190000000000001</v>
      </c>
      <c r="F751" vm="6031">
        <f ca="1"/>
        <v>45251</v>
      </c>
      <c r="G751" vm="6034">
        <f ca="1"/>
        <v>252.23</v>
      </c>
      <c r="H751" vm="6031">
        <f ca="1"/>
        <v>45251</v>
      </c>
      <c r="I751" vm="334">
        <f ca="1"/>
        <v>123.92</v>
      </c>
      <c r="J751" vm="6031">
        <f ca="1"/>
        <v>45251</v>
      </c>
      <c r="K751" vm="6035">
        <f ca="1"/>
        <v>34.32</v>
      </c>
      <c r="L751" vm="6031">
        <f ca="1"/>
        <v>45251</v>
      </c>
      <c r="M751" vm="4808">
        <f ca="1"/>
        <v>178.68</v>
      </c>
      <c r="N751" vm="6031">
        <f ca="1"/>
        <v>45251</v>
      </c>
      <c r="O751" vm="6036">
        <f ca="1"/>
        <v>72.239999999999995</v>
      </c>
      <c r="P751" vm="6031">
        <f ca="1"/>
        <v>45251</v>
      </c>
      <c r="Q751" vm="6037">
        <f ca="1"/>
        <v>49.304000000000002</v>
      </c>
      <c r="R751" s="29">
        <f t="shared" ca="1" si="95"/>
        <v>-1.1577999152183141E-2</v>
      </c>
      <c r="S751" s="30">
        <f t="shared" ca="1" si="96"/>
        <v>5.590062111801233E-3</v>
      </c>
      <c r="T751" s="30">
        <f t="shared" ca="1" si="97"/>
        <v>9.0410849301915865E-3</v>
      </c>
      <c r="U751" s="30">
        <f t="shared" ca="1" si="98"/>
        <v>8.7208282154763977E-2</v>
      </c>
      <c r="V751" s="30">
        <f t="shared" ca="1" si="99"/>
        <v>6.1565523306948361E-3</v>
      </c>
      <c r="W751" s="30">
        <f t="shared" ca="1" si="102"/>
        <v>-6.5606582897809783E-3</v>
      </c>
      <c r="X751" s="30">
        <f t="shared" ca="1" si="100"/>
        <v>-1.954397394136824E-2</v>
      </c>
      <c r="Y751" s="31">
        <f t="shared" ca="1" si="101"/>
        <v>-3.0460346488899365E-2</v>
      </c>
    </row>
    <row r="752" spans="2:25" x14ac:dyDescent="0.45">
      <c r="B752" vm="6038">
        <f ca="1"/>
        <v>45252</v>
      </c>
      <c r="C752" vm="6039">
        <f ca="1"/>
        <v>377.85</v>
      </c>
      <c r="D752" vm="6038">
        <f ca="1"/>
        <v>45252</v>
      </c>
      <c r="E752" vm="6040">
        <f ca="1"/>
        <v>16.170000000000002</v>
      </c>
      <c r="F752" vm="6038">
        <f ca="1"/>
        <v>45252</v>
      </c>
      <c r="G752" vm="6041">
        <f ca="1"/>
        <v>253.72</v>
      </c>
      <c r="H752" vm="6038">
        <f ca="1"/>
        <v>45252</v>
      </c>
      <c r="I752" vm="6042">
        <f ca="1"/>
        <v>123.99</v>
      </c>
      <c r="J752" vm="6038">
        <f ca="1"/>
        <v>45252</v>
      </c>
      <c r="K752" vm="6043">
        <f ca="1"/>
        <v>34.700000000000003</v>
      </c>
      <c r="L752" vm="6038">
        <f ca="1"/>
        <v>45252</v>
      </c>
      <c r="M752" vm="6044">
        <f ca="1"/>
        <v>181.2</v>
      </c>
      <c r="N752" vm="6038">
        <f ca="1"/>
        <v>45252</v>
      </c>
      <c r="O752" vm="1513">
        <f ca="1"/>
        <v>72.8</v>
      </c>
      <c r="P752" vm="6038">
        <f ca="1"/>
        <v>45252</v>
      </c>
      <c r="Q752" vm="6045">
        <f ca="1"/>
        <v>50.787999999999997</v>
      </c>
      <c r="R752" s="29">
        <f t="shared" ca="1" si="95"/>
        <v>1.2812608893773366E-2</v>
      </c>
      <c r="S752" s="30">
        <f t="shared" ca="1" si="96"/>
        <v>-1.2353304508955882E-3</v>
      </c>
      <c r="T752" s="30">
        <f t="shared" ca="1" si="97"/>
        <v>5.9073068231376485E-3</v>
      </c>
      <c r="U752" s="30">
        <f t="shared" ca="1" si="98"/>
        <v>5.6488056810840204E-4</v>
      </c>
      <c r="V752" s="30">
        <f t="shared" ca="1" si="99"/>
        <v>1.1072261072261147E-2</v>
      </c>
      <c r="W752" s="30">
        <f t="shared" ca="1" si="102"/>
        <v>1.4103425117528441E-2</v>
      </c>
      <c r="X752" s="30">
        <f t="shared" ca="1" si="100"/>
        <v>7.751937984496156E-3</v>
      </c>
      <c r="Y752" s="31">
        <f t="shared" ca="1" si="101"/>
        <v>3.0098977770566172E-2</v>
      </c>
    </row>
    <row r="753" spans="2:25" x14ac:dyDescent="0.45">
      <c r="B753" vm="6046">
        <f ca="1"/>
        <v>45254</v>
      </c>
      <c r="C753" vm="6047">
        <f ca="1"/>
        <v>377.43</v>
      </c>
      <c r="D753" vm="6046">
        <f ca="1"/>
        <v>45254</v>
      </c>
      <c r="E753" vm="6048">
        <f ca="1"/>
        <v>16.21</v>
      </c>
      <c r="F753" vm="6046">
        <f ca="1"/>
        <v>45254</v>
      </c>
      <c r="G753" vm="6049">
        <f ca="1"/>
        <v>254.3</v>
      </c>
      <c r="H753" vm="6046">
        <f ca="1"/>
        <v>45254</v>
      </c>
      <c r="I753" vm="6050">
        <f ca="1"/>
        <v>126.62</v>
      </c>
      <c r="J753" vm="6046">
        <f ca="1"/>
        <v>45254</v>
      </c>
      <c r="K753" vm="6051">
        <f ca="1"/>
        <v>34.85</v>
      </c>
      <c r="L753" vm="6046">
        <f ca="1"/>
        <v>45254</v>
      </c>
      <c r="M753" vm="6052">
        <f ca="1"/>
        <v>181.7</v>
      </c>
      <c r="N753" vm="6046">
        <f ca="1"/>
        <v>45254</v>
      </c>
      <c r="O753" vm="6053">
        <f ca="1"/>
        <v>69.680000000000007</v>
      </c>
      <c r="P753" vm="6046">
        <f ca="1"/>
        <v>45254</v>
      </c>
      <c r="Q753" vm="6054">
        <f ca="1"/>
        <v>52.024000000000001</v>
      </c>
      <c r="R753" s="29">
        <f t="shared" ca="1" si="95"/>
        <v>-1.1115522032553022E-3</v>
      </c>
      <c r="S753" s="30">
        <f t="shared" ca="1" si="96"/>
        <v>2.473716759430992E-3</v>
      </c>
      <c r="T753" s="30">
        <f t="shared" ca="1" si="97"/>
        <v>2.2859845498975741E-3</v>
      </c>
      <c r="U753" s="30">
        <f t="shared" ca="1" si="98"/>
        <v>2.1211388015162591E-2</v>
      </c>
      <c r="V753" s="30">
        <f t="shared" ca="1" si="99"/>
        <v>4.3227665706051461E-3</v>
      </c>
      <c r="W753" s="30">
        <f t="shared" ca="1" si="102"/>
        <v>2.7593818984547464E-3</v>
      </c>
      <c r="X753" s="30">
        <f t="shared" ca="1" si="100"/>
        <v>-4.2857142857142726E-2</v>
      </c>
      <c r="Y753" s="31">
        <f t="shared" ca="1" si="101"/>
        <v>2.4336457430889271E-2</v>
      </c>
    </row>
    <row r="754" spans="2:25" x14ac:dyDescent="0.45">
      <c r="B754" vm="6055">
        <f ca="1"/>
        <v>45257</v>
      </c>
      <c r="C754" vm="6056">
        <f ca="1"/>
        <v>378.61</v>
      </c>
      <c r="D754" vm="6055">
        <f ca="1"/>
        <v>45257</v>
      </c>
      <c r="E754" vm="6048">
        <f ca="1"/>
        <v>16.21</v>
      </c>
      <c r="F754" vm="6055">
        <f ca="1"/>
        <v>45257</v>
      </c>
      <c r="G754" vm="6057">
        <f ca="1"/>
        <v>254.14</v>
      </c>
      <c r="H754" vm="6055">
        <f ca="1"/>
        <v>45257</v>
      </c>
      <c r="I754" vm="6058">
        <f ca="1"/>
        <v>125.01</v>
      </c>
      <c r="J754" vm="6055">
        <f ca="1"/>
        <v>45257</v>
      </c>
      <c r="K754" vm="6059">
        <f ca="1"/>
        <v>34.82</v>
      </c>
      <c r="L754" vm="6055">
        <f ca="1"/>
        <v>45257</v>
      </c>
      <c r="M754" vm="6060">
        <f ca="1"/>
        <v>183.04</v>
      </c>
      <c r="N754" vm="6055">
        <f ca="1"/>
        <v>45257</v>
      </c>
      <c r="O754" vm="6061">
        <f ca="1"/>
        <v>70.16</v>
      </c>
      <c r="P754" vm="6055">
        <f ca="1"/>
        <v>45257</v>
      </c>
      <c r="Q754" vm="6062">
        <f ca="1"/>
        <v>49.537999999999997</v>
      </c>
      <c r="R754" s="29">
        <f t="shared" ca="1" si="95"/>
        <v>3.1264075457700948E-3</v>
      </c>
      <c r="S754" s="30">
        <f t="shared" ca="1" si="96"/>
        <v>0</v>
      </c>
      <c r="T754" s="30">
        <f t="shared" ca="1" si="97"/>
        <v>-6.2917813605987028E-4</v>
      </c>
      <c r="U754" s="30">
        <f t="shared" ca="1" si="98"/>
        <v>-1.2715210867161581E-2</v>
      </c>
      <c r="V754" s="30">
        <f t="shared" ca="1" si="99"/>
        <v>-8.6083213773317465E-4</v>
      </c>
      <c r="W754" s="30">
        <f t="shared" ca="1" si="102"/>
        <v>7.3747936158503223E-3</v>
      </c>
      <c r="X754" s="30">
        <f t="shared" ca="1" si="100"/>
        <v>6.8886337543052484E-3</v>
      </c>
      <c r="Y754" s="31">
        <f t="shared" ca="1" si="101"/>
        <v>-4.7785637398124026E-2</v>
      </c>
    </row>
    <row r="755" spans="2:25" x14ac:dyDescent="0.45">
      <c r="B755" vm="6063">
        <f ca="1"/>
        <v>45258</v>
      </c>
      <c r="C755" vm="6064">
        <f ca="1"/>
        <v>382.7</v>
      </c>
      <c r="D755" vm="6063">
        <f ca="1"/>
        <v>45258</v>
      </c>
      <c r="E755" vm="6065">
        <f ca="1"/>
        <v>16.18</v>
      </c>
      <c r="F755" vm="6063">
        <f ca="1"/>
        <v>45258</v>
      </c>
      <c r="G755" vm="6066">
        <f ca="1"/>
        <v>252.94</v>
      </c>
      <c r="H755" vm="6063">
        <f ca="1"/>
        <v>45258</v>
      </c>
      <c r="I755" vm="6067">
        <f ca="1"/>
        <v>124.71</v>
      </c>
      <c r="J755" vm="6063">
        <f ca="1"/>
        <v>45258</v>
      </c>
      <c r="K755" vm="6068">
        <f ca="1"/>
        <v>35.42</v>
      </c>
      <c r="L755" vm="6063">
        <f ca="1"/>
        <v>45258</v>
      </c>
      <c r="M755" vm="6069">
        <f ca="1"/>
        <v>182.61</v>
      </c>
      <c r="N755" vm="6063">
        <f ca="1"/>
        <v>45258</v>
      </c>
      <c r="O755" vm="6070">
        <f ca="1"/>
        <v>69.239999999999995</v>
      </c>
      <c r="P755" vm="6063">
        <f ca="1"/>
        <v>45258</v>
      </c>
      <c r="Q755" vm="6071">
        <f ca="1"/>
        <v>50.587000000000003</v>
      </c>
      <c r="R755" s="29">
        <f t="shared" ca="1" si="95"/>
        <v>1.0802672935210308E-2</v>
      </c>
      <c r="S755" s="30">
        <f t="shared" ca="1" si="96"/>
        <v>-1.8507094386182069E-3</v>
      </c>
      <c r="T755" s="30">
        <f t="shared" ca="1" si="97"/>
        <v>-4.7218068780986409E-3</v>
      </c>
      <c r="U755" s="30">
        <f t="shared" ca="1" si="98"/>
        <v>-2.399808015358862E-3</v>
      </c>
      <c r="V755" s="30">
        <f t="shared" ca="1" si="99"/>
        <v>1.7231476163124683E-2</v>
      </c>
      <c r="W755" s="30">
        <f t="shared" ca="1" si="102"/>
        <v>-2.349213286713169E-3</v>
      </c>
      <c r="X755" s="30">
        <f t="shared" ca="1" si="100"/>
        <v>-1.3112884834663651E-2</v>
      </c>
      <c r="Y755" s="31">
        <f t="shared" ca="1" si="101"/>
        <v>2.1175663127296351E-2</v>
      </c>
    </row>
    <row r="756" spans="2:25" x14ac:dyDescent="0.45">
      <c r="B756" vm="6072">
        <f ca="1"/>
        <v>45259</v>
      </c>
      <c r="C756" vm="6073">
        <f ca="1"/>
        <v>378.85</v>
      </c>
      <c r="D756" vm="6072">
        <f ca="1"/>
        <v>45259</v>
      </c>
      <c r="E756" vm="6074">
        <f ca="1"/>
        <v>16.3</v>
      </c>
      <c r="F756" vm="6072">
        <f ca="1"/>
        <v>45259</v>
      </c>
      <c r="G756" vm="6075">
        <f ca="1"/>
        <v>254.23</v>
      </c>
      <c r="H756" vm="6072">
        <f ca="1"/>
        <v>45259</v>
      </c>
      <c r="I756" vm="6076">
        <f ca="1"/>
        <v>127.59</v>
      </c>
      <c r="J756" vm="6072">
        <f ca="1"/>
        <v>45259</v>
      </c>
      <c r="K756" vm="6077">
        <f ca="1"/>
        <v>35.58</v>
      </c>
      <c r="L756" vm="6072">
        <f ca="1"/>
        <v>45259</v>
      </c>
      <c r="M756" vm="6078">
        <f ca="1"/>
        <v>182.31</v>
      </c>
      <c r="N756" vm="6072">
        <f ca="1"/>
        <v>45259</v>
      </c>
      <c r="O756" vm="6079">
        <f ca="1"/>
        <v>70.239999999999995</v>
      </c>
      <c r="P756" vm="6072">
        <f ca="1"/>
        <v>45259</v>
      </c>
      <c r="Q756" vm="6080">
        <f ca="1"/>
        <v>50.71</v>
      </c>
      <c r="R756" s="29">
        <f t="shared" ca="1" si="95"/>
        <v>-1.0060099294486454E-2</v>
      </c>
      <c r="S756" s="30">
        <f t="shared" ca="1" si="96"/>
        <v>7.4165636588381335E-3</v>
      </c>
      <c r="T756" s="30">
        <f t="shared" ca="1" si="97"/>
        <v>5.1000237210405315E-3</v>
      </c>
      <c r="U756" s="30">
        <f t="shared" ca="1" si="98"/>
        <v>2.3093577098869455E-2</v>
      </c>
      <c r="V756" s="30">
        <f t="shared" ca="1" si="99"/>
        <v>4.5172219085261598E-3</v>
      </c>
      <c r="W756" s="30">
        <f t="shared" ca="1" si="102"/>
        <v>-1.6428454082471461E-3</v>
      </c>
      <c r="X756" s="30">
        <f t="shared" ca="1" si="100"/>
        <v>1.4442518775274409E-2</v>
      </c>
      <c r="Y756" s="31">
        <f t="shared" ca="1" si="101"/>
        <v>2.431454721568734E-3</v>
      </c>
    </row>
    <row r="757" spans="2:25" x14ac:dyDescent="0.45">
      <c r="B757" vm="6081">
        <f ca="1"/>
        <v>45260</v>
      </c>
      <c r="C757" vm="6082">
        <f ca="1"/>
        <v>378.91</v>
      </c>
      <c r="D757" vm="6081">
        <f ca="1"/>
        <v>45260</v>
      </c>
      <c r="E757" vm="6083">
        <f ca="1"/>
        <v>16.57</v>
      </c>
      <c r="F757" vm="6081">
        <f ca="1"/>
        <v>45260</v>
      </c>
      <c r="G757" vm="6084">
        <f ca="1"/>
        <v>256.68</v>
      </c>
      <c r="H757" vm="6081">
        <f ca="1"/>
        <v>45260</v>
      </c>
      <c r="I757" vm="6085">
        <f ca="1"/>
        <v>127.8</v>
      </c>
      <c r="J757" vm="6081">
        <f ca="1"/>
        <v>45260</v>
      </c>
      <c r="K757" vm="6086">
        <f ca="1"/>
        <v>35.9</v>
      </c>
      <c r="L757" vm="6081">
        <f ca="1"/>
        <v>45260</v>
      </c>
      <c r="M757" vm="6087">
        <f ca="1"/>
        <v>185.11</v>
      </c>
      <c r="N757" vm="6081">
        <f ca="1"/>
        <v>45260</v>
      </c>
      <c r="O757" vm="6088">
        <f ca="1"/>
        <v>69.16</v>
      </c>
      <c r="P757" vm="6081">
        <f ca="1"/>
        <v>45260</v>
      </c>
      <c r="Q757" vm="6089">
        <f ca="1"/>
        <v>49.83</v>
      </c>
      <c r="R757" s="29">
        <f t="shared" ca="1" si="95"/>
        <v>1.5837402665963381E-4</v>
      </c>
      <c r="S757" s="30">
        <f t="shared" ca="1" si="96"/>
        <v>1.6564417177914084E-2</v>
      </c>
      <c r="T757" s="30">
        <f t="shared" ca="1" si="97"/>
        <v>9.6369429256972713E-3</v>
      </c>
      <c r="U757" s="30">
        <f t="shared" ca="1" si="98"/>
        <v>1.6458970138725115E-3</v>
      </c>
      <c r="V757" s="30">
        <f t="shared" ca="1" si="99"/>
        <v>8.9938167509837075E-3</v>
      </c>
      <c r="W757" s="30">
        <f t="shared" ca="1" si="102"/>
        <v>1.5358455378202025E-2</v>
      </c>
      <c r="X757" s="30">
        <f t="shared" ca="1" si="100"/>
        <v>-1.5375854214122985E-2</v>
      </c>
      <c r="Y757" s="31">
        <f t="shared" ca="1" si="101"/>
        <v>-1.7353579175705038E-2</v>
      </c>
    </row>
    <row r="758" spans="2:25" x14ac:dyDescent="0.45">
      <c r="B758" vm="6090">
        <f ca="1"/>
        <v>45261</v>
      </c>
      <c r="C758" vm="6091">
        <f ca="1"/>
        <v>374.51</v>
      </c>
      <c r="D758" vm="6090">
        <f ca="1"/>
        <v>45261</v>
      </c>
      <c r="E758" vm="3283">
        <f ca="1"/>
        <v>16.760000000000002</v>
      </c>
      <c r="F758" vm="6090">
        <f ca="1"/>
        <v>45261</v>
      </c>
      <c r="G758" vm="6092">
        <f ca="1"/>
        <v>256.45</v>
      </c>
      <c r="H758" vm="6090">
        <f ca="1"/>
        <v>45261</v>
      </c>
      <c r="I758" vm="6093">
        <f ca="1"/>
        <v>128.79</v>
      </c>
      <c r="J758" vm="6090">
        <f ca="1"/>
        <v>45261</v>
      </c>
      <c r="K758" vm="6094">
        <f ca="1"/>
        <v>36.24</v>
      </c>
      <c r="L758" vm="6090">
        <f ca="1"/>
        <v>45261</v>
      </c>
      <c r="M758" vm="6095">
        <f ca="1"/>
        <v>180.69</v>
      </c>
      <c r="N758" vm="6090">
        <f ca="1"/>
        <v>45261</v>
      </c>
      <c r="O758" vm="6096">
        <f ca="1"/>
        <v>68.92</v>
      </c>
      <c r="P758" vm="6090">
        <f ca="1"/>
        <v>45261</v>
      </c>
      <c r="Q758" vm="6097">
        <f ca="1"/>
        <v>52.768000000000001</v>
      </c>
      <c r="R758" s="29">
        <f t="shared" ca="1" si="95"/>
        <v>-1.1612256208598437E-2</v>
      </c>
      <c r="S758" s="30">
        <f t="shared" ca="1" si="96"/>
        <v>1.1466505733252943E-2</v>
      </c>
      <c r="T758" s="30">
        <f t="shared" ca="1" si="97"/>
        <v>-8.9605734767032169E-4</v>
      </c>
      <c r="U758" s="30">
        <f t="shared" ca="1" si="98"/>
        <v>7.7464788732393968E-3</v>
      </c>
      <c r="V758" s="30">
        <f t="shared" ca="1" si="99"/>
        <v>9.4707520891365859E-3</v>
      </c>
      <c r="W758" s="30">
        <f t="shared" ca="1" si="102"/>
        <v>-2.3877694343903709E-2</v>
      </c>
      <c r="X758" s="30">
        <f t="shared" ca="1" si="100"/>
        <v>-3.4702139965297123E-3</v>
      </c>
      <c r="Y758" s="31">
        <f t="shared" ca="1" si="101"/>
        <v>5.8960465582982187E-2</v>
      </c>
    </row>
    <row r="759" spans="2:25" x14ac:dyDescent="0.45">
      <c r="B759" vm="6098">
        <f ca="1"/>
        <v>45264</v>
      </c>
      <c r="C759" vm="6099">
        <f ca="1"/>
        <v>369.14</v>
      </c>
      <c r="D759" vm="6098">
        <f ca="1"/>
        <v>45264</v>
      </c>
      <c r="E759" vm="5033">
        <f ca="1"/>
        <v>16.66</v>
      </c>
      <c r="F759" vm="6098">
        <f ca="1"/>
        <v>45264</v>
      </c>
      <c r="G759" vm="6100">
        <f ca="1"/>
        <v>254.44</v>
      </c>
      <c r="H759" vm="6098">
        <f ca="1"/>
        <v>45264</v>
      </c>
      <c r="I759" vm="3565">
        <f ca="1"/>
        <v>128.88</v>
      </c>
      <c r="J759" vm="6098">
        <f ca="1"/>
        <v>45264</v>
      </c>
      <c r="K759" vm="6101">
        <f ca="1"/>
        <v>36.53</v>
      </c>
      <c r="L759" vm="6098">
        <f ca="1"/>
        <v>45264</v>
      </c>
      <c r="M759" vm="6102">
        <f ca="1"/>
        <v>194.17</v>
      </c>
      <c r="N759" vm="6098">
        <f ca="1"/>
        <v>45264</v>
      </c>
      <c r="O759" vm="6103">
        <f ca="1"/>
        <v>69.12</v>
      </c>
      <c r="P759" vm="6098">
        <f ca="1"/>
        <v>45264</v>
      </c>
      <c r="Q759" vm="6104">
        <f ca="1"/>
        <v>56.322000000000003</v>
      </c>
      <c r="R759" s="29">
        <f t="shared" ca="1" si="95"/>
        <v>-1.4338735948305798E-2</v>
      </c>
      <c r="S759" s="30">
        <f t="shared" ca="1" si="96"/>
        <v>-5.9665871121719217E-3</v>
      </c>
      <c r="T759" s="30">
        <f t="shared" ca="1" si="97"/>
        <v>-7.8377851433027532E-3</v>
      </c>
      <c r="U759" s="30">
        <f t="shared" ca="1" si="98"/>
        <v>6.9881201956676308E-4</v>
      </c>
      <c r="V759" s="30">
        <f t="shared" ca="1" si="99"/>
        <v>8.0022075055187405E-3</v>
      </c>
      <c r="W759" s="30">
        <f t="shared" ca="1" si="102"/>
        <v>7.4602911063146773E-2</v>
      </c>
      <c r="X759" s="30">
        <f t="shared" ca="1" si="100"/>
        <v>2.9019152640743302E-3</v>
      </c>
      <c r="Y759" s="31">
        <f t="shared" ca="1" si="101"/>
        <v>6.7351425106124962E-2</v>
      </c>
    </row>
    <row r="760" spans="2:25" x14ac:dyDescent="0.45">
      <c r="B760" vm="6105">
        <f ca="1"/>
        <v>45265</v>
      </c>
      <c r="C760" vm="6106">
        <f ca="1"/>
        <v>372.52</v>
      </c>
      <c r="D760" vm="6105">
        <f ca="1"/>
        <v>45265</v>
      </c>
      <c r="E760" vm="6107">
        <f ca="1"/>
        <v>17.22</v>
      </c>
      <c r="F760" vm="6105">
        <f ca="1"/>
        <v>45265</v>
      </c>
      <c r="G760" vm="6108">
        <f ca="1"/>
        <v>254.61</v>
      </c>
      <c r="H760" vm="6105">
        <f ca="1"/>
        <v>45265</v>
      </c>
      <c r="I760" vm="6109">
        <f ca="1"/>
        <v>127.88</v>
      </c>
      <c r="J760" vm="6105">
        <f ca="1"/>
        <v>45265</v>
      </c>
      <c r="K760" vm="6110">
        <f ca="1"/>
        <v>36.21</v>
      </c>
      <c r="L760" vm="6105">
        <f ca="1"/>
        <v>45265</v>
      </c>
      <c r="M760" vm="6111">
        <f ca="1"/>
        <v>199.32</v>
      </c>
      <c r="N760" vm="6105">
        <f ca="1"/>
        <v>45265</v>
      </c>
      <c r="O760" vm="6112">
        <f ca="1"/>
        <v>68.64</v>
      </c>
      <c r="P760" vm="6105">
        <f ca="1"/>
        <v>45265</v>
      </c>
      <c r="Q760" vm="6113">
        <f ca="1"/>
        <v>57.75</v>
      </c>
      <c r="R760" s="29">
        <f t="shared" ca="1" si="95"/>
        <v>9.1564176193314074E-3</v>
      </c>
      <c r="S760" s="30">
        <f t="shared" ca="1" si="96"/>
        <v>3.3613445378151183E-2</v>
      </c>
      <c r="T760" s="30">
        <f t="shared" ca="1" si="97"/>
        <v>6.6813394120427577E-4</v>
      </c>
      <c r="U760" s="30">
        <f t="shared" ca="1" si="98"/>
        <v>-7.7591558038485418E-3</v>
      </c>
      <c r="V760" s="30">
        <f t="shared" ca="1" si="99"/>
        <v>-8.7599233506706897E-3</v>
      </c>
      <c r="W760" s="30">
        <f t="shared" ca="1" si="102"/>
        <v>2.6523149817170553E-2</v>
      </c>
      <c r="X760" s="30">
        <f t="shared" ca="1" si="100"/>
        <v>-6.9444444444445013E-3</v>
      </c>
      <c r="Y760" s="31">
        <f t="shared" ca="1" si="101"/>
        <v>2.5354213273676311E-2</v>
      </c>
    </row>
    <row r="761" spans="2:25" x14ac:dyDescent="0.45">
      <c r="B761" vm="6114">
        <f ca="1"/>
        <v>45266</v>
      </c>
      <c r="C761" vm="6115">
        <f ca="1"/>
        <v>368.8</v>
      </c>
      <c r="D761" vm="6114">
        <f ca="1"/>
        <v>45266</v>
      </c>
      <c r="E761" vm="6116">
        <f ca="1"/>
        <v>16.940000000000001</v>
      </c>
      <c r="F761" vm="6114">
        <f ca="1"/>
        <v>45266</v>
      </c>
      <c r="G761" vm="6117">
        <f ca="1"/>
        <v>254.29</v>
      </c>
      <c r="H761" vm="6114">
        <f ca="1"/>
        <v>45266</v>
      </c>
      <c r="I761" vm="6118">
        <f ca="1"/>
        <v>128.91</v>
      </c>
      <c r="J761" vm="6114">
        <f ca="1"/>
        <v>45266</v>
      </c>
      <c r="K761" vm="6119">
        <f ca="1"/>
        <v>35.81</v>
      </c>
      <c r="L761" vm="6114">
        <f ca="1"/>
        <v>45266</v>
      </c>
      <c r="M761" vm="6120">
        <f ca="1"/>
        <v>193.79</v>
      </c>
      <c r="N761" vm="6114">
        <f ca="1"/>
        <v>45266</v>
      </c>
      <c r="O761" vm="6121">
        <f ca="1"/>
        <v>68.959999999999994</v>
      </c>
      <c r="P761" vm="6114">
        <f ca="1"/>
        <v>45266</v>
      </c>
      <c r="Q761" vm="6122">
        <f ca="1"/>
        <v>56.888500000000001</v>
      </c>
      <c r="R761" s="29">
        <f t="shared" ca="1" si="95"/>
        <v>-9.9860410179318446E-3</v>
      </c>
      <c r="S761" s="30">
        <f t="shared" ca="1" si="96"/>
        <v>-1.6260162601625876E-2</v>
      </c>
      <c r="T761" s="30">
        <f t="shared" ca="1" si="97"/>
        <v>-1.2568241624446078E-3</v>
      </c>
      <c r="U761" s="30">
        <f t="shared" ca="1" si="98"/>
        <v>8.054426024397883E-3</v>
      </c>
      <c r="V761" s="30">
        <f t="shared" ca="1" si="99"/>
        <v>-1.1046672190002722E-2</v>
      </c>
      <c r="W761" s="30">
        <f t="shared" ca="1" si="102"/>
        <v>-2.7744330724463181E-2</v>
      </c>
      <c r="X761" s="30">
        <f t="shared" ca="1" si="100"/>
        <v>4.6620046620045623E-3</v>
      </c>
      <c r="Y761" s="31">
        <f t="shared" ca="1" si="101"/>
        <v>-1.491774891774891E-2</v>
      </c>
    </row>
    <row r="762" spans="2:25" x14ac:dyDescent="0.45">
      <c r="B762" vm="6123">
        <f ca="1"/>
        <v>45267</v>
      </c>
      <c r="C762" vm="6124">
        <f ca="1"/>
        <v>370.95</v>
      </c>
      <c r="D762" vm="6123">
        <f ca="1"/>
        <v>45267</v>
      </c>
      <c r="E762" vm="4955">
        <f ca="1"/>
        <v>17.09</v>
      </c>
      <c r="F762" vm="6123">
        <f ca="1"/>
        <v>45267</v>
      </c>
      <c r="G762" vm="6125">
        <f ca="1"/>
        <v>255.82</v>
      </c>
      <c r="H762" vm="6123">
        <f ca="1"/>
        <v>45267</v>
      </c>
      <c r="I762" vm="6126">
        <f ca="1"/>
        <v>128.68</v>
      </c>
      <c r="J762" vm="6123">
        <f ca="1"/>
        <v>45267</v>
      </c>
      <c r="K762" vm="6127">
        <f ca="1"/>
        <v>35.93</v>
      </c>
      <c r="L762" vm="6123">
        <f ca="1"/>
        <v>45267</v>
      </c>
      <c r="M762" vm="6128">
        <f ca="1"/>
        <v>195.82</v>
      </c>
      <c r="N762" vm="6123">
        <f ca="1"/>
        <v>45267</v>
      </c>
      <c r="O762" vm="6129">
        <f ca="1"/>
        <v>69</v>
      </c>
      <c r="P762" vm="6123">
        <f ca="1"/>
        <v>45267</v>
      </c>
      <c r="Q762" vm="6130">
        <f ca="1"/>
        <v>57.109000000000002</v>
      </c>
      <c r="R762" s="29">
        <f t="shared" ca="1" si="95"/>
        <v>5.8297180043383329E-3</v>
      </c>
      <c r="S762" s="30">
        <f t="shared" ca="1" si="96"/>
        <v>8.8547815820542251E-3</v>
      </c>
      <c r="T762" s="30">
        <f t="shared" ca="1" si="97"/>
        <v>6.0167525266428138E-3</v>
      </c>
      <c r="U762" s="30">
        <f t="shared" ca="1" si="98"/>
        <v>-1.7841905205181116E-3</v>
      </c>
      <c r="V762" s="30">
        <f t="shared" ca="1" si="99"/>
        <v>3.3510192683607215E-3</v>
      </c>
      <c r="W762" s="30">
        <f t="shared" ca="1" si="102"/>
        <v>1.047525672119305E-2</v>
      </c>
      <c r="X762" s="30">
        <f t="shared" ca="1" si="100"/>
        <v>5.8004640371238771E-4</v>
      </c>
      <c r="Y762" s="31">
        <f t="shared" ca="1" si="101"/>
        <v>3.8760030586146806E-3</v>
      </c>
    </row>
    <row r="763" spans="2:25" x14ac:dyDescent="0.45">
      <c r="B763" vm="6131">
        <f ca="1"/>
        <v>45268</v>
      </c>
      <c r="C763" vm="6132">
        <f ca="1"/>
        <v>374.23</v>
      </c>
      <c r="D763" vm="6131">
        <f ca="1"/>
        <v>45268</v>
      </c>
      <c r="E763" vm="6133">
        <f ca="1"/>
        <v>16.920000000000002</v>
      </c>
      <c r="F763" vm="6131">
        <f ca="1"/>
        <v>45268</v>
      </c>
      <c r="G763" vm="6134">
        <f ca="1"/>
        <v>255.74</v>
      </c>
      <c r="H763" vm="6131">
        <f ca="1"/>
        <v>45268</v>
      </c>
      <c r="I763" vm="6135">
        <f ca="1"/>
        <v>127.2</v>
      </c>
      <c r="J763" vm="6131">
        <f ca="1"/>
        <v>45268</v>
      </c>
      <c r="K763" vm="6086">
        <f ca="1"/>
        <v>35.9</v>
      </c>
      <c r="L763" vm="6131">
        <f ca="1"/>
        <v>45268</v>
      </c>
      <c r="M763" vm="6136">
        <f ca="1"/>
        <v>198.05</v>
      </c>
      <c r="N763" vm="6131">
        <f ca="1"/>
        <v>45268</v>
      </c>
      <c r="O763" vm="6137">
        <f ca="1"/>
        <v>67</v>
      </c>
      <c r="P763" vm="6131">
        <f ca="1"/>
        <v>45268</v>
      </c>
      <c r="Q763" vm="1752">
        <f ca="1"/>
        <v>59.939</v>
      </c>
      <c r="R763" s="29">
        <f t="shared" ca="1" si="95"/>
        <v>8.8421620164443448E-3</v>
      </c>
      <c r="S763" s="30">
        <f t="shared" ca="1" si="96"/>
        <v>-9.9473376243416119E-3</v>
      </c>
      <c r="T763" s="30">
        <f t="shared" ca="1" si="97"/>
        <v>-3.1271988116638296E-4</v>
      </c>
      <c r="U763" s="30">
        <f t="shared" ca="1" si="98"/>
        <v>-1.1501398818775287E-2</v>
      </c>
      <c r="V763" s="30">
        <f t="shared" ca="1" si="99"/>
        <v>-8.3495686056223593E-4</v>
      </c>
      <c r="W763" s="30">
        <f t="shared" ca="1" si="102"/>
        <v>1.1388009396384529E-2</v>
      </c>
      <c r="X763" s="30">
        <f t="shared" ca="1" si="100"/>
        <v>-2.8985507246376812E-2</v>
      </c>
      <c r="Y763" s="31">
        <f t="shared" ca="1" si="101"/>
        <v>4.9554360958868095E-2</v>
      </c>
    </row>
    <row r="764" spans="2:25" x14ac:dyDescent="0.45">
      <c r="B764" vm="6138">
        <f ca="1"/>
        <v>45271</v>
      </c>
      <c r="C764" vm="6139">
        <f ca="1"/>
        <v>371.3</v>
      </c>
      <c r="D764" vm="6138">
        <f ca="1"/>
        <v>45271</v>
      </c>
      <c r="E764" vm="6140">
        <f ca="1"/>
        <v>16.62</v>
      </c>
      <c r="F764" vm="6138">
        <f ca="1"/>
        <v>45271</v>
      </c>
      <c r="G764" vm="6141">
        <f ca="1"/>
        <v>256.52</v>
      </c>
      <c r="H764" vm="6138">
        <f ca="1"/>
        <v>45271</v>
      </c>
      <c r="I764" vm="6142">
        <f ca="1"/>
        <v>128.97</v>
      </c>
      <c r="J764" vm="6138">
        <f ca="1"/>
        <v>45271</v>
      </c>
      <c r="K764" vm="6143">
        <f ca="1"/>
        <v>36.14</v>
      </c>
      <c r="L764" vm="6138">
        <f ca="1"/>
        <v>45271</v>
      </c>
      <c r="M764" vm="3698">
        <f ca="1"/>
        <v>197.76</v>
      </c>
      <c r="N764" vm="6138">
        <f ca="1"/>
        <v>45271</v>
      </c>
      <c r="O764" vm="6144">
        <f ca="1"/>
        <v>65.48</v>
      </c>
      <c r="P764" vm="6138">
        <f ca="1"/>
        <v>45271</v>
      </c>
      <c r="Q764" vm="6145">
        <f ca="1"/>
        <v>55.58</v>
      </c>
      <c r="R764" s="29">
        <f t="shared" ca="1" si="95"/>
        <v>-7.8294097212944086E-3</v>
      </c>
      <c r="S764" s="30">
        <f t="shared" ca="1" si="96"/>
        <v>-1.7730496453900749E-2</v>
      </c>
      <c r="T764" s="30">
        <f t="shared" ca="1" si="97"/>
        <v>3.0499726284506637E-3</v>
      </c>
      <c r="U764" s="30">
        <f t="shared" ca="1" si="98"/>
        <v>1.3915094339622611E-2</v>
      </c>
      <c r="V764" s="30">
        <f t="shared" ca="1" si="99"/>
        <v>6.6852367688022838E-3</v>
      </c>
      <c r="W764" s="30">
        <f t="shared" ca="1" si="102"/>
        <v>-1.4642766978036881E-3</v>
      </c>
      <c r="X764" s="30">
        <f t="shared" ca="1" si="100"/>
        <v>-2.2686567164179047E-2</v>
      </c>
      <c r="Y764" s="31">
        <f t="shared" ca="1" si="101"/>
        <v>-7.2723936001601652E-2</v>
      </c>
    </row>
    <row r="765" spans="2:25" x14ac:dyDescent="0.45">
      <c r="B765" vm="6146">
        <f ca="1"/>
        <v>45272</v>
      </c>
      <c r="C765" vm="6147">
        <f ca="1"/>
        <v>374.38</v>
      </c>
      <c r="D765" vm="6146">
        <f ca="1"/>
        <v>45272</v>
      </c>
      <c r="E765" vm="426">
        <f ca="1"/>
        <v>16.41</v>
      </c>
      <c r="F765" vm="6146">
        <f ca="1"/>
        <v>45272</v>
      </c>
      <c r="G765" vm="6148">
        <f ca="1"/>
        <v>259.56</v>
      </c>
      <c r="H765" vm="6146">
        <f ca="1"/>
        <v>45272</v>
      </c>
      <c r="I765" vm="6093">
        <f ca="1"/>
        <v>128.79</v>
      </c>
      <c r="J765" vm="6146">
        <f ca="1"/>
        <v>45272</v>
      </c>
      <c r="K765" vm="6149">
        <f ca="1"/>
        <v>36.39</v>
      </c>
      <c r="L765" vm="6146">
        <f ca="1"/>
        <v>45272</v>
      </c>
      <c r="M765" vm="6150">
        <f ca="1"/>
        <v>199</v>
      </c>
      <c r="N765" vm="6146">
        <f ca="1"/>
        <v>45272</v>
      </c>
      <c r="O765" vm="6151">
        <f ca="1"/>
        <v>63.6</v>
      </c>
      <c r="P765" vm="6146">
        <f ca="1"/>
        <v>45272</v>
      </c>
      <c r="Q765" vm="6152">
        <f ca="1"/>
        <v>55.832000000000001</v>
      </c>
      <c r="R765" s="29">
        <f t="shared" ca="1" si="95"/>
        <v>8.2951791004578085E-3</v>
      </c>
      <c r="S765" s="30">
        <f t="shared" ca="1" si="96"/>
        <v>-1.2635379061371892E-2</v>
      </c>
      <c r="T765" s="30">
        <f t="shared" ca="1" si="97"/>
        <v>1.185092780290044E-2</v>
      </c>
      <c r="U765" s="30">
        <f t="shared" ca="1" si="98"/>
        <v>-1.3956734124215462E-3</v>
      </c>
      <c r="V765" s="30">
        <f t="shared" ca="1" si="99"/>
        <v>6.9175428887659103E-3</v>
      </c>
      <c r="W765" s="30">
        <f t="shared" ca="1" si="102"/>
        <v>6.2702265372168746E-3</v>
      </c>
      <c r="X765" s="30">
        <f t="shared" ca="1" si="100"/>
        <v>-2.8711056811240112E-2</v>
      </c>
      <c r="Y765" s="31">
        <f t="shared" ca="1" si="101"/>
        <v>4.5340050377834194E-3</v>
      </c>
    </row>
    <row r="766" spans="2:25" x14ac:dyDescent="0.45">
      <c r="B766" vm="6153">
        <f ca="1"/>
        <v>45273</v>
      </c>
      <c r="C766" vm="6154">
        <f ca="1"/>
        <v>374.37</v>
      </c>
      <c r="D766" vm="6153">
        <f ca="1"/>
        <v>45273</v>
      </c>
      <c r="E766" vm="6155">
        <f ca="1"/>
        <v>16.45</v>
      </c>
      <c r="F766" vm="6153">
        <f ca="1"/>
        <v>45273</v>
      </c>
      <c r="G766" vm="6156">
        <f ca="1"/>
        <v>262.38</v>
      </c>
      <c r="H766" vm="6153">
        <f ca="1"/>
        <v>45273</v>
      </c>
      <c r="I766" vm="6157">
        <f ca="1"/>
        <v>133.74</v>
      </c>
      <c r="J766" vm="6153">
        <f ca="1"/>
        <v>45273</v>
      </c>
      <c r="K766" vm="6158">
        <f ca="1"/>
        <v>38.590000000000003</v>
      </c>
      <c r="L766" vm="6153">
        <f ca="1"/>
        <v>45273</v>
      </c>
      <c r="M766" vm="6159">
        <f ca="1"/>
        <v>199.49</v>
      </c>
      <c r="N766" vm="6153">
        <f ca="1"/>
        <v>45273</v>
      </c>
      <c r="O766" vm="6160">
        <f ca="1"/>
        <v>62.84</v>
      </c>
      <c r="P766" vm="6153">
        <f ca="1"/>
        <v>45273</v>
      </c>
      <c r="Q766" vm="6161">
        <f ca="1"/>
        <v>58.6</v>
      </c>
      <c r="R766" s="29">
        <f t="shared" ca="1" si="95"/>
        <v>-2.6710828569877944E-5</v>
      </c>
      <c r="S766" s="30">
        <f t="shared" ca="1" si="96"/>
        <v>2.4375380865325502E-3</v>
      </c>
      <c r="T766" s="30">
        <f t="shared" ca="1" si="97"/>
        <v>1.0864539990753557E-2</v>
      </c>
      <c r="U766" s="30">
        <f t="shared" ca="1" si="98"/>
        <v>3.8434661076170648E-2</v>
      </c>
      <c r="V766" s="30">
        <f t="shared" ca="1" si="99"/>
        <v>6.0456169277274055E-2</v>
      </c>
      <c r="W766" s="30">
        <f t="shared" ca="1" si="102"/>
        <v>2.4623115577889904E-3</v>
      </c>
      <c r="X766" s="30">
        <f t="shared" ca="1" si="100"/>
        <v>-1.1949685534591163E-2</v>
      </c>
      <c r="Y766" s="31">
        <f t="shared" ca="1" si="101"/>
        <v>4.9577303338587203E-2</v>
      </c>
    </row>
    <row r="767" spans="2:25" x14ac:dyDescent="0.45">
      <c r="B767" vm="6162">
        <f ca="1"/>
        <v>45274</v>
      </c>
      <c r="C767" vm="6163">
        <f ca="1"/>
        <v>365.93</v>
      </c>
      <c r="D767" vm="6162">
        <f ca="1"/>
        <v>45274</v>
      </c>
      <c r="E767" vm="6164">
        <f ca="1"/>
        <v>16.649999999999999</v>
      </c>
      <c r="F767" vm="6162">
        <f ca="1"/>
        <v>45274</v>
      </c>
      <c r="G767" vm="6165">
        <f ca="1"/>
        <v>258.73</v>
      </c>
      <c r="H767" vm="6162">
        <f ca="1"/>
        <v>45274</v>
      </c>
      <c r="I767" vm="6166">
        <f ca="1"/>
        <v>137.96</v>
      </c>
      <c r="J767" vm="6162">
        <f ca="1"/>
        <v>45274</v>
      </c>
      <c r="K767" vm="6167">
        <f ca="1"/>
        <v>38.86</v>
      </c>
      <c r="L767" vm="6162">
        <f ca="1"/>
        <v>45274</v>
      </c>
      <c r="M767" vm="6168">
        <f ca="1"/>
        <v>196.15</v>
      </c>
      <c r="N767" vm="6162">
        <f ca="1"/>
        <v>45274</v>
      </c>
      <c r="O767" vm="6169">
        <f ca="1"/>
        <v>62.48</v>
      </c>
      <c r="P767" vm="6162">
        <f ca="1"/>
        <v>45274</v>
      </c>
      <c r="Q767" vm="6170">
        <f ca="1"/>
        <v>58.237000000000002</v>
      </c>
      <c r="R767" s="29">
        <f t="shared" ca="1" si="95"/>
        <v>-2.254454149638058E-2</v>
      </c>
      <c r="S767" s="30">
        <f t="shared" ca="1" si="96"/>
        <v>1.2158054711246157E-2</v>
      </c>
      <c r="T767" s="30">
        <f t="shared" ca="1" si="97"/>
        <v>-1.3911121274487298E-2</v>
      </c>
      <c r="U767" s="30">
        <f t="shared" ca="1" si="98"/>
        <v>3.1553761028861961E-2</v>
      </c>
      <c r="V767" s="30">
        <f t="shared" ca="1" si="99"/>
        <v>6.9966312516194871E-3</v>
      </c>
      <c r="W767" s="30">
        <f t="shared" ca="1" si="102"/>
        <v>-1.6742693869366901E-2</v>
      </c>
      <c r="X767" s="30">
        <f t="shared" ca="1" si="100"/>
        <v>-5.72883513685561E-3</v>
      </c>
      <c r="Y767" s="31">
        <f t="shared" ca="1" si="101"/>
        <v>-6.1945392491467499E-3</v>
      </c>
    </row>
    <row r="768" spans="2:25" x14ac:dyDescent="0.45">
      <c r="B768" vm="6171">
        <f ca="1"/>
        <v>45275</v>
      </c>
      <c r="C768" vm="6172">
        <f ca="1"/>
        <v>370.73</v>
      </c>
      <c r="D768" vm="6171">
        <f ca="1"/>
        <v>45275</v>
      </c>
      <c r="E768" vm="434">
        <f ca="1"/>
        <v>16.52</v>
      </c>
      <c r="F768" vm="6171">
        <f ca="1"/>
        <v>45275</v>
      </c>
      <c r="G768" vm="6173">
        <f ca="1"/>
        <v>258.02999999999997</v>
      </c>
      <c r="H768" vm="6171">
        <f ca="1"/>
        <v>45275</v>
      </c>
      <c r="I768" vm="6174">
        <f ca="1"/>
        <v>136.78</v>
      </c>
      <c r="J768" vm="6171">
        <f ca="1"/>
        <v>45275</v>
      </c>
      <c r="K768" vm="6175">
        <f ca="1"/>
        <v>39.33</v>
      </c>
      <c r="L768" vm="6171">
        <f ca="1"/>
        <v>45275</v>
      </c>
      <c r="M768" vm="6176">
        <f ca="1"/>
        <v>192.17</v>
      </c>
      <c r="N768" vm="6171">
        <f ca="1"/>
        <v>45275</v>
      </c>
      <c r="O768" vm="6177">
        <f ca="1"/>
        <v>64.56</v>
      </c>
      <c r="P768" vm="6171">
        <f ca="1"/>
        <v>45275</v>
      </c>
      <c r="Q768" vm="6178">
        <f ca="1"/>
        <v>57.040999999999997</v>
      </c>
      <c r="R768" s="29">
        <f t="shared" ca="1" si="95"/>
        <v>1.311726286448231E-2</v>
      </c>
      <c r="S768" s="30">
        <f t="shared" ca="1" si="96"/>
        <v>-7.8078078078077486E-3</v>
      </c>
      <c r="T768" s="30">
        <f t="shared" ca="1" si="97"/>
        <v>-2.7055231322229562E-3</v>
      </c>
      <c r="U768" s="30">
        <f t="shared" ca="1" si="98"/>
        <v>-8.553203827196338E-3</v>
      </c>
      <c r="V768" s="30">
        <f t="shared" ca="1" si="99"/>
        <v>1.2094698919197089E-2</v>
      </c>
      <c r="W768" s="30">
        <f t="shared" ca="1" si="102"/>
        <v>-2.029059393321447E-2</v>
      </c>
      <c r="X768" s="30">
        <f t="shared" ca="1" si="100"/>
        <v>3.3290653008962959E-2</v>
      </c>
      <c r="Y768" s="31">
        <f t="shared" ca="1" si="101"/>
        <v>-2.0536772155159179E-2</v>
      </c>
    </row>
    <row r="769" spans="2:25" x14ac:dyDescent="0.45">
      <c r="B769" vm="6179">
        <f ca="1"/>
        <v>45278</v>
      </c>
      <c r="C769" vm="6180">
        <f ca="1"/>
        <v>372.65</v>
      </c>
      <c r="D769" vm="6179">
        <f ca="1"/>
        <v>45278</v>
      </c>
      <c r="E769" vm="6181">
        <f ca="1"/>
        <v>16.46</v>
      </c>
      <c r="F769" vm="6179">
        <f ca="1"/>
        <v>45278</v>
      </c>
      <c r="G769" vm="6182">
        <f ca="1"/>
        <v>258.37</v>
      </c>
      <c r="H769" vm="6179">
        <f ca="1"/>
        <v>45278</v>
      </c>
      <c r="I769" vm="6183">
        <f ca="1"/>
        <v>137.53</v>
      </c>
      <c r="J769" vm="6179">
        <f ca="1"/>
        <v>45278</v>
      </c>
      <c r="K769" vm="6184">
        <f ca="1"/>
        <v>49.59</v>
      </c>
      <c r="L769" vm="6179">
        <f ca="1"/>
        <v>45278</v>
      </c>
      <c r="M769" vm="6185">
        <f ca="1"/>
        <v>193.04</v>
      </c>
      <c r="N769" vm="6179">
        <f ca="1"/>
        <v>45278</v>
      </c>
      <c r="O769" vm="6186">
        <f ca="1"/>
        <v>64.72</v>
      </c>
      <c r="P769" vm="6179">
        <f ca="1"/>
        <v>45278</v>
      </c>
      <c r="Q769" vm="6187">
        <f ca="1"/>
        <v>57.19</v>
      </c>
      <c r="R769" s="29">
        <f t="shared" ca="1" si="95"/>
        <v>5.1789712189462926E-3</v>
      </c>
      <c r="S769" s="30">
        <f t="shared" ca="1" si="96"/>
        <v>-3.6319612590798257E-3</v>
      </c>
      <c r="T769" s="30">
        <f t="shared" ca="1" si="97"/>
        <v>1.3176762391971162E-3</v>
      </c>
      <c r="U769" s="30">
        <f t="shared" ca="1" si="98"/>
        <v>5.4832577862260565E-3</v>
      </c>
      <c r="V769" s="30">
        <f t="shared" ca="1" si="99"/>
        <v>0.26086956521739146</v>
      </c>
      <c r="W769" s="30">
        <f t="shared" ca="1" si="102"/>
        <v>4.5272415049175448E-3</v>
      </c>
      <c r="X769" s="30">
        <f t="shared" ca="1" si="100"/>
        <v>2.4783147459726857E-3</v>
      </c>
      <c r="Y769" s="31">
        <f t="shared" ca="1" si="101"/>
        <v>2.612156168370136E-3</v>
      </c>
    </row>
    <row r="770" spans="2:25" x14ac:dyDescent="0.45">
      <c r="B770" vm="6188">
        <f ca="1"/>
        <v>45279</v>
      </c>
      <c r="C770" vm="6189">
        <f ca="1"/>
        <v>373.26</v>
      </c>
      <c r="D770" vm="6188">
        <f ca="1"/>
        <v>45279</v>
      </c>
      <c r="E770" vm="517">
        <f ca="1"/>
        <v>16.61</v>
      </c>
      <c r="F770" vm="6188">
        <f ca="1"/>
        <v>45279</v>
      </c>
      <c r="G770" vm="6190">
        <f ca="1"/>
        <v>259.99</v>
      </c>
      <c r="H770" vm="6188">
        <f ca="1"/>
        <v>45279</v>
      </c>
      <c r="I770" vm="6191">
        <f ca="1"/>
        <v>139.79</v>
      </c>
      <c r="J770" vm="6188">
        <f ca="1"/>
        <v>45279</v>
      </c>
      <c r="K770" vm="6192">
        <f ca="1"/>
        <v>48.38</v>
      </c>
      <c r="L770" vm="6188">
        <f ca="1"/>
        <v>45279</v>
      </c>
      <c r="M770" vm="6193">
        <f ca="1"/>
        <v>190.83</v>
      </c>
      <c r="N770" vm="6188">
        <f ca="1"/>
        <v>45279</v>
      </c>
      <c r="O770" vm="6194">
        <f ca="1"/>
        <v>65.680000000000007</v>
      </c>
      <c r="P770" vm="6188">
        <f ca="1"/>
        <v>45279</v>
      </c>
      <c r="Q770" vm="6195">
        <f ca="1"/>
        <v>57.13</v>
      </c>
      <c r="R770" s="29">
        <f t="shared" ca="1" si="95"/>
        <v>1.6369247282973667E-3</v>
      </c>
      <c r="S770" s="30">
        <f t="shared" ca="1" si="96"/>
        <v>9.1130012150667412E-3</v>
      </c>
      <c r="T770" s="30">
        <f t="shared" ca="1" si="97"/>
        <v>6.2700777954097014E-3</v>
      </c>
      <c r="U770" s="30">
        <f t="shared" ca="1" si="98"/>
        <v>1.643277830291566E-2</v>
      </c>
      <c r="V770" s="30">
        <f t="shared" ca="1" si="99"/>
        <v>-2.4400080661423691E-2</v>
      </c>
      <c r="W770" s="30">
        <f t="shared" ca="1" si="102"/>
        <v>-1.1448404475756215E-2</v>
      </c>
      <c r="X770" s="30">
        <f t="shared" ca="1" si="100"/>
        <v>1.4833127317676267E-2</v>
      </c>
      <c r="Y770" s="31">
        <f t="shared" ca="1" si="101"/>
        <v>-1.0491344640670601E-3</v>
      </c>
    </row>
    <row r="771" spans="2:25" x14ac:dyDescent="0.45">
      <c r="B771" vm="6196">
        <f ca="1"/>
        <v>45280</v>
      </c>
      <c r="C771" vm="6197">
        <f ca="1"/>
        <v>370.62</v>
      </c>
      <c r="D771" vm="6196">
        <f ca="1"/>
        <v>45280</v>
      </c>
      <c r="E771" vm="6198">
        <f ca="1"/>
        <v>16.399999999999999</v>
      </c>
      <c r="F771" vm="6196">
        <f ca="1"/>
        <v>45280</v>
      </c>
      <c r="G771" vm="6199">
        <f ca="1"/>
        <v>257.11</v>
      </c>
      <c r="H771" vm="6196">
        <f ca="1"/>
        <v>45280</v>
      </c>
      <c r="I771" vm="6200">
        <f ca="1"/>
        <v>138.18</v>
      </c>
      <c r="J771" vm="6196">
        <f ca="1"/>
        <v>45280</v>
      </c>
      <c r="K771" vm="6201">
        <f ca="1"/>
        <v>47.82</v>
      </c>
      <c r="L771" vm="6196">
        <f ca="1"/>
        <v>45280</v>
      </c>
      <c r="M771" vm="6202">
        <f ca="1"/>
        <v>188.71</v>
      </c>
      <c r="N771" vm="6196">
        <f ca="1"/>
        <v>45280</v>
      </c>
      <c r="O771" vm="6053">
        <f ca="1"/>
        <v>69.680000000000007</v>
      </c>
      <c r="P771" vm="6196">
        <f ca="1"/>
        <v>45280</v>
      </c>
      <c r="Q771" vm="6203">
        <f ca="1"/>
        <v>57.347000000000001</v>
      </c>
      <c r="R771" s="29">
        <f t="shared" ca="1" si="95"/>
        <v>-7.0728178749396835E-3</v>
      </c>
      <c r="S771" s="30">
        <f t="shared" ca="1" si="96"/>
        <v>-1.2642986152919979E-2</v>
      </c>
      <c r="T771" s="30">
        <f t="shared" ca="1" si="97"/>
        <v>-1.1077349128812629E-2</v>
      </c>
      <c r="U771" s="30">
        <f t="shared" ca="1" si="98"/>
        <v>-1.1517275913870702E-2</v>
      </c>
      <c r="V771" s="30">
        <f t="shared" ca="1" si="99"/>
        <v>-1.1575031004547379E-2</v>
      </c>
      <c r="W771" s="30">
        <f t="shared" ca="1" si="102"/>
        <v>-1.1109364355709294E-2</v>
      </c>
      <c r="X771" s="30">
        <f t="shared" ca="1" si="100"/>
        <v>6.0901339829476243E-2</v>
      </c>
      <c r="Y771" s="31">
        <f t="shared" ca="1" si="101"/>
        <v>3.7983546297916809E-3</v>
      </c>
    </row>
    <row r="772" spans="2:25" x14ac:dyDescent="0.45">
      <c r="B772" vm="6204">
        <f ca="1"/>
        <v>45281</v>
      </c>
      <c r="C772" vm="6205">
        <f ca="1"/>
        <v>373.54</v>
      </c>
      <c r="D772" vm="6204">
        <f ca="1"/>
        <v>45281</v>
      </c>
      <c r="E772" vm="6206">
        <f ca="1"/>
        <v>16.489999999999998</v>
      </c>
      <c r="F772" vm="6204">
        <f ca="1"/>
        <v>45281</v>
      </c>
      <c r="G772" vm="6207">
        <f ca="1"/>
        <v>259.54000000000002</v>
      </c>
      <c r="H772" vm="6204">
        <f ca="1"/>
        <v>45281</v>
      </c>
      <c r="I772" vm="6208">
        <f ca="1"/>
        <v>138.94</v>
      </c>
      <c r="J772" vm="6204">
        <f ca="1"/>
        <v>45281</v>
      </c>
      <c r="K772" vm="6209">
        <f ca="1"/>
        <v>48.16</v>
      </c>
      <c r="L772" vm="6204">
        <f ca="1"/>
        <v>45281</v>
      </c>
      <c r="M772" vm="6210">
        <f ca="1"/>
        <v>192.85</v>
      </c>
      <c r="N772" vm="6204">
        <f ca="1"/>
        <v>45281</v>
      </c>
      <c r="O772" vm="6211">
        <f ca="1"/>
        <v>68.239999999999995</v>
      </c>
      <c r="P772" vm="6204">
        <f ca="1"/>
        <v>45281</v>
      </c>
      <c r="Q772" vm="6212">
        <f ca="1"/>
        <v>58.195</v>
      </c>
      <c r="R772" s="29">
        <f t="shared" ca="1" si="95"/>
        <v>7.8786897630997131E-3</v>
      </c>
      <c r="S772" s="30">
        <f t="shared" ca="1" si="96"/>
        <v>5.4878048780487724E-3</v>
      </c>
      <c r="T772" s="30">
        <f t="shared" ca="1" si="97"/>
        <v>9.4512076543114103E-3</v>
      </c>
      <c r="U772" s="30">
        <f t="shared" ca="1" si="98"/>
        <v>5.5000723693732151E-3</v>
      </c>
      <c r="V772" s="30">
        <f t="shared" ca="1" si="99"/>
        <v>7.1099958176494421E-3</v>
      </c>
      <c r="W772" s="30">
        <f t="shared" ca="1" si="102"/>
        <v>2.1938424036881916E-2</v>
      </c>
      <c r="X772" s="30">
        <f t="shared" ca="1" si="100"/>
        <v>-2.0665901262916359E-2</v>
      </c>
      <c r="Y772" s="31">
        <f t="shared" ca="1" si="101"/>
        <v>1.4787172825082375E-2</v>
      </c>
    </row>
    <row r="773" spans="2:25" x14ac:dyDescent="0.45">
      <c r="B773" vm="6213">
        <f ca="1"/>
        <v>45282</v>
      </c>
      <c r="C773" vm="6214">
        <f ca="1"/>
        <v>374.58</v>
      </c>
      <c r="D773" vm="6213">
        <f ca="1"/>
        <v>45282</v>
      </c>
      <c r="E773" vm="403">
        <f ca="1"/>
        <v>16.55</v>
      </c>
      <c r="F773" vm="6213">
        <f ca="1"/>
        <v>45282</v>
      </c>
      <c r="G773" vm="6215">
        <f ca="1"/>
        <v>258.43</v>
      </c>
      <c r="H773" vm="6213">
        <f ca="1"/>
        <v>45282</v>
      </c>
      <c r="I773" vm="6216">
        <f ca="1"/>
        <v>139.57</v>
      </c>
      <c r="J773" vm="6213">
        <f ca="1"/>
        <v>45282</v>
      </c>
      <c r="K773" vm="6217">
        <f ca="1"/>
        <v>47.97</v>
      </c>
      <c r="L773" vm="6213">
        <f ca="1"/>
        <v>45282</v>
      </c>
      <c r="M773" vm="6218">
        <f ca="1"/>
        <v>189.59</v>
      </c>
      <c r="N773" vm="6213">
        <f ca="1"/>
        <v>45282</v>
      </c>
      <c r="O773" vm="6219">
        <f ca="1"/>
        <v>66.44</v>
      </c>
      <c r="P773" vm="6213">
        <f ca="1"/>
        <v>45282</v>
      </c>
      <c r="Q773" vm="6220">
        <f ca="1"/>
        <v>61.923999999999999</v>
      </c>
      <c r="R773" s="29">
        <f t="shared" ref="R773:R836" ca="1" si="103">(C773-C772)/C772</f>
        <v>2.7841730470631351E-3</v>
      </c>
      <c r="S773" s="30">
        <f t="shared" ref="S773:S836" ca="1" si="104">(E773-E772)/E772</f>
        <v>3.6385688295938316E-3</v>
      </c>
      <c r="T773" s="30">
        <f t="shared" ref="T773:T836" ca="1" si="105">(G773-G772)/G772</f>
        <v>-4.2767974108037822E-3</v>
      </c>
      <c r="U773" s="30">
        <f t="shared" ref="U773:U836" ca="1" si="106">(I773-I772)/I772</f>
        <v>4.5343313660572582E-3</v>
      </c>
      <c r="V773" s="30">
        <f t="shared" ref="V773:V836" ca="1" si="107">(K773-K772)/K772</f>
        <v>-3.9451827242524447E-3</v>
      </c>
      <c r="W773" s="30">
        <f t="shared" ca="1" si="102"/>
        <v>-1.6904329789992175E-2</v>
      </c>
      <c r="X773" s="30">
        <f t="shared" ref="X773:X836" ca="1" si="108">(O773-O772)/O772</f>
        <v>-2.6377491207502893E-2</v>
      </c>
      <c r="Y773" s="31">
        <f t="shared" ref="Y773:Y836" ca="1" si="109">(Q773-Q772)/Q772</f>
        <v>6.407766990291261E-2</v>
      </c>
    </row>
    <row r="774" spans="2:25" x14ac:dyDescent="0.45">
      <c r="B774" vm="6221">
        <f ca="1"/>
        <v>45286</v>
      </c>
      <c r="C774" vm="6222">
        <f ca="1"/>
        <v>374.66</v>
      </c>
      <c r="D774" vm="6221">
        <f ca="1"/>
        <v>45286</v>
      </c>
      <c r="E774" vm="6083">
        <f ca="1"/>
        <v>16.57</v>
      </c>
      <c r="F774" vm="6221">
        <f ca="1"/>
        <v>45286</v>
      </c>
      <c r="G774" vm="6223">
        <f ca="1"/>
        <v>259.16000000000003</v>
      </c>
      <c r="H774" vm="6221">
        <f ca="1"/>
        <v>45286</v>
      </c>
      <c r="I774" vm="6224">
        <f ca="1"/>
        <v>139.81</v>
      </c>
      <c r="J774" vm="6221">
        <f ca="1"/>
        <v>45286</v>
      </c>
      <c r="K774" vm="6225">
        <f ca="1"/>
        <v>48.35</v>
      </c>
      <c r="L774" vm="6221">
        <f ca="1"/>
        <v>45286</v>
      </c>
      <c r="M774" vm="6226">
        <f ca="1"/>
        <v>189.88</v>
      </c>
      <c r="N774" vm="6221">
        <f ca="1"/>
        <v>45286</v>
      </c>
      <c r="O774" vm="6227">
        <f ca="1"/>
        <v>64.88</v>
      </c>
      <c r="P774" vm="6221">
        <f ca="1"/>
        <v>45286</v>
      </c>
      <c r="Q774" vm="6228">
        <f ca="1"/>
        <v>60.389000000000003</v>
      </c>
      <c r="R774" s="29">
        <f t="shared" ca="1" si="103"/>
        <v>2.1357253457216332E-4</v>
      </c>
      <c r="S774" s="30">
        <f t="shared" ca="1" si="104"/>
        <v>1.2084592145014848E-3</v>
      </c>
      <c r="T774" s="30">
        <f t="shared" ca="1" si="105"/>
        <v>2.8247494485934997E-3</v>
      </c>
      <c r="U774" s="30">
        <f t="shared" ca="1" si="106"/>
        <v>1.7195672422441004E-3</v>
      </c>
      <c r="V774" s="30">
        <f t="shared" ca="1" si="107"/>
        <v>7.9216176777152925E-3</v>
      </c>
      <c r="W774" s="30">
        <f t="shared" ref="W774:W837" ca="1" si="110">(M774-M773)/M773</f>
        <v>1.5296165409567596E-3</v>
      </c>
      <c r="X774" s="30">
        <f t="shared" ca="1" si="108"/>
        <v>-2.3479831426851328E-2</v>
      </c>
      <c r="Y774" s="31">
        <f t="shared" ca="1" si="109"/>
        <v>-2.4788450358503918E-2</v>
      </c>
    </row>
    <row r="775" spans="2:25" x14ac:dyDescent="0.45">
      <c r="B775" vm="6229">
        <f ca="1"/>
        <v>45287</v>
      </c>
      <c r="C775" vm="6230">
        <f ca="1"/>
        <v>374.07</v>
      </c>
      <c r="D775" vm="6229">
        <f ca="1"/>
        <v>45287</v>
      </c>
      <c r="E775" vm="6231">
        <f ca="1"/>
        <v>16.579999999999998</v>
      </c>
      <c r="F775" vm="6229">
        <f ca="1"/>
        <v>45287</v>
      </c>
      <c r="G775" vm="6232">
        <f ca="1"/>
        <v>258.93</v>
      </c>
      <c r="H775" vm="6229">
        <f ca="1"/>
        <v>45287</v>
      </c>
      <c r="I775" vm="6233">
        <f ca="1"/>
        <v>139.82</v>
      </c>
      <c r="J775" vm="6229">
        <f ca="1"/>
        <v>45287</v>
      </c>
      <c r="K775" vm="6234">
        <f ca="1"/>
        <v>48.61</v>
      </c>
      <c r="L775" vm="6229">
        <f ca="1"/>
        <v>45287</v>
      </c>
      <c r="M775" vm="6235">
        <f ca="1"/>
        <v>190.27</v>
      </c>
      <c r="N775" vm="6229">
        <f ca="1"/>
        <v>45287</v>
      </c>
      <c r="O775" vm="6236">
        <f ca="1"/>
        <v>62.08</v>
      </c>
      <c r="P775" vm="6229">
        <f ca="1"/>
        <v>45287</v>
      </c>
      <c r="Q775" vm="6237">
        <f ca="1"/>
        <v>67.070999999999998</v>
      </c>
      <c r="R775" s="29">
        <f t="shared" ca="1" si="103"/>
        <v>-1.5747611167459344E-3</v>
      </c>
      <c r="S775" s="30">
        <f t="shared" ca="1" si="104"/>
        <v>6.0350030175003076E-4</v>
      </c>
      <c r="T775" s="30">
        <f t="shared" ca="1" si="105"/>
        <v>-8.8748263620936165E-4</v>
      </c>
      <c r="U775" s="30">
        <f t="shared" ca="1" si="106"/>
        <v>7.1525641942571383E-5</v>
      </c>
      <c r="V775" s="30">
        <f t="shared" ca="1" si="107"/>
        <v>5.3774560496380143E-3</v>
      </c>
      <c r="W775" s="30">
        <f t="shared" ca="1" si="110"/>
        <v>2.0539287971351105E-3</v>
      </c>
      <c r="X775" s="30">
        <f t="shared" ca="1" si="108"/>
        <v>-4.3156596794081341E-2</v>
      </c>
      <c r="Y775" s="31">
        <f t="shared" ca="1" si="109"/>
        <v>0.11064929043368817</v>
      </c>
    </row>
    <row r="776" spans="2:25" x14ac:dyDescent="0.45">
      <c r="B776" vm="6238">
        <f ca="1"/>
        <v>45288</v>
      </c>
      <c r="C776" vm="6239">
        <f ca="1"/>
        <v>375.28</v>
      </c>
      <c r="D776" vm="6238">
        <f ca="1"/>
        <v>45288</v>
      </c>
      <c r="E776" vm="3764">
        <f ca="1"/>
        <v>16.739999999999998</v>
      </c>
      <c r="F776" vm="6238">
        <f ca="1"/>
        <v>45288</v>
      </c>
      <c r="G776" vm="3690">
        <f ca="1"/>
        <v>260.39999999999998</v>
      </c>
      <c r="H776" vm="6238">
        <f ca="1"/>
        <v>45288</v>
      </c>
      <c r="I776" vm="6240">
        <f ca="1"/>
        <v>139.77000000000001</v>
      </c>
      <c r="J776" vm="6238">
        <f ca="1"/>
        <v>45288</v>
      </c>
      <c r="K776" vm="6241">
        <f ca="1"/>
        <v>48.66</v>
      </c>
      <c r="L776" vm="6238">
        <f ca="1"/>
        <v>45288</v>
      </c>
      <c r="M776" vm="6242">
        <f ca="1"/>
        <v>188.75</v>
      </c>
      <c r="N776" vm="6238">
        <f ca="1"/>
        <v>45288</v>
      </c>
      <c r="O776" vm="6243">
        <f ca="1"/>
        <v>61.92</v>
      </c>
      <c r="P776" vm="6238">
        <f ca="1"/>
        <v>45288</v>
      </c>
      <c r="Q776" vm="6244">
        <f ca="1"/>
        <v>66.787999999999997</v>
      </c>
      <c r="R776" s="29">
        <f t="shared" ca="1" si="103"/>
        <v>3.2346886946292928E-3</v>
      </c>
      <c r="S776" s="30">
        <f t="shared" ca="1" si="104"/>
        <v>9.6501809408926515E-3</v>
      </c>
      <c r="T776" s="30">
        <f t="shared" ca="1" si="105"/>
        <v>5.6772100567719867E-3</v>
      </c>
      <c r="U776" s="30">
        <f t="shared" ca="1" si="106"/>
        <v>-3.5760263195524925E-4</v>
      </c>
      <c r="V776" s="30">
        <f t="shared" ca="1" si="107"/>
        <v>1.02859493931284E-3</v>
      </c>
      <c r="W776" s="30">
        <f t="shared" ca="1" si="110"/>
        <v>-7.9886477111473699E-3</v>
      </c>
      <c r="X776" s="30">
        <f t="shared" ca="1" si="108"/>
        <v>-2.5773195876288113E-3</v>
      </c>
      <c r="Y776" s="31">
        <f t="shared" ca="1" si="109"/>
        <v>-4.2194092827004407E-3</v>
      </c>
    </row>
    <row r="777" spans="2:25" x14ac:dyDescent="0.45">
      <c r="B777" vm="6245">
        <f ca="1"/>
        <v>45289</v>
      </c>
      <c r="C777" vm="6246">
        <f ca="1"/>
        <v>376.04</v>
      </c>
      <c r="D777" vm="6245">
        <f ca="1"/>
        <v>45289</v>
      </c>
      <c r="E777" vm="6247">
        <f ca="1"/>
        <v>16.78</v>
      </c>
      <c r="F777" vm="6245">
        <f ca="1"/>
        <v>45289</v>
      </c>
      <c r="G777" vm="6248">
        <f ca="1"/>
        <v>260.35000000000002</v>
      </c>
      <c r="H777" vm="6245">
        <f ca="1"/>
        <v>45289</v>
      </c>
      <c r="I777" vm="6249">
        <f ca="1"/>
        <v>139.03</v>
      </c>
      <c r="J777" vm="6245">
        <f ca="1"/>
        <v>45289</v>
      </c>
      <c r="K777" vm="6250">
        <f ca="1"/>
        <v>48.65</v>
      </c>
      <c r="L777" vm="6245">
        <f ca="1"/>
        <v>45289</v>
      </c>
      <c r="M777" vm="6251">
        <f ca="1"/>
        <v>187.91</v>
      </c>
      <c r="N777" vm="6245">
        <f ca="1"/>
        <v>45289</v>
      </c>
      <c r="O777" vm="6236">
        <f ca="1"/>
        <v>62.08</v>
      </c>
      <c r="P777" vm="6245">
        <f ca="1"/>
        <v>45289</v>
      </c>
      <c r="Q777" vm="6252">
        <f ca="1"/>
        <v>63.161999999999999</v>
      </c>
      <c r="R777" s="29">
        <f t="shared" ca="1" si="103"/>
        <v>2.0251545512685138E-3</v>
      </c>
      <c r="S777" s="30">
        <f t="shared" ca="1" si="104"/>
        <v>2.389486260454164E-3</v>
      </c>
      <c r="T777" s="30">
        <f t="shared" ca="1" si="105"/>
        <v>-1.9201228878630772E-4</v>
      </c>
      <c r="U777" s="30">
        <f t="shared" ca="1" si="106"/>
        <v>-5.2944122486943482E-3</v>
      </c>
      <c r="V777" s="30">
        <f t="shared" ca="1" si="107"/>
        <v>-2.0550760378129903E-4</v>
      </c>
      <c r="W777" s="30">
        <f t="shared" ca="1" si="110"/>
        <v>-4.4503311258278326E-3</v>
      </c>
      <c r="X777" s="30">
        <f t="shared" ca="1" si="108"/>
        <v>2.5839793281653197E-3</v>
      </c>
      <c r="Y777" s="31">
        <f t="shared" ca="1" si="109"/>
        <v>-5.4291190034137835E-2</v>
      </c>
    </row>
    <row r="778" spans="2:25" x14ac:dyDescent="0.45">
      <c r="B778" vm="6253">
        <f ca="1"/>
        <v>45293</v>
      </c>
      <c r="C778" vm="6254">
        <f ca="1"/>
        <v>370.87</v>
      </c>
      <c r="D778" vm="6253">
        <f ca="1"/>
        <v>45293</v>
      </c>
      <c r="E778" vm="6255">
        <f ca="1"/>
        <v>17.25</v>
      </c>
      <c r="F778" vm="6253">
        <f ca="1"/>
        <v>45293</v>
      </c>
      <c r="G778" vm="6256">
        <f ca="1"/>
        <v>258.87</v>
      </c>
      <c r="H778" vm="6253">
        <f ca="1"/>
        <v>45293</v>
      </c>
      <c r="I778" vm="1113">
        <f ca="1"/>
        <v>138.75</v>
      </c>
      <c r="J778" vm="6253">
        <f ca="1"/>
        <v>45293</v>
      </c>
      <c r="K778" vm="6257">
        <f ca="1"/>
        <v>47.96</v>
      </c>
      <c r="L778" vm="6253">
        <f ca="1"/>
        <v>45293</v>
      </c>
      <c r="M778" vm="6258">
        <f ca="1"/>
        <v>188.8</v>
      </c>
      <c r="N778" vm="6253">
        <f ca="1"/>
        <v>45293</v>
      </c>
      <c r="O778" vm="6236">
        <f ca="1"/>
        <v>62.08</v>
      </c>
      <c r="P778" vm="6253">
        <f ca="1"/>
        <v>45293</v>
      </c>
      <c r="Q778" vm="6259">
        <f ca="1"/>
        <v>68.515000000000001</v>
      </c>
      <c r="R778" s="29">
        <f t="shared" ca="1" si="103"/>
        <v>-1.3748537389639442E-2</v>
      </c>
      <c r="S778" s="30">
        <f t="shared" ca="1" si="104"/>
        <v>2.800953516090577E-2</v>
      </c>
      <c r="T778" s="30">
        <f t="shared" ca="1" si="105"/>
        <v>-5.6846552717496369E-3</v>
      </c>
      <c r="U778" s="30">
        <f t="shared" ca="1" si="106"/>
        <v>-2.0139538229159257E-3</v>
      </c>
      <c r="V778" s="30">
        <f t="shared" ca="1" si="107"/>
        <v>-1.4182939362795431E-2</v>
      </c>
      <c r="W778" s="30">
        <f t="shared" ca="1" si="110"/>
        <v>4.7363099356075508E-3</v>
      </c>
      <c r="X778" s="30">
        <f t="shared" ca="1" si="108"/>
        <v>0</v>
      </c>
      <c r="Y778" s="31">
        <f t="shared" ca="1" si="109"/>
        <v>8.4750324562236815E-2</v>
      </c>
    </row>
    <row r="779" spans="2:25" x14ac:dyDescent="0.45">
      <c r="B779" vm="6260">
        <f ca="1"/>
        <v>45294</v>
      </c>
      <c r="C779" vm="6261">
        <f ca="1"/>
        <v>370.6</v>
      </c>
      <c r="D779" vm="6260">
        <f ca="1"/>
        <v>45294</v>
      </c>
      <c r="E779" vm="6262">
        <f ca="1"/>
        <v>17.23</v>
      </c>
      <c r="F779" vm="6260">
        <f ca="1"/>
        <v>45294</v>
      </c>
      <c r="G779" vm="6263">
        <f ca="1"/>
        <v>257.98</v>
      </c>
      <c r="H779" vm="6260">
        <f ca="1"/>
        <v>45294</v>
      </c>
      <c r="I779" vm="6264">
        <f ca="1"/>
        <v>131.16</v>
      </c>
      <c r="J779" vm="6260">
        <f ca="1"/>
        <v>45294</v>
      </c>
      <c r="K779" vm="6265">
        <f ca="1"/>
        <v>47.85</v>
      </c>
      <c r="L779" vm="6260">
        <f ca="1"/>
        <v>45294</v>
      </c>
      <c r="M779" vm="6266">
        <f ca="1"/>
        <v>187.94</v>
      </c>
      <c r="N779" vm="6260">
        <f ca="1"/>
        <v>45294</v>
      </c>
      <c r="O779" vm="6267">
        <f ca="1"/>
        <v>64.400000000000006</v>
      </c>
      <c r="P779" vm="6260">
        <f ca="1"/>
        <v>45294</v>
      </c>
      <c r="Q779" vm="6268">
        <f ca="1"/>
        <v>63.106000000000002</v>
      </c>
      <c r="R779" s="29">
        <f t="shared" ca="1" si="103"/>
        <v>-7.2801790384766042E-4</v>
      </c>
      <c r="S779" s="30">
        <f t="shared" ca="1" si="104"/>
        <v>-1.1594202898550477E-3</v>
      </c>
      <c r="T779" s="30">
        <f t="shared" ca="1" si="105"/>
        <v>-3.4380190829373289E-3</v>
      </c>
      <c r="U779" s="30">
        <f t="shared" ca="1" si="106"/>
        <v>-5.4702702702702728E-2</v>
      </c>
      <c r="V779" s="30">
        <f t="shared" ca="1" si="107"/>
        <v>-2.2935779816513641E-3</v>
      </c>
      <c r="W779" s="30">
        <f t="shared" ca="1" si="110"/>
        <v>-4.555084745762784E-3</v>
      </c>
      <c r="X779" s="30">
        <f t="shared" ca="1" si="108"/>
        <v>3.7371134020618674E-2</v>
      </c>
      <c r="Y779" s="31">
        <f t="shared" ca="1" si="109"/>
        <v>-7.894621615704589E-2</v>
      </c>
    </row>
    <row r="780" spans="2:25" x14ac:dyDescent="0.45">
      <c r="B780" vm="6269">
        <f ca="1"/>
        <v>45295</v>
      </c>
      <c r="C780" vm="6270">
        <f ca="1"/>
        <v>367.94</v>
      </c>
      <c r="D780" vm="6269">
        <f ca="1"/>
        <v>45295</v>
      </c>
      <c r="E780" vm="6271">
        <f ca="1"/>
        <v>17.149999999999999</v>
      </c>
      <c r="F780" vm="6269">
        <f ca="1"/>
        <v>45295</v>
      </c>
      <c r="G780" vm="6272">
        <f ca="1"/>
        <v>259.61</v>
      </c>
      <c r="H780" vm="6269">
        <f ca="1"/>
        <v>45295</v>
      </c>
      <c r="I780" vm="6273">
        <f ca="1"/>
        <v>131</v>
      </c>
      <c r="J780" vm="6269">
        <f ca="1"/>
        <v>45295</v>
      </c>
      <c r="K780" vm="6274">
        <f ca="1"/>
        <v>47.9</v>
      </c>
      <c r="L780" vm="6269">
        <f ca="1"/>
        <v>45295</v>
      </c>
      <c r="M780" vm="6275">
        <f ca="1"/>
        <v>192.58</v>
      </c>
      <c r="N780" vm="6269">
        <f ca="1"/>
        <v>45295</v>
      </c>
      <c r="O780" vm="6276">
        <f ca="1"/>
        <v>64.319999999999993</v>
      </c>
      <c r="P780" vm="6269">
        <f ca="1"/>
        <v>45295</v>
      </c>
      <c r="Q780" vm="6277">
        <f ca="1"/>
        <v>65.581000000000003</v>
      </c>
      <c r="R780" s="29">
        <f t="shared" ca="1" si="103"/>
        <v>-7.1775499190502561E-3</v>
      </c>
      <c r="S780" s="30">
        <f t="shared" ca="1" si="104"/>
        <v>-4.6430644225189692E-3</v>
      </c>
      <c r="T780" s="30">
        <f t="shared" ca="1" si="105"/>
        <v>6.3183192495542108E-3</v>
      </c>
      <c r="U780" s="30">
        <f t="shared" ca="1" si="106"/>
        <v>-1.2198841110094281E-3</v>
      </c>
      <c r="V780" s="30">
        <f t="shared" ca="1" si="107"/>
        <v>1.0449320794147785E-3</v>
      </c>
      <c r="W780" s="30">
        <f t="shared" ca="1" si="110"/>
        <v>2.4688730445887066E-2</v>
      </c>
      <c r="X780" s="30">
        <f t="shared" ca="1" si="108"/>
        <v>-1.2422360248449146E-3</v>
      </c>
      <c r="Y780" s="31">
        <f t="shared" ca="1" si="109"/>
        <v>3.9219725541153001E-2</v>
      </c>
    </row>
    <row r="781" spans="2:25" x14ac:dyDescent="0.45">
      <c r="B781" vm="6278">
        <f ca="1"/>
        <v>45296</v>
      </c>
      <c r="C781" vm="6279">
        <f ca="1"/>
        <v>367.75</v>
      </c>
      <c r="D781" vm="6278">
        <f ca="1"/>
        <v>45296</v>
      </c>
      <c r="E781" vm="6280">
        <f ca="1"/>
        <v>17.47</v>
      </c>
      <c r="F781" vm="6278">
        <f ca="1"/>
        <v>45296</v>
      </c>
      <c r="G781" vm="6281">
        <f ca="1"/>
        <v>259.69</v>
      </c>
      <c r="H781" vm="6278">
        <f ca="1"/>
        <v>45296</v>
      </c>
      <c r="I781" vm="3933">
        <f ca="1"/>
        <v>130.56</v>
      </c>
      <c r="J781" vm="6278">
        <f ca="1"/>
        <v>45296</v>
      </c>
      <c r="K781" vm="6225">
        <f ca="1"/>
        <v>48.35</v>
      </c>
      <c r="L781" vm="6278">
        <f ca="1"/>
        <v>45296</v>
      </c>
      <c r="M781" vm="3251">
        <f ca="1"/>
        <v>193.52</v>
      </c>
      <c r="N781" vm="6278">
        <f ca="1"/>
        <v>45296</v>
      </c>
      <c r="O781" vm="6282">
        <f ca="1"/>
        <v>62.2</v>
      </c>
      <c r="P781" vm="6278">
        <f ca="1"/>
        <v>45296</v>
      </c>
      <c r="Q781" vm="6283">
        <f ca="1"/>
        <v>63.107999999999997</v>
      </c>
      <c r="R781" s="29">
        <f t="shared" ca="1" si="103"/>
        <v>-5.1638854161003894E-4</v>
      </c>
      <c r="S781" s="30">
        <f t="shared" ca="1" si="104"/>
        <v>1.86588921282799E-2</v>
      </c>
      <c r="T781" s="30">
        <f t="shared" ca="1" si="105"/>
        <v>3.081545395014987E-4</v>
      </c>
      <c r="U781" s="30">
        <f t="shared" ca="1" si="106"/>
        <v>-3.358778625954181E-3</v>
      </c>
      <c r="V781" s="30">
        <f t="shared" ca="1" si="107"/>
        <v>9.3945720250522523E-3</v>
      </c>
      <c r="W781" s="30">
        <f t="shared" ca="1" si="110"/>
        <v>4.8810883788555281E-3</v>
      </c>
      <c r="X781" s="30">
        <f t="shared" ca="1" si="108"/>
        <v>-3.2960199004974974E-2</v>
      </c>
      <c r="Y781" s="31">
        <f t="shared" ca="1" si="109"/>
        <v>-3.770909257254397E-2</v>
      </c>
    </row>
    <row r="782" spans="2:25" x14ac:dyDescent="0.45">
      <c r="B782" vm="6284">
        <f ca="1"/>
        <v>45299</v>
      </c>
      <c r="C782" vm="6285">
        <f ca="1"/>
        <v>374.69</v>
      </c>
      <c r="D782" vm="6284">
        <f ca="1"/>
        <v>45299</v>
      </c>
      <c r="E782" vm="6286">
        <f ca="1"/>
        <v>17.32</v>
      </c>
      <c r="F782" vm="6284">
        <f ca="1"/>
        <v>45299</v>
      </c>
      <c r="G782" vm="6287">
        <f ca="1"/>
        <v>262.54000000000002</v>
      </c>
      <c r="H782" vm="6284">
        <f ca="1"/>
        <v>45299</v>
      </c>
      <c r="I782" vm="6288">
        <f ca="1"/>
        <v>133.38</v>
      </c>
      <c r="J782" vm="6284">
        <f ca="1"/>
        <v>45299</v>
      </c>
      <c r="K782" vm="6289">
        <f ca="1"/>
        <v>48.49</v>
      </c>
      <c r="L782" vm="6284">
        <f ca="1"/>
        <v>45299</v>
      </c>
      <c r="M782" vm="6290">
        <f ca="1"/>
        <v>197.25</v>
      </c>
      <c r="N782" vm="6284">
        <f ca="1"/>
        <v>45299</v>
      </c>
      <c r="O782" vm="6291">
        <f ca="1"/>
        <v>60.76</v>
      </c>
      <c r="P782" vm="6284">
        <f ca="1"/>
        <v>45299</v>
      </c>
      <c r="Q782" vm="6292">
        <f ca="1"/>
        <v>59.801000000000002</v>
      </c>
      <c r="R782" s="29">
        <f t="shared" ca="1" si="103"/>
        <v>1.8871515975526845E-2</v>
      </c>
      <c r="S782" s="30">
        <f t="shared" ca="1" si="104"/>
        <v>-8.5861476817400452E-3</v>
      </c>
      <c r="T782" s="30">
        <f t="shared" ca="1" si="105"/>
        <v>1.0974623589664688E-2</v>
      </c>
      <c r="U782" s="30">
        <f t="shared" ca="1" si="106"/>
        <v>2.15992647058823E-2</v>
      </c>
      <c r="V782" s="30">
        <f t="shared" ca="1" si="107"/>
        <v>2.8955532574974265E-3</v>
      </c>
      <c r="W782" s="30">
        <f t="shared" ca="1" si="110"/>
        <v>1.9274493592393496E-2</v>
      </c>
      <c r="X782" s="30">
        <f t="shared" ca="1" si="108"/>
        <v>-2.3151125401929339E-2</v>
      </c>
      <c r="Y782" s="31">
        <f t="shared" ca="1" si="109"/>
        <v>-5.2402231095899018E-2</v>
      </c>
    </row>
    <row r="783" spans="2:25" x14ac:dyDescent="0.45">
      <c r="B783" vm="6293">
        <f ca="1"/>
        <v>45300</v>
      </c>
      <c r="C783" vm="6294">
        <f ca="1"/>
        <v>375.79</v>
      </c>
      <c r="D783" vm="6293">
        <f ca="1"/>
        <v>45300</v>
      </c>
      <c r="E783" vm="5016">
        <f ca="1"/>
        <v>16.95</v>
      </c>
      <c r="F783" vm="6293">
        <f ca="1"/>
        <v>45300</v>
      </c>
      <c r="G783" vm="6295">
        <f ca="1"/>
        <v>263.33</v>
      </c>
      <c r="H783" vm="6293">
        <f ca="1"/>
        <v>45300</v>
      </c>
      <c r="I783" vm="6296">
        <f ca="1"/>
        <v>130.68</v>
      </c>
      <c r="J783" vm="6293">
        <f ca="1"/>
        <v>45300</v>
      </c>
      <c r="K783" vm="6297">
        <f ca="1"/>
        <v>48.4</v>
      </c>
      <c r="L783" vm="6293">
        <f ca="1"/>
        <v>45300</v>
      </c>
      <c r="M783" vm="6298">
        <f ca="1"/>
        <v>193.02</v>
      </c>
      <c r="N783" vm="6293">
        <f ca="1"/>
        <v>45300</v>
      </c>
      <c r="O783" vm="6299">
        <f ca="1"/>
        <v>59.36</v>
      </c>
      <c r="P783" vm="6293">
        <f ca="1"/>
        <v>45300</v>
      </c>
      <c r="Q783" vm="6300">
        <f ca="1"/>
        <v>57.728999999999999</v>
      </c>
      <c r="R783" s="29">
        <f t="shared" ca="1" si="103"/>
        <v>2.9357602284555838E-3</v>
      </c>
      <c r="S783" s="30">
        <f t="shared" ca="1" si="104"/>
        <v>-2.1362586605080888E-2</v>
      </c>
      <c r="T783" s="30">
        <f t="shared" ca="1" si="105"/>
        <v>3.009065285289722E-3</v>
      </c>
      <c r="U783" s="30">
        <f t="shared" ca="1" si="106"/>
        <v>-2.0242914979757002E-2</v>
      </c>
      <c r="V783" s="30">
        <f t="shared" ca="1" si="107"/>
        <v>-1.8560527943906663E-3</v>
      </c>
      <c r="W783" s="30">
        <f t="shared" ca="1" si="110"/>
        <v>-2.1444866920152038E-2</v>
      </c>
      <c r="X783" s="30">
        <f t="shared" ca="1" si="108"/>
        <v>-2.3041474654377857E-2</v>
      </c>
      <c r="Y783" s="31">
        <f t="shared" ca="1" si="109"/>
        <v>-3.464825002926377E-2</v>
      </c>
    </row>
    <row r="784" spans="2:25" x14ac:dyDescent="0.45">
      <c r="B784" vm="6301">
        <f ca="1"/>
        <v>45301</v>
      </c>
      <c r="C784" vm="6302">
        <f ca="1"/>
        <v>382.77</v>
      </c>
      <c r="D784" vm="6301">
        <f ca="1"/>
        <v>45301</v>
      </c>
      <c r="E784" vm="124">
        <f ca="1"/>
        <v>16.87</v>
      </c>
      <c r="F784" vm="6301">
        <f ca="1"/>
        <v>45301</v>
      </c>
      <c r="G784" vm="6303">
        <f ca="1"/>
        <v>264.56</v>
      </c>
      <c r="H784" vm="6301">
        <f ca="1"/>
        <v>45301</v>
      </c>
      <c r="I784" vm="6304">
        <f ca="1"/>
        <v>131.09</v>
      </c>
      <c r="J784" vm="6301">
        <f ca="1"/>
        <v>45301</v>
      </c>
      <c r="K784" vm="6305">
        <f ca="1"/>
        <v>48.28</v>
      </c>
      <c r="L784" vm="6301">
        <f ca="1"/>
        <v>45301</v>
      </c>
      <c r="M784" vm="6306">
        <f ca="1"/>
        <v>196.79</v>
      </c>
      <c r="N784" vm="6301">
        <f ca="1"/>
        <v>45301</v>
      </c>
      <c r="O784" vm="6307">
        <f ca="1"/>
        <v>58.72</v>
      </c>
      <c r="P784" vm="6301">
        <f ca="1"/>
        <v>45301</v>
      </c>
      <c r="Q784" vm="6308">
        <f ca="1"/>
        <v>56.567</v>
      </c>
      <c r="R784" s="29">
        <f t="shared" ca="1" si="103"/>
        <v>1.8574203677585784E-2</v>
      </c>
      <c r="S784" s="30">
        <f t="shared" ca="1" si="104"/>
        <v>-4.7197640117993094E-3</v>
      </c>
      <c r="T784" s="30">
        <f t="shared" ca="1" si="105"/>
        <v>4.6709452018380672E-3</v>
      </c>
      <c r="U784" s="30">
        <f t="shared" ca="1" si="106"/>
        <v>3.1374349556167473E-3</v>
      </c>
      <c r="V784" s="30">
        <f t="shared" ca="1" si="107"/>
        <v>-2.4793388429751539E-3</v>
      </c>
      <c r="W784" s="30">
        <f t="shared" ca="1" si="110"/>
        <v>1.9531654750802929E-2</v>
      </c>
      <c r="X784" s="30">
        <f t="shared" ca="1" si="108"/>
        <v>-1.0781671159029659E-2</v>
      </c>
      <c r="Y784" s="31">
        <f t="shared" ca="1" si="109"/>
        <v>-2.0128531587243828E-2</v>
      </c>
    </row>
    <row r="785" spans="2:25" x14ac:dyDescent="0.45">
      <c r="B785" vm="6309">
        <f ca="1"/>
        <v>45302</v>
      </c>
      <c r="C785" vm="6310">
        <f ca="1"/>
        <v>384.63</v>
      </c>
      <c r="D785" vm="6309">
        <f ca="1"/>
        <v>45302</v>
      </c>
      <c r="E785" vm="6311">
        <f ca="1"/>
        <v>16.23</v>
      </c>
      <c r="F785" vm="6309">
        <f ca="1"/>
        <v>45302</v>
      </c>
      <c r="G785" vm="6312">
        <f ca="1"/>
        <v>264.02999999999997</v>
      </c>
      <c r="H785" vm="6309">
        <f ca="1"/>
        <v>45302</v>
      </c>
      <c r="I785" vm="6313">
        <f ca="1"/>
        <v>129.68</v>
      </c>
      <c r="J785" vm="6309">
        <f ca="1"/>
        <v>45302</v>
      </c>
      <c r="K785" vm="6314">
        <f ca="1"/>
        <v>47.73</v>
      </c>
      <c r="L785" vm="6309">
        <f ca="1"/>
        <v>45302</v>
      </c>
      <c r="M785" vm="6315">
        <f ca="1"/>
        <v>200.82</v>
      </c>
      <c r="N785" vm="6309">
        <f ca="1"/>
        <v>45302</v>
      </c>
      <c r="O785" vm="6316">
        <f ca="1"/>
        <v>58.4</v>
      </c>
      <c r="P785" vm="6309">
        <f ca="1"/>
        <v>45302</v>
      </c>
      <c r="Q785" vm="6317">
        <f ca="1"/>
        <v>53.618000000000002</v>
      </c>
      <c r="R785" s="29">
        <f t="shared" ca="1" si="103"/>
        <v>4.8593149933380715E-3</v>
      </c>
      <c r="S785" s="30">
        <f t="shared" ca="1" si="104"/>
        <v>-3.7937166567871994E-2</v>
      </c>
      <c r="T785" s="30">
        <f t="shared" ca="1" si="105"/>
        <v>-2.0033262775930962E-3</v>
      </c>
      <c r="U785" s="30">
        <f t="shared" ca="1" si="106"/>
        <v>-1.0755969181478347E-2</v>
      </c>
      <c r="V785" s="30">
        <f t="shared" ca="1" si="107"/>
        <v>-1.1391880695940436E-2</v>
      </c>
      <c r="W785" s="30">
        <f t="shared" ca="1" si="110"/>
        <v>2.0478682859901426E-2</v>
      </c>
      <c r="X785" s="30">
        <f t="shared" ca="1" si="108"/>
        <v>-5.449591280653956E-3</v>
      </c>
      <c r="Y785" s="31">
        <f t="shared" ca="1" si="109"/>
        <v>-5.213286898721866E-2</v>
      </c>
    </row>
    <row r="786" spans="2:25" x14ac:dyDescent="0.45">
      <c r="B786" vm="6318">
        <f ca="1"/>
        <v>45303</v>
      </c>
      <c r="C786" vm="6319">
        <f ca="1"/>
        <v>388.47</v>
      </c>
      <c r="D786" vm="6318">
        <f ca="1"/>
        <v>45303</v>
      </c>
      <c r="E786" vm="6320">
        <f ca="1"/>
        <v>16.48</v>
      </c>
      <c r="F786" vm="6318">
        <f ca="1"/>
        <v>45303</v>
      </c>
      <c r="G786" vm="6321">
        <f ca="1"/>
        <v>264.17</v>
      </c>
      <c r="H786" vm="6318">
        <f ca="1"/>
        <v>45303</v>
      </c>
      <c r="I786" vm="6322">
        <f ca="1"/>
        <v>130.54</v>
      </c>
      <c r="J786" vm="6318">
        <f ca="1"/>
        <v>45303</v>
      </c>
      <c r="K786" vm="6323">
        <f ca="1"/>
        <v>47.4</v>
      </c>
      <c r="L786" vm="6318">
        <f ca="1"/>
        <v>45303</v>
      </c>
      <c r="M786" vm="6324">
        <f ca="1"/>
        <v>203.03</v>
      </c>
      <c r="N786" vm="6318">
        <f ca="1"/>
        <v>45303</v>
      </c>
      <c r="O786" vm="6299">
        <f ca="1"/>
        <v>59.36</v>
      </c>
      <c r="P786" vm="6318">
        <f ca="1"/>
        <v>45303</v>
      </c>
      <c r="Q786" vm="6325">
        <f ca="1"/>
        <v>48.552999999999997</v>
      </c>
      <c r="R786" s="29">
        <f t="shared" ca="1" si="103"/>
        <v>9.9836206224164312E-3</v>
      </c>
      <c r="S786" s="30">
        <f t="shared" ca="1" si="104"/>
        <v>1.5403573629081947E-2</v>
      </c>
      <c r="T786" s="30">
        <f t="shared" ca="1" si="105"/>
        <v>5.3024277544234824E-4</v>
      </c>
      <c r="U786" s="30">
        <f t="shared" ca="1" si="106"/>
        <v>6.6317088217148767E-3</v>
      </c>
      <c r="V786" s="30">
        <f t="shared" ca="1" si="107"/>
        <v>-6.913890634820832E-3</v>
      </c>
      <c r="W786" s="30">
        <f t="shared" ca="1" si="110"/>
        <v>1.1004879992032706E-2</v>
      </c>
      <c r="X786" s="30">
        <f t="shared" ca="1" si="108"/>
        <v>1.6438356164383577E-2</v>
      </c>
      <c r="Y786" s="31">
        <f t="shared" ca="1" si="109"/>
        <v>-9.4464545488455454E-2</v>
      </c>
    </row>
    <row r="787" spans="2:25" x14ac:dyDescent="0.45">
      <c r="B787" vm="6326">
        <f ca="1"/>
        <v>45307</v>
      </c>
      <c r="C787" vm="6327">
        <f ca="1"/>
        <v>390.27</v>
      </c>
      <c r="D787" vm="6326">
        <f ca="1"/>
        <v>45307</v>
      </c>
      <c r="E787" vm="177">
        <f ca="1"/>
        <v>16.440000000000001</v>
      </c>
      <c r="F787" vm="6326">
        <f ca="1"/>
        <v>45307</v>
      </c>
      <c r="G787" vm="6328">
        <f ca="1"/>
        <v>265.24</v>
      </c>
      <c r="H787" vm="6326">
        <f ca="1"/>
        <v>45307</v>
      </c>
      <c r="I787" vm="6329">
        <f ca="1"/>
        <v>130.53</v>
      </c>
      <c r="J787" vm="6326">
        <f ca="1"/>
        <v>45307</v>
      </c>
      <c r="K787" vm="6330">
        <f ca="1"/>
        <v>47.23</v>
      </c>
      <c r="L787" vm="6326">
        <f ca="1"/>
        <v>45307</v>
      </c>
      <c r="M787" vm="6331">
        <f ca="1"/>
        <v>203.35</v>
      </c>
      <c r="N787" vm="6326">
        <f ca="1"/>
        <v>45307</v>
      </c>
      <c r="O787" vm="6332">
        <f ca="1"/>
        <v>61.44</v>
      </c>
      <c r="P787" vm="6326">
        <f ca="1"/>
        <v>45307</v>
      </c>
      <c r="Q787" vm="6333">
        <f ca="1"/>
        <v>48.213999999999999</v>
      </c>
      <c r="R787" s="29">
        <f t="shared" ca="1" si="103"/>
        <v>4.6335624372537245E-3</v>
      </c>
      <c r="S787" s="30">
        <f t="shared" ca="1" si="104"/>
        <v>-2.4271844660193657E-3</v>
      </c>
      <c r="T787" s="30">
        <f t="shared" ca="1" si="105"/>
        <v>4.0504220766930128E-3</v>
      </c>
      <c r="U787" s="30">
        <f t="shared" ca="1" si="106"/>
        <v>-7.6604872069793983E-5</v>
      </c>
      <c r="V787" s="30">
        <f t="shared" ca="1" si="107"/>
        <v>-3.5864978902953948E-3</v>
      </c>
      <c r="W787" s="30">
        <f t="shared" ca="1" si="110"/>
        <v>1.5761217554055714E-3</v>
      </c>
      <c r="X787" s="30">
        <f t="shared" ca="1" si="108"/>
        <v>3.5040431266846334E-2</v>
      </c>
      <c r="Y787" s="31">
        <f t="shared" ca="1" si="109"/>
        <v>-6.9820608407307203E-3</v>
      </c>
    </row>
    <row r="788" spans="2:25" x14ac:dyDescent="0.45">
      <c r="B788" vm="6334">
        <f ca="1"/>
        <v>45308</v>
      </c>
      <c r="C788" vm="6335">
        <f ca="1"/>
        <v>389.47</v>
      </c>
      <c r="D788" vm="6334">
        <f ca="1"/>
        <v>45308</v>
      </c>
      <c r="E788" vm="426">
        <f ca="1"/>
        <v>16.41</v>
      </c>
      <c r="F788" vm="6334">
        <f ca="1"/>
        <v>45308</v>
      </c>
      <c r="G788" vm="6336">
        <f ca="1"/>
        <v>266.63</v>
      </c>
      <c r="H788" vm="6334">
        <f ca="1"/>
        <v>45308</v>
      </c>
      <c r="I788" vm="4772">
        <f ca="1"/>
        <v>128.12</v>
      </c>
      <c r="J788" vm="6334">
        <f ca="1"/>
        <v>45308</v>
      </c>
      <c r="K788" vm="6337">
        <f ca="1"/>
        <v>47.22</v>
      </c>
      <c r="L788" vm="6334">
        <f ca="1"/>
        <v>45308</v>
      </c>
      <c r="M788" vm="6338">
        <f ca="1"/>
        <v>198.68</v>
      </c>
      <c r="N788" vm="6334">
        <f ca="1"/>
        <v>45308</v>
      </c>
      <c r="O788" vm="6339">
        <f ca="1"/>
        <v>63.76</v>
      </c>
      <c r="P788" vm="6334">
        <f ca="1"/>
        <v>45308</v>
      </c>
      <c r="Q788" vm="6340">
        <f ca="1"/>
        <v>49.9</v>
      </c>
      <c r="R788" s="29">
        <f t="shared" ca="1" si="103"/>
        <v>-2.049862915417415E-3</v>
      </c>
      <c r="S788" s="30">
        <f t="shared" ca="1" si="104"/>
        <v>-1.8248175182482443E-3</v>
      </c>
      <c r="T788" s="30">
        <f t="shared" ca="1" si="105"/>
        <v>5.2405368722665746E-3</v>
      </c>
      <c r="U788" s="30">
        <f t="shared" ca="1" si="106"/>
        <v>-1.8463188539033146E-2</v>
      </c>
      <c r="V788" s="30">
        <f t="shared" ca="1" si="107"/>
        <v>-2.1172983273339002E-4</v>
      </c>
      <c r="W788" s="30">
        <f t="shared" ca="1" si="110"/>
        <v>-2.2965330710597431E-2</v>
      </c>
      <c r="X788" s="30">
        <f t="shared" ca="1" si="108"/>
        <v>3.7760416666666671E-2</v>
      </c>
      <c r="Y788" s="31">
        <f t="shared" ca="1" si="109"/>
        <v>3.4969096113162151E-2</v>
      </c>
    </row>
    <row r="789" spans="2:25" x14ac:dyDescent="0.45">
      <c r="B789" vm="6341">
        <f ca="1"/>
        <v>45309</v>
      </c>
      <c r="C789" vm="6342">
        <f ca="1"/>
        <v>393.87</v>
      </c>
      <c r="D789" vm="6341">
        <f ca="1"/>
        <v>45309</v>
      </c>
      <c r="E789" vm="6198">
        <f ca="1"/>
        <v>16.399999999999999</v>
      </c>
      <c r="F789" vm="6341">
        <f ca="1"/>
        <v>45309</v>
      </c>
      <c r="G789" vm="6343">
        <f ca="1"/>
        <v>268.14</v>
      </c>
      <c r="H789" vm="6341">
        <f ca="1"/>
        <v>45309</v>
      </c>
      <c r="I789" vm="6344">
        <f ca="1"/>
        <v>130.46</v>
      </c>
      <c r="J789" vm="6341">
        <f ca="1"/>
        <v>45309</v>
      </c>
      <c r="K789" vm="5969">
        <f ca="1"/>
        <v>47.45</v>
      </c>
      <c r="L789" vm="6341">
        <f ca="1"/>
        <v>45309</v>
      </c>
      <c r="M789" vm="3403">
        <f ca="1"/>
        <v>204.82</v>
      </c>
      <c r="N789" vm="6341">
        <f ca="1"/>
        <v>45309</v>
      </c>
      <c r="O789" vm="6345">
        <f ca="1"/>
        <v>61.56</v>
      </c>
      <c r="P789" vm="6341">
        <f ca="1"/>
        <v>45309</v>
      </c>
      <c r="Q789" vm="6241">
        <f ca="1"/>
        <v>48.66</v>
      </c>
      <c r="R789" s="29">
        <f t="shared" ca="1" si="103"/>
        <v>1.129740416463393E-2</v>
      </c>
      <c r="S789" s="30">
        <f t="shared" ca="1" si="104"/>
        <v>-6.0938452163324575E-4</v>
      </c>
      <c r="T789" s="30">
        <f t="shared" ca="1" si="105"/>
        <v>5.6632787008213288E-3</v>
      </c>
      <c r="U789" s="30">
        <f t="shared" ca="1" si="106"/>
        <v>1.8264127380580732E-2</v>
      </c>
      <c r="V789" s="30">
        <f t="shared" ca="1" si="107"/>
        <v>4.8708174502330361E-3</v>
      </c>
      <c r="W789" s="30">
        <f t="shared" ca="1" si="110"/>
        <v>3.0903966176766589E-2</v>
      </c>
      <c r="X789" s="30">
        <f t="shared" ca="1" si="108"/>
        <v>-3.450439146800495E-2</v>
      </c>
      <c r="Y789" s="31">
        <f t="shared" ca="1" si="109"/>
        <v>-2.4849699398797637E-2</v>
      </c>
    </row>
    <row r="790" spans="2:25" x14ac:dyDescent="0.45">
      <c r="B790" vm="6346">
        <f ca="1"/>
        <v>45310</v>
      </c>
      <c r="C790" vm="6347">
        <f ca="1"/>
        <v>398.67</v>
      </c>
      <c r="D790" vm="6346">
        <f ca="1"/>
        <v>45310</v>
      </c>
      <c r="E790" vm="6348">
        <f ca="1"/>
        <v>16.670000000000002</v>
      </c>
      <c r="F790" vm="6346">
        <f ca="1"/>
        <v>45310</v>
      </c>
      <c r="G790" vm="1244">
        <f ca="1"/>
        <v>270.89999999999998</v>
      </c>
      <c r="H790" vm="6346">
        <f ca="1"/>
        <v>45310</v>
      </c>
      <c r="I790" vm="6349">
        <f ca="1"/>
        <v>131.22</v>
      </c>
      <c r="J790" vm="6346">
        <f ca="1"/>
        <v>45310</v>
      </c>
      <c r="K790" vm="6350">
        <f ca="1"/>
        <v>47.83</v>
      </c>
      <c r="L790" vm="6346">
        <f ca="1"/>
        <v>45310</v>
      </c>
      <c r="M790" vm="6351">
        <f ca="1"/>
        <v>204.71</v>
      </c>
      <c r="N790" vm="6346">
        <f ca="1"/>
        <v>45310</v>
      </c>
      <c r="O790" vm="6352">
        <f ca="1"/>
        <v>60</v>
      </c>
      <c r="P790" vm="6346">
        <f ca="1"/>
        <v>45310</v>
      </c>
      <c r="Q790" vm="6353">
        <f ca="1"/>
        <v>48.1</v>
      </c>
      <c r="R790" s="29">
        <f t="shared" ca="1" si="103"/>
        <v>1.2186762129636711E-2</v>
      </c>
      <c r="S790" s="30">
        <f t="shared" ca="1" si="104"/>
        <v>1.6463414634146533E-2</v>
      </c>
      <c r="T790" s="30">
        <f t="shared" ca="1" si="105"/>
        <v>1.0293130454240289E-2</v>
      </c>
      <c r="U790" s="30">
        <f t="shared" ca="1" si="106"/>
        <v>5.8255403955234618E-3</v>
      </c>
      <c r="V790" s="30">
        <f t="shared" ca="1" si="107"/>
        <v>8.008429926238049E-3</v>
      </c>
      <c r="W790" s="30">
        <f t="shared" ca="1" si="110"/>
        <v>-5.3705692803429953E-4</v>
      </c>
      <c r="X790" s="30">
        <f t="shared" ca="1" si="108"/>
        <v>-2.5341130604288536E-2</v>
      </c>
      <c r="Y790" s="31">
        <f t="shared" ca="1" si="109"/>
        <v>-1.1508425811754937E-2</v>
      </c>
    </row>
    <row r="791" spans="2:25" x14ac:dyDescent="0.45">
      <c r="B791" vm="6354">
        <f ca="1"/>
        <v>45313</v>
      </c>
      <c r="C791" vm="6355">
        <f ca="1"/>
        <v>396.51</v>
      </c>
      <c r="D791" vm="6354">
        <f ca="1"/>
        <v>45313</v>
      </c>
      <c r="E791" vm="6356">
        <f ca="1"/>
        <v>16.8</v>
      </c>
      <c r="F791" vm="6354">
        <f ca="1"/>
        <v>45313</v>
      </c>
      <c r="G791" vm="822">
        <f ca="1"/>
        <v>271.2</v>
      </c>
      <c r="H791" vm="6354">
        <f ca="1"/>
        <v>45313</v>
      </c>
      <c r="I791" vm="6357">
        <f ca="1"/>
        <v>132.55000000000001</v>
      </c>
      <c r="J791" vm="6354">
        <f ca="1"/>
        <v>45313</v>
      </c>
      <c r="K791" vm="6358">
        <f ca="1"/>
        <v>47.91</v>
      </c>
      <c r="L791" vm="6354">
        <f ca="1"/>
        <v>45313</v>
      </c>
      <c r="M791" vm="6359">
        <f ca="1"/>
        <v>205.67</v>
      </c>
      <c r="N791" vm="6354">
        <f ca="1"/>
        <v>45313</v>
      </c>
      <c r="O791" vm="6360">
        <f ca="1"/>
        <v>58</v>
      </c>
      <c r="P791" vm="6354">
        <f ca="1"/>
        <v>45313</v>
      </c>
      <c r="Q791" vm="6361">
        <f ca="1"/>
        <v>47.018999999999998</v>
      </c>
      <c r="R791" s="29">
        <f t="shared" ca="1" si="103"/>
        <v>-5.4180148995410359E-3</v>
      </c>
      <c r="S791" s="30">
        <f t="shared" ca="1" si="104"/>
        <v>7.7984403119375524E-3</v>
      </c>
      <c r="T791" s="30">
        <f t="shared" ca="1" si="105"/>
        <v>1.1074197120709169E-3</v>
      </c>
      <c r="U791" s="30">
        <f t="shared" ca="1" si="106"/>
        <v>1.0135650053345623E-2</v>
      </c>
      <c r="V791" s="30">
        <f t="shared" ca="1" si="107"/>
        <v>1.6725904244197845E-3</v>
      </c>
      <c r="W791" s="30">
        <f t="shared" ca="1" si="110"/>
        <v>4.6895608421668681E-3</v>
      </c>
      <c r="X791" s="30">
        <f t="shared" ca="1" si="108"/>
        <v>-3.3333333333333333E-2</v>
      </c>
      <c r="Y791" s="31">
        <f t="shared" ca="1" si="109"/>
        <v>-2.2474012474012536E-2</v>
      </c>
    </row>
    <row r="792" spans="2:25" x14ac:dyDescent="0.45">
      <c r="B792" vm="6362">
        <f ca="1"/>
        <v>45314</v>
      </c>
      <c r="C792" vm="6363">
        <f ca="1"/>
        <v>398.9</v>
      </c>
      <c r="D792" vm="6362">
        <f ca="1"/>
        <v>45314</v>
      </c>
      <c r="E792" vm="42">
        <f ca="1"/>
        <v>17.190000000000001</v>
      </c>
      <c r="F792" vm="6362">
        <f ca="1"/>
        <v>45314</v>
      </c>
      <c r="G792" vm="6364">
        <f ca="1"/>
        <v>271.26</v>
      </c>
      <c r="H792" vm="6362">
        <f ca="1"/>
        <v>45314</v>
      </c>
      <c r="I792" vm="6365">
        <f ca="1"/>
        <v>131.63999999999999</v>
      </c>
      <c r="J792" vm="6362">
        <f ca="1"/>
        <v>45314</v>
      </c>
      <c r="K792" vm="6366">
        <f ca="1"/>
        <v>48.21</v>
      </c>
      <c r="L792" vm="6362">
        <f ca="1"/>
        <v>45314</v>
      </c>
      <c r="M792" vm="6367">
        <f ca="1"/>
        <v>206.71</v>
      </c>
      <c r="N792" vm="6362">
        <f ca="1"/>
        <v>45314</v>
      </c>
      <c r="O792" vm="6368">
        <f ca="1"/>
        <v>56.32</v>
      </c>
      <c r="P792" vm="6362">
        <f ca="1"/>
        <v>45314</v>
      </c>
      <c r="Q792" vm="6369">
        <f ca="1"/>
        <v>45.018999999999998</v>
      </c>
      <c r="R792" s="29">
        <f t="shared" ca="1" si="103"/>
        <v>6.0275907291114632E-3</v>
      </c>
      <c r="S792" s="30">
        <f t="shared" ca="1" si="104"/>
        <v>2.3214285714285746E-2</v>
      </c>
      <c r="T792" s="30">
        <f t="shared" ca="1" si="105"/>
        <v>2.2123893805310574E-4</v>
      </c>
      <c r="U792" s="30">
        <f t="shared" ca="1" si="106"/>
        <v>-6.8653338362883809E-3</v>
      </c>
      <c r="V792" s="30">
        <f t="shared" ca="1" si="107"/>
        <v>6.2617407639324624E-3</v>
      </c>
      <c r="W792" s="30">
        <f t="shared" ca="1" si="110"/>
        <v>5.0566441386688411E-3</v>
      </c>
      <c r="X792" s="30">
        <f t="shared" ca="1" si="108"/>
        <v>-2.8965517241379305E-2</v>
      </c>
      <c r="Y792" s="31">
        <f t="shared" ca="1" si="109"/>
        <v>-4.2535996086688364E-2</v>
      </c>
    </row>
    <row r="793" spans="2:25" x14ac:dyDescent="0.45">
      <c r="B793" vm="6370">
        <f ca="1"/>
        <v>45315</v>
      </c>
      <c r="C793" vm="6371">
        <f ca="1"/>
        <v>402.56</v>
      </c>
      <c r="D793" vm="6370">
        <f ca="1"/>
        <v>45315</v>
      </c>
      <c r="E793" vm="6372">
        <f ca="1"/>
        <v>16.68</v>
      </c>
      <c r="F793" vm="6370">
        <f ca="1"/>
        <v>45315</v>
      </c>
      <c r="G793" vm="6373">
        <f ca="1"/>
        <v>271.64999999999998</v>
      </c>
      <c r="H793" vm="6370">
        <f ca="1"/>
        <v>45315</v>
      </c>
      <c r="I793" vm="6374">
        <f ca="1"/>
        <v>129.78</v>
      </c>
      <c r="J793" vm="6370">
        <f ca="1"/>
        <v>45315</v>
      </c>
      <c r="K793" vm="6375">
        <f ca="1"/>
        <v>48.37</v>
      </c>
      <c r="L793" vm="6370">
        <f ca="1"/>
        <v>45315</v>
      </c>
      <c r="M793" vm="6376">
        <f ca="1"/>
        <v>211.14</v>
      </c>
      <c r="N793" vm="6370">
        <f ca="1"/>
        <v>45315</v>
      </c>
      <c r="O793" vm="6377">
        <f ca="1"/>
        <v>57.8</v>
      </c>
      <c r="P793" vm="6370">
        <f ca="1"/>
        <v>45315</v>
      </c>
      <c r="Q793" vm="6378">
        <f ca="1"/>
        <v>45.098999999999997</v>
      </c>
      <c r="R793" s="29">
        <f t="shared" ca="1" si="103"/>
        <v>9.1752318876912146E-3</v>
      </c>
      <c r="S793" s="30">
        <f t="shared" ca="1" si="104"/>
        <v>-2.9668411867364835E-2</v>
      </c>
      <c r="T793" s="30">
        <f t="shared" ca="1" si="105"/>
        <v>1.4377350143772998E-3</v>
      </c>
      <c r="U793" s="30">
        <f t="shared" ca="1" si="106"/>
        <v>-1.4129443938012652E-2</v>
      </c>
      <c r="V793" s="30">
        <f t="shared" ca="1" si="107"/>
        <v>3.3188135241650402E-3</v>
      </c>
      <c r="W793" s="30">
        <f t="shared" ca="1" si="110"/>
        <v>2.1430990276232298E-2</v>
      </c>
      <c r="X793" s="30">
        <f t="shared" ca="1" si="108"/>
        <v>2.6278409090909036E-2</v>
      </c>
      <c r="Y793" s="31">
        <f t="shared" ca="1" si="109"/>
        <v>1.7770274772873297E-3</v>
      </c>
    </row>
    <row r="794" spans="2:25" x14ac:dyDescent="0.45">
      <c r="B794" vm="6379">
        <f ca="1"/>
        <v>45316</v>
      </c>
      <c r="C794" vm="6380">
        <f ca="1"/>
        <v>404.87</v>
      </c>
      <c r="D794" vm="6379">
        <f ca="1"/>
        <v>45316</v>
      </c>
      <c r="E794" vm="6381">
        <f ca="1"/>
        <v>17.18</v>
      </c>
      <c r="F794" vm="6379">
        <f ca="1"/>
        <v>45316</v>
      </c>
      <c r="G794" vm="6382">
        <f ca="1"/>
        <v>272.61</v>
      </c>
      <c r="H794" vm="6379">
        <f ca="1"/>
        <v>45316</v>
      </c>
      <c r="I794" vm="3964">
        <f ca="1"/>
        <v>129.88</v>
      </c>
      <c r="J794" vm="6379">
        <f ca="1"/>
        <v>45316</v>
      </c>
      <c r="K794" vm="6192">
        <f ca="1"/>
        <v>48.38</v>
      </c>
      <c r="L794" vm="6379">
        <f ca="1"/>
        <v>45316</v>
      </c>
      <c r="M794" vm="6383">
        <f ca="1"/>
        <v>214.18</v>
      </c>
      <c r="N794" vm="6379">
        <f ca="1"/>
        <v>45316</v>
      </c>
      <c r="O794" vm="6384">
        <f ca="1"/>
        <v>58.44</v>
      </c>
      <c r="P794" vm="6379">
        <f ca="1"/>
        <v>45316</v>
      </c>
      <c r="Q794" vm="6385">
        <f ca="1"/>
        <v>45.777999999999999</v>
      </c>
      <c r="R794" s="29">
        <f t="shared" ca="1" si="103"/>
        <v>5.738275039745634E-3</v>
      </c>
      <c r="S794" s="30">
        <f t="shared" ca="1" si="104"/>
        <v>2.9976019184652279E-2</v>
      </c>
      <c r="T794" s="30">
        <f t="shared" ca="1" si="105"/>
        <v>3.5339591385975941E-3</v>
      </c>
      <c r="U794" s="30">
        <f t="shared" ca="1" si="106"/>
        <v>7.7053475111723158E-4</v>
      </c>
      <c r="V794" s="30">
        <f t="shared" ca="1" si="107"/>
        <v>2.067397146992995E-4</v>
      </c>
      <c r="W794" s="30">
        <f t="shared" ca="1" si="110"/>
        <v>1.4398029743298383E-2</v>
      </c>
      <c r="X794" s="30">
        <f t="shared" ca="1" si="108"/>
        <v>1.1072664359861602E-2</v>
      </c>
      <c r="Y794" s="31">
        <f t="shared" ca="1" si="109"/>
        <v>1.5055766203241804E-2</v>
      </c>
    </row>
    <row r="795" spans="2:25" x14ac:dyDescent="0.45">
      <c r="B795" vm="6386">
        <f ca="1"/>
        <v>45317</v>
      </c>
      <c r="C795" vm="6387">
        <f ca="1"/>
        <v>403.93</v>
      </c>
      <c r="D795" vm="6386">
        <f ca="1"/>
        <v>45317</v>
      </c>
      <c r="E795" vm="6388">
        <f ca="1"/>
        <v>17.29</v>
      </c>
      <c r="F795" vm="6386">
        <f ca="1"/>
        <v>45317</v>
      </c>
      <c r="G795" vm="6389">
        <f ca="1"/>
        <v>267.94</v>
      </c>
      <c r="H795" vm="6386">
        <f ca="1"/>
        <v>45317</v>
      </c>
      <c r="I795" vm="6390">
        <f ca="1"/>
        <v>130.99</v>
      </c>
      <c r="J795" vm="6386">
        <f ca="1"/>
        <v>45317</v>
      </c>
      <c r="K795" vm="6391">
        <f ca="1"/>
        <v>48.31</v>
      </c>
      <c r="L795" vm="6386">
        <f ca="1"/>
        <v>45317</v>
      </c>
      <c r="M795" vm="38">
        <f ca="1"/>
        <v>214.29</v>
      </c>
      <c r="N795" vm="6386">
        <f ca="1"/>
        <v>45317</v>
      </c>
      <c r="O795" vm="6392">
        <f ca="1"/>
        <v>58.12</v>
      </c>
      <c r="P795" vm="6386">
        <f ca="1"/>
        <v>45317</v>
      </c>
      <c r="Q795" vm="6393">
        <f ca="1"/>
        <v>49.45</v>
      </c>
      <c r="R795" s="29">
        <f t="shared" ca="1" si="103"/>
        <v>-2.3217329019191288E-3</v>
      </c>
      <c r="S795" s="30">
        <f t="shared" ca="1" si="104"/>
        <v>6.4027939464493264E-3</v>
      </c>
      <c r="T795" s="30">
        <f t="shared" ca="1" si="105"/>
        <v>-1.7130699534133067E-2</v>
      </c>
      <c r="U795" s="30">
        <f t="shared" ca="1" si="106"/>
        <v>8.546350477363825E-3</v>
      </c>
      <c r="V795" s="30">
        <f t="shared" ca="1" si="107"/>
        <v>-1.4468788755684224E-3</v>
      </c>
      <c r="W795" s="30">
        <f t="shared" ca="1" si="110"/>
        <v>5.135867027732992E-4</v>
      </c>
      <c r="X795" s="30">
        <f t="shared" ca="1" si="108"/>
        <v>-5.4757015742642077E-3</v>
      </c>
      <c r="Y795" s="31">
        <f t="shared" ca="1" si="109"/>
        <v>8.0213202848529952E-2</v>
      </c>
    </row>
    <row r="796" spans="2:25" x14ac:dyDescent="0.45">
      <c r="B796" vm="6394">
        <f ca="1"/>
        <v>45320</v>
      </c>
      <c r="C796" vm="6395">
        <f ca="1"/>
        <v>409.72</v>
      </c>
      <c r="D796" vm="6394">
        <f ca="1"/>
        <v>45320</v>
      </c>
      <c r="E796" vm="6255">
        <f ca="1"/>
        <v>17.25</v>
      </c>
      <c r="F796" vm="6394">
        <f ca="1"/>
        <v>45320</v>
      </c>
      <c r="G796" vm="6396">
        <f ca="1"/>
        <v>273.66000000000003</v>
      </c>
      <c r="H796" vm="6394">
        <f ca="1"/>
        <v>45320</v>
      </c>
      <c r="I796" vm="6397">
        <f ca="1"/>
        <v>132.83000000000001</v>
      </c>
      <c r="J796" vm="6394">
        <f ca="1"/>
        <v>45320</v>
      </c>
      <c r="K796" vm="6398">
        <f ca="1"/>
        <v>48.25</v>
      </c>
      <c r="L796" vm="6394">
        <f ca="1"/>
        <v>45320</v>
      </c>
      <c r="M796" vm="6399">
        <f ca="1"/>
        <v>218.61</v>
      </c>
      <c r="N796" vm="6394">
        <f ca="1"/>
        <v>45320</v>
      </c>
      <c r="O796" vm="6400">
        <f ca="1"/>
        <v>58.36</v>
      </c>
      <c r="P796" vm="6394">
        <f ca="1"/>
        <v>45320</v>
      </c>
      <c r="Q796" vm="6401">
        <f ca="1"/>
        <v>51.381</v>
      </c>
      <c r="R796" s="29">
        <f t="shared" ca="1" si="103"/>
        <v>1.4334166811081179E-2</v>
      </c>
      <c r="S796" s="30">
        <f t="shared" ca="1" si="104"/>
        <v>-2.3134759976864748E-3</v>
      </c>
      <c r="T796" s="30">
        <f t="shared" ca="1" si="105"/>
        <v>2.1348062999179022E-2</v>
      </c>
      <c r="U796" s="30">
        <f t="shared" ca="1" si="106"/>
        <v>1.4046873807160878E-2</v>
      </c>
      <c r="V796" s="30">
        <f t="shared" ca="1" si="107"/>
        <v>-1.241978886358979E-3</v>
      </c>
      <c r="W796" s="30">
        <f t="shared" ca="1" si="110"/>
        <v>2.0159596808063941E-2</v>
      </c>
      <c r="X796" s="30">
        <f t="shared" ca="1" si="108"/>
        <v>4.1293874741913624E-3</v>
      </c>
      <c r="Y796" s="31">
        <f t="shared" ca="1" si="109"/>
        <v>3.9049544994944334E-2</v>
      </c>
    </row>
    <row r="797" spans="2:25" x14ac:dyDescent="0.45">
      <c r="B797" vm="6402">
        <f ca="1"/>
        <v>45321</v>
      </c>
      <c r="C797" vm="6403">
        <f ca="1"/>
        <v>408.59</v>
      </c>
      <c r="D797" vm="6402">
        <f ca="1"/>
        <v>45321</v>
      </c>
      <c r="E797" vm="4902">
        <f ca="1"/>
        <v>17.53</v>
      </c>
      <c r="F797" vm="6402">
        <f ca="1"/>
        <v>45321</v>
      </c>
      <c r="G797" vm="6404">
        <f ca="1"/>
        <v>277.14999999999998</v>
      </c>
      <c r="H797" vm="6402">
        <f ca="1"/>
        <v>45321</v>
      </c>
      <c r="I797" vm="6405">
        <f ca="1"/>
        <v>134.28</v>
      </c>
      <c r="J797" vm="6402">
        <f ca="1"/>
        <v>45321</v>
      </c>
      <c r="K797" vm="6406">
        <f ca="1"/>
        <v>48.17</v>
      </c>
      <c r="L797" vm="6402">
        <f ca="1"/>
        <v>45321</v>
      </c>
      <c r="M797" vm="6407">
        <f ca="1"/>
        <v>217.62</v>
      </c>
      <c r="N797" vm="6402">
        <f ca="1"/>
        <v>45321</v>
      </c>
      <c r="O797" vm="6408">
        <f ca="1"/>
        <v>57.6</v>
      </c>
      <c r="P797" vm="6402">
        <f ca="1"/>
        <v>45321</v>
      </c>
      <c r="Q797" vm="6409">
        <f ca="1"/>
        <v>51.951000000000001</v>
      </c>
      <c r="R797" s="29">
        <f t="shared" ca="1" si="103"/>
        <v>-2.7579810602363863E-3</v>
      </c>
      <c r="S797" s="30">
        <f t="shared" ca="1" si="104"/>
        <v>1.6231884057971081E-2</v>
      </c>
      <c r="T797" s="30">
        <f t="shared" ca="1" si="105"/>
        <v>1.2753051231454914E-2</v>
      </c>
      <c r="U797" s="30">
        <f t="shared" ca="1" si="106"/>
        <v>1.0916208687796344E-2</v>
      </c>
      <c r="V797" s="30">
        <f t="shared" ca="1" si="107"/>
        <v>-1.6580310880828662E-3</v>
      </c>
      <c r="W797" s="30">
        <f t="shared" ca="1" si="110"/>
        <v>-4.5286125977769039E-3</v>
      </c>
      <c r="X797" s="30">
        <f t="shared" ca="1" si="108"/>
        <v>-1.302261823166549E-2</v>
      </c>
      <c r="Y797" s="31">
        <f t="shared" ca="1" si="109"/>
        <v>1.1093594908623815E-2</v>
      </c>
    </row>
    <row r="798" spans="2:25" x14ac:dyDescent="0.45">
      <c r="B798" vm="6410">
        <f ca="1"/>
        <v>45322</v>
      </c>
      <c r="C798" vm="6411">
        <f ca="1"/>
        <v>397.58</v>
      </c>
      <c r="D798" vm="6410">
        <f ca="1"/>
        <v>45322</v>
      </c>
      <c r="E798" vm="3979">
        <f ca="1"/>
        <v>17.690000000000001</v>
      </c>
      <c r="F798" vm="6410">
        <f ca="1"/>
        <v>45322</v>
      </c>
      <c r="G798" vm="6412">
        <f ca="1"/>
        <v>273.26</v>
      </c>
      <c r="H798" vm="6410">
        <f ca="1"/>
        <v>45322</v>
      </c>
      <c r="I798" vm="6413">
        <f ca="1"/>
        <v>130.1</v>
      </c>
      <c r="J798" vm="6410">
        <f ca="1"/>
        <v>45322</v>
      </c>
      <c r="K798" vm="6414">
        <f ca="1"/>
        <v>47.02</v>
      </c>
      <c r="L798" vm="6410">
        <f ca="1"/>
        <v>45322</v>
      </c>
      <c r="M798" vm="6415">
        <f ca="1"/>
        <v>215.35</v>
      </c>
      <c r="N798" vm="6410">
        <f ca="1"/>
        <v>45322</v>
      </c>
      <c r="O798" vm="6416">
        <f ca="1"/>
        <v>60.52</v>
      </c>
      <c r="P798" vm="6410">
        <f ca="1"/>
        <v>45322</v>
      </c>
      <c r="Q798" vm="6417">
        <f ca="1"/>
        <v>50.121000000000002</v>
      </c>
      <c r="R798" s="29">
        <f t="shared" ca="1" si="103"/>
        <v>-2.6946327614479043E-2</v>
      </c>
      <c r="S798" s="30">
        <f t="shared" ca="1" si="104"/>
        <v>9.1272104962920788E-3</v>
      </c>
      <c r="T798" s="30">
        <f t="shared" ca="1" si="105"/>
        <v>-1.4035720728847147E-2</v>
      </c>
      <c r="U798" s="30">
        <f t="shared" ca="1" si="106"/>
        <v>-3.1128984212094181E-2</v>
      </c>
      <c r="V798" s="30">
        <f t="shared" ca="1" si="107"/>
        <v>-2.3873780361220648E-2</v>
      </c>
      <c r="W798" s="30">
        <f t="shared" ca="1" si="110"/>
        <v>-1.0431026560058865E-2</v>
      </c>
      <c r="X798" s="30">
        <f t="shared" ca="1" si="108"/>
        <v>5.0694444444444473E-2</v>
      </c>
      <c r="Y798" s="31">
        <f t="shared" ca="1" si="109"/>
        <v>-3.5225500952820891E-2</v>
      </c>
    </row>
    <row r="799" spans="2:25" x14ac:dyDescent="0.45">
      <c r="B799" vm="6418">
        <f ca="1"/>
        <v>45323</v>
      </c>
      <c r="C799" vm="6419">
        <f ca="1"/>
        <v>403.78</v>
      </c>
      <c r="D799" vm="6418">
        <f ca="1"/>
        <v>45323</v>
      </c>
      <c r="E799" vm="3579">
        <f ca="1"/>
        <v>18.04</v>
      </c>
      <c r="F799" vm="6418">
        <f ca="1"/>
        <v>45323</v>
      </c>
      <c r="G799" vm="6420">
        <f ca="1"/>
        <v>277.05</v>
      </c>
      <c r="H799" vm="6418">
        <f ca="1"/>
        <v>45323</v>
      </c>
      <c r="I799" vm="6421">
        <f ca="1"/>
        <v>133.05000000000001</v>
      </c>
      <c r="J799" vm="6418">
        <f ca="1"/>
        <v>45323</v>
      </c>
      <c r="K799" vm="6422">
        <f ca="1"/>
        <v>46.63</v>
      </c>
      <c r="L799" vm="6418">
        <f ca="1"/>
        <v>45323</v>
      </c>
      <c r="M799" vm="6423">
        <f ca="1"/>
        <v>218.96</v>
      </c>
      <c r="N799" vm="6418">
        <f ca="1"/>
        <v>45323</v>
      </c>
      <c r="O799" vm="6424">
        <f ca="1"/>
        <v>60.04</v>
      </c>
      <c r="P799" vm="6418">
        <f ca="1"/>
        <v>45323</v>
      </c>
      <c r="Q799" vm="6425">
        <f ca="1"/>
        <v>50.347999999999999</v>
      </c>
      <c r="R799" s="29">
        <f t="shared" ca="1" si="103"/>
        <v>1.5594345792041825E-2</v>
      </c>
      <c r="S799" s="30">
        <f t="shared" ca="1" si="104"/>
        <v>1.978518937252673E-2</v>
      </c>
      <c r="T799" s="30">
        <f t="shared" ca="1" si="105"/>
        <v>1.3869574763961138E-2</v>
      </c>
      <c r="U799" s="30">
        <f t="shared" ca="1" si="106"/>
        <v>2.267486548808622E-2</v>
      </c>
      <c r="V799" s="30">
        <f t="shared" ca="1" si="107"/>
        <v>-8.2943428328371028E-3</v>
      </c>
      <c r="W799" s="30">
        <f t="shared" ca="1" si="110"/>
        <v>1.6763408404922284E-2</v>
      </c>
      <c r="X799" s="30">
        <f t="shared" ca="1" si="108"/>
        <v>-7.9312623925975531E-3</v>
      </c>
      <c r="Y799" s="31">
        <f t="shared" ca="1" si="109"/>
        <v>4.5290397238681741E-3</v>
      </c>
    </row>
    <row r="800" spans="2:25" x14ac:dyDescent="0.45">
      <c r="B800" vm="6426">
        <f ca="1"/>
        <v>45324</v>
      </c>
      <c r="C800" vm="6427">
        <f ca="1"/>
        <v>411.22</v>
      </c>
      <c r="D800" vm="6426">
        <f ca="1"/>
        <v>45324</v>
      </c>
      <c r="E800" vm="6428">
        <f ca="1"/>
        <v>17.829999999999998</v>
      </c>
      <c r="F800" vm="6426">
        <f ca="1"/>
        <v>45324</v>
      </c>
      <c r="G800" vm="6429">
        <f ca="1"/>
        <v>277.18</v>
      </c>
      <c r="H800" vm="6426">
        <f ca="1"/>
        <v>45324</v>
      </c>
      <c r="I800" vm="779">
        <f ca="1"/>
        <v>132.97</v>
      </c>
      <c r="J800" vm="6426">
        <f ca="1"/>
        <v>45324</v>
      </c>
      <c r="K800" vm="6430">
        <f ca="1"/>
        <v>45.85</v>
      </c>
      <c r="L800" vm="6426">
        <f ca="1"/>
        <v>45324</v>
      </c>
      <c r="M800" vm="6431">
        <f ca="1"/>
        <v>222.47</v>
      </c>
      <c r="N800" vm="6426">
        <f ca="1"/>
        <v>45324</v>
      </c>
      <c r="O800" vm="6432">
        <f ca="1"/>
        <v>59.96</v>
      </c>
      <c r="P800" vm="6426">
        <f ca="1"/>
        <v>45324</v>
      </c>
      <c r="Q800" vm="6433">
        <f ca="1"/>
        <v>50.01</v>
      </c>
      <c r="R800" s="29">
        <f t="shared" ca="1" si="103"/>
        <v>1.8425875476744898E-2</v>
      </c>
      <c r="S800" s="30">
        <f t="shared" ca="1" si="104"/>
        <v>-1.1640798226164128E-2</v>
      </c>
      <c r="T800" s="30">
        <f t="shared" ca="1" si="105"/>
        <v>4.6922938097814637E-4</v>
      </c>
      <c r="U800" s="30">
        <f t="shared" ca="1" si="106"/>
        <v>-6.012777151447764E-4</v>
      </c>
      <c r="V800" s="30">
        <f t="shared" ca="1" si="107"/>
        <v>-1.672742869397386E-2</v>
      </c>
      <c r="W800" s="30">
        <f t="shared" ca="1" si="110"/>
        <v>1.6030325173547636E-2</v>
      </c>
      <c r="X800" s="30">
        <f t="shared" ca="1" si="108"/>
        <v>-1.3324450366422101E-3</v>
      </c>
      <c r="Y800" s="31">
        <f t="shared" ca="1" si="109"/>
        <v>-6.7132756018114118E-3</v>
      </c>
    </row>
    <row r="801" spans="2:25" x14ac:dyDescent="0.45">
      <c r="B801" vm="6434">
        <f ca="1"/>
        <v>45327</v>
      </c>
      <c r="C801" vm="6435">
        <f ca="1"/>
        <v>405.65</v>
      </c>
      <c r="D801" vm="6434">
        <f ca="1"/>
        <v>45327</v>
      </c>
      <c r="E801" vm="3428">
        <f ca="1"/>
        <v>17.73</v>
      </c>
      <c r="F801" vm="6434">
        <f ca="1"/>
        <v>45327</v>
      </c>
      <c r="G801" vm="6436">
        <f ca="1"/>
        <v>275.58</v>
      </c>
      <c r="H801" vm="6434">
        <f ca="1"/>
        <v>45327</v>
      </c>
      <c r="I801" vm="6437">
        <f ca="1"/>
        <v>132.82</v>
      </c>
      <c r="J801" vm="6434">
        <f ca="1"/>
        <v>45327</v>
      </c>
      <c r="K801" vm="6438">
        <f ca="1"/>
        <v>45.5</v>
      </c>
      <c r="L801" vm="6434">
        <f ca="1"/>
        <v>45327</v>
      </c>
      <c r="M801" vm="6439">
        <f ca="1"/>
        <v>223.25</v>
      </c>
      <c r="N801" vm="6434">
        <f ca="1"/>
        <v>45327</v>
      </c>
      <c r="O801" vm="6408">
        <f ca="1"/>
        <v>57.6</v>
      </c>
      <c r="P801" vm="6434">
        <f ca="1"/>
        <v>45327</v>
      </c>
      <c r="Q801" vm="6440">
        <f ca="1"/>
        <v>49.06</v>
      </c>
      <c r="R801" s="29">
        <f t="shared" ca="1" si="103"/>
        <v>-1.3545061037887383E-2</v>
      </c>
      <c r="S801" s="30">
        <f t="shared" ca="1" si="104"/>
        <v>-5.6085249579359434E-3</v>
      </c>
      <c r="T801" s="30">
        <f t="shared" ca="1" si="105"/>
        <v>-5.7724222526878664E-3</v>
      </c>
      <c r="U801" s="30">
        <f t="shared" ca="1" si="106"/>
        <v>-1.1280740016545512E-3</v>
      </c>
      <c r="V801" s="30">
        <f t="shared" ca="1" si="107"/>
        <v>-7.6335877862595729E-3</v>
      </c>
      <c r="W801" s="30">
        <f t="shared" ca="1" si="110"/>
        <v>3.5060907088596267E-3</v>
      </c>
      <c r="X801" s="30">
        <f t="shared" ca="1" si="108"/>
        <v>-3.9359573048699123E-2</v>
      </c>
      <c r="Y801" s="31">
        <f t="shared" ca="1" si="109"/>
        <v>-1.8996200759847946E-2</v>
      </c>
    </row>
    <row r="802" spans="2:25" x14ac:dyDescent="0.45">
      <c r="B802" vm="6441">
        <f ca="1"/>
        <v>45328</v>
      </c>
      <c r="C802" vm="6442">
        <f ca="1"/>
        <v>405.49</v>
      </c>
      <c r="D802" vm="6441">
        <f ca="1"/>
        <v>45328</v>
      </c>
      <c r="E802" vm="4926">
        <f ca="1"/>
        <v>17.61</v>
      </c>
      <c r="F802" vm="6441">
        <f ca="1"/>
        <v>45328</v>
      </c>
      <c r="G802" vm="6443">
        <f ca="1"/>
        <v>276.76</v>
      </c>
      <c r="H802" vm="6441">
        <f ca="1"/>
        <v>45328</v>
      </c>
      <c r="I802" vm="6444">
        <f ca="1"/>
        <v>135.86000000000001</v>
      </c>
      <c r="J802" vm="6441">
        <f ca="1"/>
        <v>45328</v>
      </c>
      <c r="K802" vm="6445">
        <f ca="1"/>
        <v>45.59</v>
      </c>
      <c r="L802" vm="6441">
        <f ca="1"/>
        <v>45328</v>
      </c>
      <c r="M802" vm="6446">
        <f ca="1"/>
        <v>231.92</v>
      </c>
      <c r="N802" vm="6441">
        <f ca="1"/>
        <v>45328</v>
      </c>
      <c r="O802" vm="6447">
        <f ca="1"/>
        <v>56.2</v>
      </c>
      <c r="P802" vm="6441">
        <f ca="1"/>
        <v>45328</v>
      </c>
      <c r="Q802" vm="6448">
        <f ca="1"/>
        <v>49.8</v>
      </c>
      <c r="R802" s="29">
        <f t="shared" ca="1" si="103"/>
        <v>-3.9442869468746006E-4</v>
      </c>
      <c r="S802" s="30">
        <f t="shared" ca="1" si="104"/>
        <v>-6.7681895093063167E-3</v>
      </c>
      <c r="T802" s="30">
        <f t="shared" ca="1" si="105"/>
        <v>4.2818782204804666E-3</v>
      </c>
      <c r="U802" s="30">
        <f t="shared" ca="1" si="106"/>
        <v>2.2888119259147875E-2</v>
      </c>
      <c r="V802" s="30">
        <f t="shared" ca="1" si="107"/>
        <v>1.978021978022053E-3</v>
      </c>
      <c r="W802" s="30">
        <f t="shared" ca="1" si="110"/>
        <v>3.8835386338185833E-2</v>
      </c>
      <c r="X802" s="30">
        <f t="shared" ca="1" si="108"/>
        <v>-2.4305555555555532E-2</v>
      </c>
      <c r="Y802" s="31">
        <f t="shared" ca="1" si="109"/>
        <v>1.5083571137382691E-2</v>
      </c>
    </row>
    <row r="803" spans="2:25" x14ac:dyDescent="0.45">
      <c r="B803" vm="6449">
        <f ca="1"/>
        <v>45329</v>
      </c>
      <c r="C803" vm="6450">
        <f ca="1"/>
        <v>414.05</v>
      </c>
      <c r="D803" vm="6449">
        <f ca="1"/>
        <v>45329</v>
      </c>
      <c r="E803" vm="6451">
        <f ca="1"/>
        <v>17.329999999999998</v>
      </c>
      <c r="F803" vm="6449">
        <f ca="1"/>
        <v>45329</v>
      </c>
      <c r="G803" vm="6452">
        <f ca="1"/>
        <v>279.39</v>
      </c>
      <c r="H803" vm="6449">
        <f ca="1"/>
        <v>45329</v>
      </c>
      <c r="I803" vm="6453">
        <f ca="1"/>
        <v>132.79</v>
      </c>
      <c r="J803" vm="6449">
        <f ca="1"/>
        <v>45329</v>
      </c>
      <c r="K803" vm="6454">
        <f ca="1"/>
        <v>46.07</v>
      </c>
      <c r="L803" vm="6449">
        <f ca="1"/>
        <v>45329</v>
      </c>
      <c r="M803" vm="6455">
        <f ca="1"/>
        <v>240.83</v>
      </c>
      <c r="N803" vm="6449">
        <f ca="1"/>
        <v>45329</v>
      </c>
      <c r="O803" vm="6456">
        <f ca="1"/>
        <v>56</v>
      </c>
      <c r="P803" vm="6449">
        <f ca="1"/>
        <v>45329</v>
      </c>
      <c r="Q803" vm="6457">
        <f ca="1"/>
        <v>50.801000000000002</v>
      </c>
      <c r="R803" s="29">
        <f t="shared" ca="1" si="103"/>
        <v>2.1110261658733882E-2</v>
      </c>
      <c r="S803" s="30">
        <f t="shared" ca="1" si="104"/>
        <v>-1.5900056785917157E-2</v>
      </c>
      <c r="T803" s="30">
        <f t="shared" ca="1" si="105"/>
        <v>9.5028183263477228E-3</v>
      </c>
      <c r="U803" s="30">
        <f t="shared" ca="1" si="106"/>
        <v>-2.2596790814073467E-2</v>
      </c>
      <c r="V803" s="30">
        <f t="shared" ca="1" si="107"/>
        <v>1.0528624698398702E-2</v>
      </c>
      <c r="W803" s="30">
        <f t="shared" ca="1" si="110"/>
        <v>3.8418420144877653E-2</v>
      </c>
      <c r="X803" s="30">
        <f t="shared" ca="1" si="108"/>
        <v>-3.558718861210015E-3</v>
      </c>
      <c r="Y803" s="31">
        <f t="shared" ca="1" si="109"/>
        <v>2.0100401606425799E-2</v>
      </c>
    </row>
    <row r="804" spans="2:25" x14ac:dyDescent="0.45">
      <c r="B804" vm="6458">
        <f ca="1"/>
        <v>45330</v>
      </c>
      <c r="C804" vm="6459">
        <f ca="1"/>
        <v>414.11</v>
      </c>
      <c r="D804" vm="6458">
        <f ca="1"/>
        <v>45330</v>
      </c>
      <c r="E804" vm="3070">
        <f ca="1"/>
        <v>16.82</v>
      </c>
      <c r="F804" vm="6458">
        <f ca="1"/>
        <v>45330</v>
      </c>
      <c r="G804" vm="6460">
        <f ca="1"/>
        <v>275.77999999999997</v>
      </c>
      <c r="H804" vm="6458">
        <f ca="1"/>
        <v>45330</v>
      </c>
      <c r="I804" vm="6461">
        <f ca="1"/>
        <v>134.07</v>
      </c>
      <c r="J804" vm="6458">
        <f ca="1"/>
        <v>45330</v>
      </c>
      <c r="K804" vm="6462">
        <f ca="1"/>
        <v>46.36</v>
      </c>
      <c r="L804" vm="6458">
        <f ca="1"/>
        <v>45330</v>
      </c>
      <c r="M804" vm="6463">
        <f ca="1"/>
        <v>240.01</v>
      </c>
      <c r="N804" vm="6458">
        <f ca="1"/>
        <v>45330</v>
      </c>
      <c r="O804" vm="6464">
        <f ca="1"/>
        <v>55.68</v>
      </c>
      <c r="P804" vm="6458">
        <f ca="1"/>
        <v>45330</v>
      </c>
      <c r="Q804" vm="6465">
        <f ca="1"/>
        <v>58.780999999999999</v>
      </c>
      <c r="R804" s="29">
        <f t="shared" ca="1" si="103"/>
        <v>1.4491003501993061E-4</v>
      </c>
      <c r="S804" s="30">
        <f t="shared" ca="1" si="104"/>
        <v>-2.9428736295441318E-2</v>
      </c>
      <c r="T804" s="30">
        <f t="shared" ca="1" si="105"/>
        <v>-1.292100647839942E-2</v>
      </c>
      <c r="U804" s="30">
        <f t="shared" ca="1" si="106"/>
        <v>9.639280066270059E-3</v>
      </c>
      <c r="V804" s="30">
        <f t="shared" ca="1" si="107"/>
        <v>6.2947688300412233E-3</v>
      </c>
      <c r="W804" s="30">
        <f t="shared" ca="1" si="110"/>
        <v>-3.4048914171823344E-3</v>
      </c>
      <c r="X804" s="30">
        <f t="shared" ca="1" si="108"/>
        <v>-5.7142857142857195E-3</v>
      </c>
      <c r="Y804" s="31">
        <f t="shared" ca="1" si="109"/>
        <v>0.15708352197791375</v>
      </c>
    </row>
    <row r="805" spans="2:25" x14ac:dyDescent="0.45">
      <c r="B805" vm="6466">
        <f ca="1"/>
        <v>45331</v>
      </c>
      <c r="C805" vm="6467">
        <f ca="1"/>
        <v>420.55</v>
      </c>
      <c r="D805" vm="6466">
        <f ca="1"/>
        <v>45331</v>
      </c>
      <c r="E805" vm="185">
        <f ca="1"/>
        <v>16.84</v>
      </c>
      <c r="F805" vm="6466">
        <f ca="1"/>
        <v>45331</v>
      </c>
      <c r="G805" vm="6468">
        <f ca="1"/>
        <v>276.43</v>
      </c>
      <c r="H805" vm="6466">
        <f ca="1"/>
        <v>45331</v>
      </c>
      <c r="I805" vm="1028">
        <f ca="1"/>
        <v>133.34</v>
      </c>
      <c r="J805" vm="6466">
        <f ca="1"/>
        <v>45331</v>
      </c>
      <c r="K805" vm="6469">
        <f ca="1"/>
        <v>46.29</v>
      </c>
      <c r="L805" vm="6466">
        <f ca="1"/>
        <v>45331</v>
      </c>
      <c r="M805" vm="5344">
        <f ca="1"/>
        <v>240.77</v>
      </c>
      <c r="N805" vm="6466">
        <f ca="1"/>
        <v>45331</v>
      </c>
      <c r="O805" vm="6470">
        <f ca="1"/>
        <v>56.08</v>
      </c>
      <c r="P805" vm="6466">
        <f ca="1"/>
        <v>45331</v>
      </c>
      <c r="Q805" vm="6471">
        <f ca="1"/>
        <v>64.632000000000005</v>
      </c>
      <c r="R805" s="29">
        <f t="shared" ca="1" si="103"/>
        <v>1.5551423534809585E-2</v>
      </c>
      <c r="S805" s="30">
        <f t="shared" ca="1" si="104"/>
        <v>1.1890606420927215E-3</v>
      </c>
      <c r="T805" s="30">
        <f t="shared" ca="1" si="105"/>
        <v>2.3569511929800355E-3</v>
      </c>
      <c r="U805" s="30">
        <f t="shared" ca="1" si="106"/>
        <v>-5.4449168344893701E-3</v>
      </c>
      <c r="V805" s="30">
        <f t="shared" ca="1" si="107"/>
        <v>-1.5099223468507394E-3</v>
      </c>
      <c r="W805" s="30">
        <f t="shared" ca="1" si="110"/>
        <v>3.1665347277197589E-3</v>
      </c>
      <c r="X805" s="30">
        <f t="shared" ca="1" si="108"/>
        <v>7.1839080459769862E-3</v>
      </c>
      <c r="Y805" s="31">
        <f t="shared" ca="1" si="109"/>
        <v>9.9538966672904614E-2</v>
      </c>
    </row>
    <row r="806" spans="2:25" x14ac:dyDescent="0.45">
      <c r="B806" vm="6472">
        <f ca="1"/>
        <v>45334</v>
      </c>
      <c r="C806" vm="6473">
        <f ca="1"/>
        <v>415.26</v>
      </c>
      <c r="D806" vm="6472">
        <f ca="1"/>
        <v>45334</v>
      </c>
      <c r="E806" vm="3361">
        <f ca="1"/>
        <v>17.02</v>
      </c>
      <c r="F806" vm="6472">
        <f ca="1"/>
        <v>45334</v>
      </c>
      <c r="G806" vm="6474">
        <f ca="1"/>
        <v>275.07</v>
      </c>
      <c r="H806" vm="6472">
        <f ca="1"/>
        <v>45334</v>
      </c>
      <c r="I806" vm="6475">
        <f ca="1"/>
        <v>132.31</v>
      </c>
      <c r="J806" vm="6472">
        <f ca="1"/>
        <v>45334</v>
      </c>
      <c r="K806" vm="6476">
        <f ca="1"/>
        <v>45.71</v>
      </c>
      <c r="L806" vm="6472">
        <f ca="1"/>
        <v>45334</v>
      </c>
      <c r="M806" vm="1204">
        <f ca="1"/>
        <v>234.68</v>
      </c>
      <c r="N806" vm="6472">
        <f ca="1"/>
        <v>45334</v>
      </c>
      <c r="O806" vm="6477">
        <f ca="1"/>
        <v>57.28</v>
      </c>
      <c r="P806" vm="6472">
        <f ca="1"/>
        <v>45334</v>
      </c>
      <c r="Q806" vm="6478">
        <f ca="1"/>
        <v>71.751999999999995</v>
      </c>
      <c r="R806" s="29">
        <f t="shared" ca="1" si="103"/>
        <v>-1.2578765901795316E-2</v>
      </c>
      <c r="S806" s="30">
        <f t="shared" ca="1" si="104"/>
        <v>1.0688836104513048E-2</v>
      </c>
      <c r="T806" s="30">
        <f t="shared" ca="1" si="105"/>
        <v>-4.9198712151358884E-3</v>
      </c>
      <c r="U806" s="30">
        <f t="shared" ca="1" si="106"/>
        <v>-7.7246137693115424E-3</v>
      </c>
      <c r="V806" s="30">
        <f t="shared" ca="1" si="107"/>
        <v>-1.252970403974937E-2</v>
      </c>
      <c r="W806" s="30">
        <f t="shared" ca="1" si="110"/>
        <v>-2.5293848901441221E-2</v>
      </c>
      <c r="X806" s="30">
        <f t="shared" ca="1" si="108"/>
        <v>2.1398002853067099E-2</v>
      </c>
      <c r="Y806" s="31">
        <f t="shared" ca="1" si="109"/>
        <v>0.11016214878078955</v>
      </c>
    </row>
    <row r="807" spans="2:25" x14ac:dyDescent="0.45">
      <c r="B807" vm="6479">
        <f ca="1"/>
        <v>45335</v>
      </c>
      <c r="C807" vm="6480">
        <f ca="1"/>
        <v>406.32</v>
      </c>
      <c r="D807" vm="6479">
        <f ca="1"/>
        <v>45335</v>
      </c>
      <c r="E807" vm="6481">
        <f ca="1"/>
        <v>16.899999999999999</v>
      </c>
      <c r="F807" vm="6479">
        <f ca="1"/>
        <v>45335</v>
      </c>
      <c r="G807" vm="6482">
        <f ca="1"/>
        <v>275.81</v>
      </c>
      <c r="H807" vm="6479">
        <f ca="1"/>
        <v>45335</v>
      </c>
      <c r="I807" vm="6483">
        <f ca="1"/>
        <v>129.76</v>
      </c>
      <c r="J807" vm="6479">
        <f ca="1"/>
        <v>45335</v>
      </c>
      <c r="K807" vm="6484">
        <f ca="1"/>
        <v>45.6</v>
      </c>
      <c r="L807" vm="6479">
        <f ca="1"/>
        <v>45335</v>
      </c>
      <c r="M807" vm="6485">
        <f ca="1"/>
        <v>238</v>
      </c>
      <c r="N807" vm="6479">
        <f ca="1"/>
        <v>45335</v>
      </c>
      <c r="O807" vm="6486">
        <f ca="1"/>
        <v>61.32</v>
      </c>
      <c r="P807" vm="6479">
        <f ca="1"/>
        <v>45335</v>
      </c>
      <c r="Q807" vm="6487">
        <f ca="1"/>
        <v>68.602000000000004</v>
      </c>
      <c r="R807" s="29">
        <f t="shared" ca="1" si="103"/>
        <v>-2.1528680826470158E-2</v>
      </c>
      <c r="S807" s="30">
        <f t="shared" ca="1" si="104"/>
        <v>-7.0505287896592828E-3</v>
      </c>
      <c r="T807" s="30">
        <f t="shared" ca="1" si="105"/>
        <v>2.6902243065401866E-3</v>
      </c>
      <c r="U807" s="30">
        <f t="shared" ca="1" si="106"/>
        <v>-1.9272919658378136E-2</v>
      </c>
      <c r="V807" s="30">
        <f t="shared" ca="1" si="107"/>
        <v>-2.4064756070881518E-3</v>
      </c>
      <c r="W807" s="30">
        <f t="shared" ca="1" si="110"/>
        <v>1.4146923470257342E-2</v>
      </c>
      <c r="X807" s="30">
        <f t="shared" ca="1" si="108"/>
        <v>7.0530726256983228E-2</v>
      </c>
      <c r="Y807" s="31">
        <f t="shared" ca="1" si="109"/>
        <v>-4.3901215297134456E-2</v>
      </c>
    </row>
    <row r="808" spans="2:25" x14ac:dyDescent="0.45">
      <c r="B808" vm="6488">
        <f ca="1"/>
        <v>45336</v>
      </c>
      <c r="C808" vm="6489">
        <f ca="1"/>
        <v>409.49</v>
      </c>
      <c r="D808" vm="6488">
        <f ca="1"/>
        <v>45336</v>
      </c>
      <c r="E808" vm="4963">
        <f ca="1"/>
        <v>16.91</v>
      </c>
      <c r="F808" vm="6488">
        <f ca="1"/>
        <v>45336</v>
      </c>
      <c r="G808" vm="6490">
        <f ca="1"/>
        <v>277.56</v>
      </c>
      <c r="H808" vm="6488">
        <f ca="1"/>
        <v>45336</v>
      </c>
      <c r="I808" vm="6491">
        <f ca="1"/>
        <v>132.24</v>
      </c>
      <c r="J808" vm="6488">
        <f ca="1"/>
        <v>45336</v>
      </c>
      <c r="K808" vm="6492">
        <f ca="1"/>
        <v>45.64</v>
      </c>
      <c r="L808" vm="6488">
        <f ca="1"/>
        <v>45336</v>
      </c>
      <c r="M808" vm="6493">
        <f ca="1"/>
        <v>244.17</v>
      </c>
      <c r="N808" vm="6488">
        <f ca="1"/>
        <v>45336</v>
      </c>
      <c r="O808" vm="6494">
        <f ca="1"/>
        <v>58.28</v>
      </c>
      <c r="P808" vm="6488">
        <f ca="1"/>
        <v>45336</v>
      </c>
      <c r="Q808" vm="6495">
        <f ca="1"/>
        <v>76.988</v>
      </c>
      <c r="R808" s="29">
        <f t="shared" ca="1" si="103"/>
        <v>7.801732624532428E-3</v>
      </c>
      <c r="S808" s="30">
        <f t="shared" ca="1" si="104"/>
        <v>5.9171597633145355E-4</v>
      </c>
      <c r="T808" s="30">
        <f t="shared" ca="1" si="105"/>
        <v>6.3449476088611725E-3</v>
      </c>
      <c r="U808" s="30">
        <f t="shared" ca="1" si="106"/>
        <v>1.9112207151664753E-2</v>
      </c>
      <c r="V808" s="30">
        <f t="shared" ca="1" si="107"/>
        <v>8.7719298245612161E-4</v>
      </c>
      <c r="W808" s="30">
        <f t="shared" ca="1" si="110"/>
        <v>2.5924369747899106E-2</v>
      </c>
      <c r="X808" s="30">
        <f t="shared" ca="1" si="108"/>
        <v>-4.9575994781474217E-2</v>
      </c>
      <c r="Y808" s="31">
        <f t="shared" ca="1" si="109"/>
        <v>0.12224133407189287</v>
      </c>
    </row>
    <row r="809" spans="2:25" x14ac:dyDescent="0.45">
      <c r="B809" vm="6496">
        <f ca="1"/>
        <v>45337</v>
      </c>
      <c r="C809" vm="6497">
        <f ca="1"/>
        <v>406.56</v>
      </c>
      <c r="D809" vm="6496">
        <f ca="1"/>
        <v>45337</v>
      </c>
      <c r="E809" vm="4955">
        <f ca="1"/>
        <v>17.09</v>
      </c>
      <c r="F809" vm="6496">
        <f ca="1"/>
        <v>45337</v>
      </c>
      <c r="G809" vm="1310">
        <f ca="1"/>
        <v>280.98</v>
      </c>
      <c r="H809" vm="6496">
        <f ca="1"/>
        <v>45337</v>
      </c>
      <c r="I809" vm="6498">
        <f ca="1"/>
        <v>134.75</v>
      </c>
      <c r="J809" vm="6496">
        <f ca="1"/>
        <v>45337</v>
      </c>
      <c r="K809" vm="6499">
        <f ca="1"/>
        <v>45.78</v>
      </c>
      <c r="L809" vm="6496">
        <f ca="1"/>
        <v>45337</v>
      </c>
      <c r="M809" vm="6500">
        <f ca="1"/>
        <v>245.51</v>
      </c>
      <c r="N809" vm="6496">
        <f ca="1"/>
        <v>45337</v>
      </c>
      <c r="O809" vm="6501">
        <f ca="1"/>
        <v>57.68</v>
      </c>
      <c r="P809" vm="6496">
        <f ca="1"/>
        <v>45337</v>
      </c>
      <c r="Q809" vm="6502">
        <f ca="1"/>
        <v>71.8</v>
      </c>
      <c r="R809" s="29">
        <f t="shared" ca="1" si="103"/>
        <v>-7.155241886248765E-3</v>
      </c>
      <c r="S809" s="30">
        <f t="shared" ca="1" si="104"/>
        <v>1.0644589000591349E-2</v>
      </c>
      <c r="T809" s="30">
        <f t="shared" ca="1" si="105"/>
        <v>1.2321660181582417E-2</v>
      </c>
      <c r="U809" s="30">
        <f t="shared" ca="1" si="106"/>
        <v>1.8980641258318141E-2</v>
      </c>
      <c r="V809" s="30">
        <f t="shared" ca="1" si="107"/>
        <v>3.0674846625766993E-3</v>
      </c>
      <c r="W809" s="30">
        <f t="shared" ca="1" si="110"/>
        <v>5.4879796862841602E-3</v>
      </c>
      <c r="X809" s="30">
        <f t="shared" ca="1" si="108"/>
        <v>-1.0295126973232694E-2</v>
      </c>
      <c r="Y809" s="31">
        <f t="shared" ca="1" si="109"/>
        <v>-6.73871252662753E-2</v>
      </c>
    </row>
    <row r="810" spans="2:25" x14ac:dyDescent="0.45">
      <c r="B810" vm="6503">
        <f ca="1"/>
        <v>45338</v>
      </c>
      <c r="C810" vm="6504">
        <f ca="1"/>
        <v>404.06</v>
      </c>
      <c r="D810" vm="6503">
        <f ca="1"/>
        <v>45338</v>
      </c>
      <c r="E810" vm="6505">
        <f ca="1"/>
        <v>16.97</v>
      </c>
      <c r="F810" vm="6503">
        <f ca="1"/>
        <v>45338</v>
      </c>
      <c r="G810" vm="6506">
        <f ca="1"/>
        <v>278.56</v>
      </c>
      <c r="H810" vm="6503">
        <f ca="1"/>
        <v>45338</v>
      </c>
      <c r="I810" vm="6507">
        <f ca="1"/>
        <v>134.84</v>
      </c>
      <c r="J810" vm="6503">
        <f ca="1"/>
        <v>45338</v>
      </c>
      <c r="K810" vm="6508">
        <f ca="1"/>
        <v>46</v>
      </c>
      <c r="L810" vm="6503">
        <f ca="1"/>
        <v>45338</v>
      </c>
      <c r="M810" vm="6509">
        <f ca="1"/>
        <v>246.25</v>
      </c>
      <c r="N810" vm="6503">
        <f ca="1"/>
        <v>45338</v>
      </c>
      <c r="O810" vm="6408">
        <f ca="1"/>
        <v>57.6</v>
      </c>
      <c r="P810" vm="6503">
        <f ca="1"/>
        <v>45338</v>
      </c>
      <c r="Q810" vm="6510">
        <f ca="1"/>
        <v>69.956000000000003</v>
      </c>
      <c r="R810" s="29">
        <f t="shared" ca="1" si="103"/>
        <v>-6.1491538764266033E-3</v>
      </c>
      <c r="S810" s="30">
        <f t="shared" ca="1" si="104"/>
        <v>-7.0216500877706848E-3</v>
      </c>
      <c r="T810" s="30">
        <f t="shared" ca="1" si="105"/>
        <v>-8.6127126485871439E-3</v>
      </c>
      <c r="U810" s="30">
        <f t="shared" ca="1" si="106"/>
        <v>6.6790352504640747E-4</v>
      </c>
      <c r="V810" s="30">
        <f t="shared" ca="1" si="107"/>
        <v>4.8055919615552396E-3</v>
      </c>
      <c r="W810" s="30">
        <f t="shared" ca="1" si="110"/>
        <v>3.0141338438353189E-3</v>
      </c>
      <c r="X810" s="30">
        <f t="shared" ca="1" si="108"/>
        <v>-1.3869625520110662E-3</v>
      </c>
      <c r="Y810" s="31">
        <f t="shared" ca="1" si="109"/>
        <v>-2.5682451253481814E-2</v>
      </c>
    </row>
    <row r="811" spans="2:25" x14ac:dyDescent="0.45">
      <c r="B811" vm="6511">
        <f ca="1"/>
        <v>45342</v>
      </c>
      <c r="C811" vm="6512">
        <f ca="1"/>
        <v>402.79</v>
      </c>
      <c r="D811" vm="6511">
        <f ca="1"/>
        <v>45342</v>
      </c>
      <c r="E811" vm="4963">
        <f ca="1"/>
        <v>16.91</v>
      </c>
      <c r="F811" vm="6511">
        <f ca="1"/>
        <v>45342</v>
      </c>
      <c r="G811" vm="6513">
        <f ca="1"/>
        <v>275.14999999999998</v>
      </c>
      <c r="H811" vm="6511">
        <f ca="1"/>
        <v>45342</v>
      </c>
      <c r="I811" vm="6514">
        <f ca="1"/>
        <v>134.13999999999999</v>
      </c>
      <c r="J811" vm="6511">
        <f ca="1"/>
        <v>45342</v>
      </c>
      <c r="K811" vm="6499">
        <f ca="1"/>
        <v>45.78</v>
      </c>
      <c r="L811" vm="6511">
        <f ca="1"/>
        <v>45342</v>
      </c>
      <c r="M811" vm="6515">
        <f ca="1"/>
        <v>243.4</v>
      </c>
      <c r="N811" vm="6511">
        <f ca="1"/>
        <v>45342</v>
      </c>
      <c r="O811" vm="6516">
        <f ca="1"/>
        <v>59.48</v>
      </c>
      <c r="P811" vm="6511">
        <f ca="1"/>
        <v>45342</v>
      </c>
      <c r="Q811" vm="6517">
        <f ca="1"/>
        <v>70.498000000000005</v>
      </c>
      <c r="R811" s="29">
        <f t="shared" ca="1" si="103"/>
        <v>-3.143097559768306E-3</v>
      </c>
      <c r="S811" s="30">
        <f t="shared" ca="1" si="104"/>
        <v>-3.5356511490865481E-3</v>
      </c>
      <c r="T811" s="30">
        <f t="shared" ca="1" si="105"/>
        <v>-1.224152785755322E-2</v>
      </c>
      <c r="U811" s="30">
        <f t="shared" ca="1" si="106"/>
        <v>-5.1913378819342703E-3</v>
      </c>
      <c r="V811" s="30">
        <f t="shared" ca="1" si="107"/>
        <v>-4.7826086956521494E-3</v>
      </c>
      <c r="W811" s="30">
        <f t="shared" ca="1" si="110"/>
        <v>-1.1573604060913683E-2</v>
      </c>
      <c r="X811" s="30">
        <f t="shared" ca="1" si="108"/>
        <v>3.2638888888888808E-2</v>
      </c>
      <c r="Y811" s="31">
        <f t="shared" ca="1" si="109"/>
        <v>7.7477271427754809E-3</v>
      </c>
    </row>
    <row r="812" spans="2:25" x14ac:dyDescent="0.45">
      <c r="B812" vm="6518">
        <f ca="1"/>
        <v>45343</v>
      </c>
      <c r="C812" vm="6519">
        <f ca="1"/>
        <v>402.18</v>
      </c>
      <c r="D812" vm="6518">
        <f ca="1"/>
        <v>45343</v>
      </c>
      <c r="E812" vm="466">
        <f ca="1"/>
        <v>17</v>
      </c>
      <c r="F812" vm="6518">
        <f ca="1"/>
        <v>45343</v>
      </c>
      <c r="G812" vm="6443">
        <f ca="1"/>
        <v>276.76</v>
      </c>
      <c r="H812" vm="6518">
        <f ca="1"/>
        <v>45343</v>
      </c>
      <c r="I812" vm="6520">
        <f ca="1"/>
        <v>135.33000000000001</v>
      </c>
      <c r="J812" vm="6518">
        <f ca="1"/>
        <v>45343</v>
      </c>
      <c r="K812" vm="6521">
        <f ca="1"/>
        <v>46.17</v>
      </c>
      <c r="L812" vm="6518">
        <f ca="1"/>
        <v>45343</v>
      </c>
      <c r="M812" vm="6522">
        <f ca="1"/>
        <v>245.09</v>
      </c>
      <c r="N812" vm="6518">
        <f ca="1"/>
        <v>45343</v>
      </c>
      <c r="O812" vm="6523">
        <f ca="1"/>
        <v>58.96</v>
      </c>
      <c r="P812" vm="6518">
        <f ca="1"/>
        <v>45343</v>
      </c>
      <c r="Q812" vm="6524">
        <f ca="1"/>
        <v>67.28</v>
      </c>
      <c r="R812" s="29">
        <f t="shared" ca="1" si="103"/>
        <v>-1.5144368032970373E-3</v>
      </c>
      <c r="S812" s="30">
        <f t="shared" ca="1" si="104"/>
        <v>5.3222945002956747E-3</v>
      </c>
      <c r="T812" s="30">
        <f t="shared" ca="1" si="105"/>
        <v>5.8513538070144059E-3</v>
      </c>
      <c r="U812" s="30">
        <f t="shared" ca="1" si="106"/>
        <v>8.871328462800256E-3</v>
      </c>
      <c r="V812" s="30">
        <f t="shared" ca="1" si="107"/>
        <v>8.5190039318479814E-3</v>
      </c>
      <c r="W812" s="30">
        <f t="shared" ca="1" si="110"/>
        <v>6.9433032046014699E-3</v>
      </c>
      <c r="X812" s="30">
        <f t="shared" ca="1" si="108"/>
        <v>-8.7424344317416948E-3</v>
      </c>
      <c r="Y812" s="31">
        <f t="shared" ca="1" si="109"/>
        <v>-4.5646685012340822E-2</v>
      </c>
    </row>
    <row r="813" spans="2:25" x14ac:dyDescent="0.45">
      <c r="B813" vm="6525">
        <f ca="1"/>
        <v>45344</v>
      </c>
      <c r="C813" vm="6526">
        <f ca="1"/>
        <v>411.65</v>
      </c>
      <c r="D813" vm="6525">
        <f ca="1"/>
        <v>45344</v>
      </c>
      <c r="E813" vm="4088">
        <f ca="1"/>
        <v>16.59</v>
      </c>
      <c r="F813" vm="6525">
        <f ca="1"/>
        <v>45344</v>
      </c>
      <c r="G813" vm="6527">
        <f ca="1"/>
        <v>283.75</v>
      </c>
      <c r="H813" vm="6525">
        <f ca="1"/>
        <v>45344</v>
      </c>
      <c r="I813" vm="6528">
        <f ca="1"/>
        <v>132.02000000000001</v>
      </c>
      <c r="J813" vm="6525">
        <f ca="1"/>
        <v>45344</v>
      </c>
      <c r="K813" vm="6529">
        <f ca="1"/>
        <v>46.52</v>
      </c>
      <c r="L813" vm="6525">
        <f ca="1"/>
        <v>45344</v>
      </c>
      <c r="M813" vm="1337">
        <f ca="1"/>
        <v>248.12</v>
      </c>
      <c r="N813" vm="6525">
        <f ca="1"/>
        <v>45344</v>
      </c>
      <c r="O813" vm="1783">
        <f ca="1"/>
        <v>57.84</v>
      </c>
      <c r="P813" vm="6525">
        <f ca="1"/>
        <v>45344</v>
      </c>
      <c r="Q813" vm="6530">
        <f ca="1"/>
        <v>71.314999999999998</v>
      </c>
      <c r="R813" s="29">
        <f t="shared" ca="1" si="103"/>
        <v>2.3546670644984759E-2</v>
      </c>
      <c r="S813" s="30">
        <f t="shared" ca="1" si="104"/>
        <v>-2.4117647058823539E-2</v>
      </c>
      <c r="T813" s="30">
        <f t="shared" ca="1" si="105"/>
        <v>2.5256539962422348E-2</v>
      </c>
      <c r="U813" s="30">
        <f t="shared" ca="1" si="106"/>
        <v>-2.4458730510603724E-2</v>
      </c>
      <c r="V813" s="30">
        <f t="shared" ca="1" si="107"/>
        <v>7.5806800953000086E-3</v>
      </c>
      <c r="W813" s="30">
        <f t="shared" ca="1" si="110"/>
        <v>1.2362805500020405E-2</v>
      </c>
      <c r="X813" s="30">
        <f t="shared" ca="1" si="108"/>
        <v>-1.8995929443690593E-2</v>
      </c>
      <c r="Y813" s="31">
        <f t="shared" ca="1" si="109"/>
        <v>5.9973246135552861E-2</v>
      </c>
    </row>
    <row r="814" spans="2:25" x14ac:dyDescent="0.45">
      <c r="B814" vm="6531">
        <f ca="1"/>
        <v>45345</v>
      </c>
      <c r="C814" vm="6532">
        <f ca="1"/>
        <v>410.34</v>
      </c>
      <c r="D814" vm="6531">
        <f ca="1"/>
        <v>45345</v>
      </c>
      <c r="E814" vm="6356">
        <f ca="1"/>
        <v>16.8</v>
      </c>
      <c r="F814" vm="6531">
        <f ca="1"/>
        <v>45345</v>
      </c>
      <c r="G814" vm="6533">
        <f ca="1"/>
        <v>283.60000000000002</v>
      </c>
      <c r="H814" vm="6531">
        <f ca="1"/>
        <v>45345</v>
      </c>
      <c r="I814" vm="6534">
        <f ca="1"/>
        <v>132.03</v>
      </c>
      <c r="J814" vm="6531">
        <f ca="1"/>
        <v>45345</v>
      </c>
      <c r="K814" vm="6535">
        <f ca="1"/>
        <v>47.26</v>
      </c>
      <c r="L814" vm="6531">
        <f ca="1"/>
        <v>45345</v>
      </c>
      <c r="M814" vm="6536">
        <f ca="1"/>
        <v>256.10000000000002</v>
      </c>
      <c r="N814" vm="6531">
        <f ca="1"/>
        <v>45345</v>
      </c>
      <c r="O814" vm="6537">
        <f ca="1"/>
        <v>55.72</v>
      </c>
      <c r="P814" vm="6531">
        <f ca="1"/>
        <v>45345</v>
      </c>
      <c r="Q814" vm="6538">
        <f ca="1"/>
        <v>68.744</v>
      </c>
      <c r="R814" s="29">
        <f t="shared" ca="1" si="103"/>
        <v>-3.1823150734847623E-3</v>
      </c>
      <c r="S814" s="30">
        <f t="shared" ca="1" si="104"/>
        <v>1.2658227848101318E-2</v>
      </c>
      <c r="T814" s="30">
        <f t="shared" ca="1" si="105"/>
        <v>-5.2863436123340001E-4</v>
      </c>
      <c r="U814" s="30">
        <f t="shared" ca="1" si="106"/>
        <v>7.5746099075828694E-5</v>
      </c>
      <c r="V814" s="30">
        <f t="shared" ca="1" si="107"/>
        <v>1.590713671539112E-2</v>
      </c>
      <c r="W814" s="30">
        <f t="shared" ca="1" si="110"/>
        <v>3.2161857165887549E-2</v>
      </c>
      <c r="X814" s="30">
        <f t="shared" ca="1" si="108"/>
        <v>-3.6652835408022208E-2</v>
      </c>
      <c r="Y814" s="31">
        <f t="shared" ca="1" si="109"/>
        <v>-3.6051321601346116E-2</v>
      </c>
    </row>
    <row r="815" spans="2:25" x14ac:dyDescent="0.45">
      <c r="B815" vm="6539">
        <f ca="1"/>
        <v>45348</v>
      </c>
      <c r="C815" vm="6540">
        <f ca="1"/>
        <v>407.54</v>
      </c>
      <c r="D815" vm="6539">
        <f ca="1"/>
        <v>45348</v>
      </c>
      <c r="E815" vm="6541">
        <f ca="1"/>
        <v>16.600000000000001</v>
      </c>
      <c r="F815" vm="6539">
        <f ca="1"/>
        <v>45348</v>
      </c>
      <c r="G815" vm="6542">
        <f ca="1"/>
        <v>284.14999999999998</v>
      </c>
      <c r="H815" vm="6539">
        <f ca="1"/>
        <v>45348</v>
      </c>
      <c r="I815" vm="6543">
        <f ca="1"/>
        <v>131.49</v>
      </c>
      <c r="J815" vm="6539">
        <f ca="1"/>
        <v>45348</v>
      </c>
      <c r="K815" vm="6544">
        <f ca="1"/>
        <v>47.65</v>
      </c>
      <c r="L815" vm="6539">
        <f ca="1"/>
        <v>45348</v>
      </c>
      <c r="M815" vm="6545">
        <f ca="1"/>
        <v>254.99</v>
      </c>
      <c r="N815" vm="6539">
        <f ca="1"/>
        <v>45348</v>
      </c>
      <c r="O815" vm="6546">
        <f ca="1"/>
        <v>55.16</v>
      </c>
      <c r="P815" vm="6539">
        <f ca="1"/>
        <v>45348</v>
      </c>
      <c r="Q815" vm="6547">
        <f ca="1"/>
        <v>79.647999999999996</v>
      </c>
      <c r="R815" s="29">
        <f t="shared" ca="1" si="103"/>
        <v>-6.8236096895256488E-3</v>
      </c>
      <c r="S815" s="30">
        <f t="shared" ca="1" si="104"/>
        <v>-1.1904761904761862E-2</v>
      </c>
      <c r="T815" s="30">
        <f t="shared" ca="1" si="105"/>
        <v>1.9393511988714898E-3</v>
      </c>
      <c r="U815" s="30">
        <f t="shared" ca="1" si="106"/>
        <v>-4.0899795501021892E-3</v>
      </c>
      <c r="V815" s="30">
        <f t="shared" ca="1" si="107"/>
        <v>8.2522217520101682E-3</v>
      </c>
      <c r="W815" s="30">
        <f t="shared" ca="1" si="110"/>
        <v>-4.3342444357673312E-3</v>
      </c>
      <c r="X815" s="30">
        <f t="shared" ca="1" si="108"/>
        <v>-1.0050251256281449E-2</v>
      </c>
      <c r="Y815" s="31">
        <f t="shared" ca="1" si="109"/>
        <v>0.15861747934365175</v>
      </c>
    </row>
    <row r="816" spans="2:25" x14ac:dyDescent="0.45">
      <c r="B816" vm="6548">
        <f ca="1"/>
        <v>45349</v>
      </c>
      <c r="C816" vm="6549">
        <f ca="1"/>
        <v>407.48</v>
      </c>
      <c r="D816" vm="6548">
        <f ca="1"/>
        <v>45349</v>
      </c>
      <c r="E816" vm="3742">
        <f ca="1"/>
        <v>16.829999999999998</v>
      </c>
      <c r="F816" vm="6548">
        <f ca="1"/>
        <v>45349</v>
      </c>
      <c r="G816" vm="6550">
        <f ca="1"/>
        <v>283.17</v>
      </c>
      <c r="H816" vm="6548">
        <f ca="1"/>
        <v>45349</v>
      </c>
      <c r="I816" vm="6357">
        <f ca="1"/>
        <v>132.55000000000001</v>
      </c>
      <c r="J816" vm="6548">
        <f ca="1"/>
        <v>45349</v>
      </c>
      <c r="K816" vm="6551">
        <f ca="1"/>
        <v>47.38</v>
      </c>
      <c r="L816" vm="6548">
        <f ca="1"/>
        <v>45349</v>
      </c>
      <c r="M816" vm="6552">
        <f ca="1"/>
        <v>253.02</v>
      </c>
      <c r="N816" vm="6548">
        <f ca="1"/>
        <v>45349</v>
      </c>
      <c r="O816" vm="6553">
        <f ca="1"/>
        <v>54.12</v>
      </c>
      <c r="P816" vm="6548">
        <f ca="1"/>
        <v>45349</v>
      </c>
      <c r="Q816" vm="6554">
        <f ca="1"/>
        <v>87.18</v>
      </c>
      <c r="R816" s="29">
        <f t="shared" ca="1" si="103"/>
        <v>-1.4722481228836989E-4</v>
      </c>
      <c r="S816" s="30">
        <f t="shared" ca="1" si="104"/>
        <v>1.3855421686746798E-2</v>
      </c>
      <c r="T816" s="30">
        <f t="shared" ca="1" si="105"/>
        <v>-3.4488826324123225E-3</v>
      </c>
      <c r="U816" s="30">
        <f t="shared" ca="1" si="106"/>
        <v>8.0614495398889825E-3</v>
      </c>
      <c r="V816" s="30">
        <f t="shared" ca="1" si="107"/>
        <v>-5.6663168940188045E-3</v>
      </c>
      <c r="W816" s="30">
        <f t="shared" ca="1" si="110"/>
        <v>-7.7257931683595389E-3</v>
      </c>
      <c r="X816" s="30">
        <f t="shared" ca="1" si="108"/>
        <v>-1.8854242204495997E-2</v>
      </c>
      <c r="Y816" s="31">
        <f t="shared" ca="1" si="109"/>
        <v>9.4566090799518013E-2</v>
      </c>
    </row>
    <row r="817" spans="2:25" x14ac:dyDescent="0.45">
      <c r="B817" vm="6555">
        <f ca="1"/>
        <v>45350</v>
      </c>
      <c r="C817" vm="6556">
        <f ca="1"/>
        <v>407.72</v>
      </c>
      <c r="D817" vm="6555">
        <f ca="1"/>
        <v>45350</v>
      </c>
      <c r="E817" vm="5000">
        <f ca="1"/>
        <v>16.96</v>
      </c>
      <c r="F817" vm="6555">
        <f ca="1"/>
        <v>45350</v>
      </c>
      <c r="G817" vm="6557">
        <f ca="1"/>
        <v>285.63</v>
      </c>
      <c r="H817" vm="6555">
        <f ca="1"/>
        <v>45350</v>
      </c>
      <c r="I817" vm="4737">
        <f ca="1"/>
        <v>137.01</v>
      </c>
      <c r="J817" vm="6555">
        <f ca="1"/>
        <v>45350</v>
      </c>
      <c r="K817" vm="6558">
        <f ca="1"/>
        <v>47.51</v>
      </c>
      <c r="L817" vm="6555">
        <f ca="1"/>
        <v>45350</v>
      </c>
      <c r="M817" vm="6559">
        <f ca="1"/>
        <v>252.25</v>
      </c>
      <c r="N817" vm="6555">
        <f ca="1"/>
        <v>45350</v>
      </c>
      <c r="O817" vm="6560">
        <f ca="1"/>
        <v>55</v>
      </c>
      <c r="P817" vm="6555">
        <f ca="1"/>
        <v>45350</v>
      </c>
      <c r="Q817" vm="6561">
        <f ca="1"/>
        <v>96.295000000000002</v>
      </c>
      <c r="R817" s="29">
        <f t="shared" ca="1" si="103"/>
        <v>5.8898596250124937E-4</v>
      </c>
      <c r="S817" s="30">
        <f t="shared" ca="1" si="104"/>
        <v>7.7243018419490533E-3</v>
      </c>
      <c r="T817" s="30">
        <f t="shared" ca="1" si="105"/>
        <v>8.6873609492530268E-3</v>
      </c>
      <c r="U817" s="30">
        <f t="shared" ca="1" si="106"/>
        <v>3.3647680120709011E-2</v>
      </c>
      <c r="V817" s="30">
        <f t="shared" ca="1" si="107"/>
        <v>2.7437737441957672E-3</v>
      </c>
      <c r="W817" s="30">
        <f t="shared" ca="1" si="110"/>
        <v>-3.0432376887202994E-3</v>
      </c>
      <c r="X817" s="30">
        <f t="shared" ca="1" si="108"/>
        <v>1.6260162601626063E-2</v>
      </c>
      <c r="Y817" s="31">
        <f t="shared" ca="1" si="109"/>
        <v>0.10455379674237204</v>
      </c>
    </row>
    <row r="818" spans="2:25" x14ac:dyDescent="0.45">
      <c r="B818" vm="6562">
        <f ca="1"/>
        <v>45351</v>
      </c>
      <c r="C818" vm="6563">
        <f ca="1"/>
        <v>413.64</v>
      </c>
      <c r="D818" vm="6562">
        <f ca="1"/>
        <v>45351</v>
      </c>
      <c r="E818" vm="6564">
        <f ca="1"/>
        <v>16.93</v>
      </c>
      <c r="F818" vm="6562">
        <f ca="1"/>
        <v>45351</v>
      </c>
      <c r="G818" vm="6565">
        <f ca="1"/>
        <v>282.64</v>
      </c>
      <c r="H818" vm="6562">
        <f ca="1"/>
        <v>45351</v>
      </c>
      <c r="I818" vm="6566">
        <f ca="1"/>
        <v>137.36000000000001</v>
      </c>
      <c r="J818" vm="6562">
        <f ca="1"/>
        <v>45351</v>
      </c>
      <c r="K818" vm="6567">
        <f ca="1"/>
        <v>47.34</v>
      </c>
      <c r="L818" vm="6562">
        <f ca="1"/>
        <v>45351</v>
      </c>
      <c r="M818" vm="6568">
        <f ca="1"/>
        <v>256.41000000000003</v>
      </c>
      <c r="N818" vm="6562">
        <f ca="1"/>
        <v>45351</v>
      </c>
      <c r="O818" vm="6569">
        <f ca="1"/>
        <v>54.24</v>
      </c>
      <c r="P818" vm="6562">
        <f ca="1"/>
        <v>45351</v>
      </c>
      <c r="Q818" vm="6570">
        <f ca="1"/>
        <v>102.28400000000001</v>
      </c>
      <c r="R818" s="29">
        <f t="shared" ca="1" si="103"/>
        <v>1.4519768468556751E-2</v>
      </c>
      <c r="S818" s="30">
        <f t="shared" ca="1" si="104"/>
        <v>-1.7688679245283689E-3</v>
      </c>
      <c r="T818" s="30">
        <f t="shared" ca="1" si="105"/>
        <v>-1.0468088085985398E-2</v>
      </c>
      <c r="U818" s="30">
        <f t="shared" ca="1" si="106"/>
        <v>2.5545580614555344E-3</v>
      </c>
      <c r="V818" s="30">
        <f t="shared" ca="1" si="107"/>
        <v>-3.5781940644073799E-3</v>
      </c>
      <c r="W818" s="30">
        <f t="shared" ca="1" si="110"/>
        <v>1.6491575817641328E-2</v>
      </c>
      <c r="X818" s="30">
        <f t="shared" ca="1" si="108"/>
        <v>-1.3818181818181782E-2</v>
      </c>
      <c r="Y818" s="31">
        <f t="shared" ca="1" si="109"/>
        <v>6.2194298769406554E-2</v>
      </c>
    </row>
    <row r="819" spans="2:25" x14ac:dyDescent="0.45">
      <c r="B819" vm="6571">
        <f ca="1"/>
        <v>45352</v>
      </c>
      <c r="C819" vm="6572">
        <f ca="1"/>
        <v>415.5</v>
      </c>
      <c r="D819" vm="6571">
        <f ca="1"/>
        <v>45352</v>
      </c>
      <c r="E819" vm="6573">
        <f ca="1"/>
        <v>16.98</v>
      </c>
      <c r="F819" vm="6571">
        <f ca="1"/>
        <v>45352</v>
      </c>
      <c r="G819" vm="6574">
        <f ca="1"/>
        <v>283.16000000000003</v>
      </c>
      <c r="H819" vm="6571">
        <f ca="1"/>
        <v>45352</v>
      </c>
      <c r="I819" vm="6575">
        <f ca="1"/>
        <v>139.06</v>
      </c>
      <c r="J819" vm="6571">
        <f ca="1"/>
        <v>45352</v>
      </c>
      <c r="K819" vm="6323">
        <f ca="1"/>
        <v>47.4</v>
      </c>
      <c r="L819" vm="6571">
        <f ca="1"/>
        <v>45352</v>
      </c>
      <c r="M819" vm="6576">
        <f ca="1"/>
        <v>263.75</v>
      </c>
      <c r="N819" vm="6571">
        <f ca="1"/>
        <v>45352</v>
      </c>
      <c r="O819" vm="6577">
        <f ca="1"/>
        <v>54.4</v>
      </c>
      <c r="P819" vm="6571">
        <f ca="1"/>
        <v>45352</v>
      </c>
      <c r="Q819" vm="6578">
        <f ca="1"/>
        <v>107.93899999999999</v>
      </c>
      <c r="R819" s="29">
        <f t="shared" ca="1" si="103"/>
        <v>4.4966637655933029E-3</v>
      </c>
      <c r="S819" s="30">
        <f t="shared" ca="1" si="104"/>
        <v>2.9533372711164035E-3</v>
      </c>
      <c r="T819" s="30">
        <f t="shared" ca="1" si="105"/>
        <v>1.8397962071894944E-3</v>
      </c>
      <c r="U819" s="30">
        <f t="shared" ca="1" si="106"/>
        <v>1.2376237623762292E-2</v>
      </c>
      <c r="V819" s="30">
        <f t="shared" ca="1" si="107"/>
        <v>1.2674271229403287E-3</v>
      </c>
      <c r="W819" s="30">
        <f t="shared" ca="1" si="110"/>
        <v>2.8626028626028525E-2</v>
      </c>
      <c r="X819" s="30">
        <f t="shared" ca="1" si="108"/>
        <v>2.9498525073745683E-3</v>
      </c>
      <c r="Y819" s="31">
        <f t="shared" ca="1" si="109"/>
        <v>5.5287239450940384E-2</v>
      </c>
    </row>
    <row r="820" spans="2:25" x14ac:dyDescent="0.45">
      <c r="B820" vm="6579">
        <f ca="1"/>
        <v>45355</v>
      </c>
      <c r="C820" vm="6580">
        <f ca="1"/>
        <v>414.92</v>
      </c>
      <c r="D820" vm="6579">
        <f ca="1"/>
        <v>45355</v>
      </c>
      <c r="E820" vm="6356">
        <f ca="1"/>
        <v>16.8</v>
      </c>
      <c r="F820" vm="6579">
        <f ca="1"/>
        <v>45355</v>
      </c>
      <c r="G820" vm="6581">
        <f ca="1"/>
        <v>280.52999999999997</v>
      </c>
      <c r="H820" vm="6579">
        <f ca="1"/>
        <v>45355</v>
      </c>
      <c r="I820" vm="6582">
        <f ca="1"/>
        <v>142.86000000000001</v>
      </c>
      <c r="J820" vm="6579">
        <f ca="1"/>
        <v>45355</v>
      </c>
      <c r="K820" vm="6583">
        <f ca="1"/>
        <v>47.69</v>
      </c>
      <c r="L820" vm="6579">
        <f ca="1"/>
        <v>45355</v>
      </c>
      <c r="M820" vm="6584">
        <f ca="1"/>
        <v>270</v>
      </c>
      <c r="N820" vm="6579">
        <f ca="1"/>
        <v>45355</v>
      </c>
      <c r="O820" vm="6585">
        <f ca="1"/>
        <v>54.28</v>
      </c>
      <c r="P820" vm="6579">
        <f ca="1"/>
        <v>45355</v>
      </c>
      <c r="Q820" vm="6586">
        <f ca="1"/>
        <v>133.40100000000001</v>
      </c>
      <c r="R820" s="29">
        <f t="shared" ca="1" si="103"/>
        <v>-1.3959085439229461E-3</v>
      </c>
      <c r="S820" s="30">
        <f t="shared" ca="1" si="104"/>
        <v>-1.0600706713780902E-2</v>
      </c>
      <c r="T820" s="30">
        <f t="shared" ca="1" si="105"/>
        <v>-9.2880350331969626E-3</v>
      </c>
      <c r="U820" s="30">
        <f t="shared" ca="1" si="106"/>
        <v>2.7326333956565592E-2</v>
      </c>
      <c r="V820" s="30">
        <f t="shared" ca="1" si="107"/>
        <v>6.1181434599155938E-3</v>
      </c>
      <c r="W820" s="30">
        <f t="shared" ca="1" si="110"/>
        <v>2.3696682464454975E-2</v>
      </c>
      <c r="X820" s="30">
        <f t="shared" ca="1" si="108"/>
        <v>-2.2058823529411296E-3</v>
      </c>
      <c r="Y820" s="31">
        <f t="shared" ca="1" si="109"/>
        <v>0.2358924948350459</v>
      </c>
    </row>
    <row r="821" spans="2:25" x14ac:dyDescent="0.45">
      <c r="B821" vm="6587">
        <f ca="1"/>
        <v>45356</v>
      </c>
      <c r="C821" vm="6588">
        <f ca="1"/>
        <v>402.65</v>
      </c>
      <c r="D821" vm="6587">
        <f ca="1"/>
        <v>45356</v>
      </c>
      <c r="E821" vm="6589">
        <f ca="1"/>
        <v>17.170000000000002</v>
      </c>
      <c r="F821" vm="6587">
        <f ca="1"/>
        <v>45356</v>
      </c>
      <c r="G821" vm="6590">
        <f ca="1"/>
        <v>279.38</v>
      </c>
      <c r="H821" vm="6587">
        <f ca="1"/>
        <v>45356</v>
      </c>
      <c r="I821" vm="6591">
        <f ca="1"/>
        <v>144.35</v>
      </c>
      <c r="J821" vm="6587">
        <f ca="1"/>
        <v>45356</v>
      </c>
      <c r="K821" vm="6592">
        <f ca="1"/>
        <v>47.76</v>
      </c>
      <c r="L821" vm="6587">
        <f ca="1"/>
        <v>45356</v>
      </c>
      <c r="M821" vm="6593">
        <f ca="1"/>
        <v>267</v>
      </c>
      <c r="N821" vm="6587">
        <f ca="1"/>
        <v>45356</v>
      </c>
      <c r="O821" vm="6594">
        <f ca="1"/>
        <v>56.52</v>
      </c>
      <c r="P821" vm="6587">
        <f ca="1"/>
        <v>45356</v>
      </c>
      <c r="Q821" vm="6595">
        <f ca="1"/>
        <v>105.101</v>
      </c>
      <c r="R821" s="29">
        <f t="shared" ca="1" si="103"/>
        <v>-2.95719656801312E-2</v>
      </c>
      <c r="S821" s="30">
        <f t="shared" ca="1" si="104"/>
        <v>2.2023809523809581E-2</v>
      </c>
      <c r="T821" s="30">
        <f t="shared" ca="1" si="105"/>
        <v>-4.099383310162825E-3</v>
      </c>
      <c r="U821" s="30">
        <f t="shared" ca="1" si="106"/>
        <v>1.042979140417178E-2</v>
      </c>
      <c r="V821" s="30">
        <f t="shared" ca="1" si="107"/>
        <v>1.4678129586915556E-3</v>
      </c>
      <c r="W821" s="30">
        <f t="shared" ca="1" si="110"/>
        <v>-1.1111111111111112E-2</v>
      </c>
      <c r="X821" s="30">
        <f t="shared" ca="1" si="108"/>
        <v>4.1267501842299228E-2</v>
      </c>
      <c r="Y821" s="31">
        <f t="shared" ca="1" si="109"/>
        <v>-0.21214233776358504</v>
      </c>
    </row>
    <row r="822" spans="2:25" x14ac:dyDescent="0.45">
      <c r="B822" vm="6596">
        <f ca="1"/>
        <v>45357</v>
      </c>
      <c r="C822" vm="6597">
        <f ca="1"/>
        <v>402.09</v>
      </c>
      <c r="D822" vm="6596">
        <f ca="1"/>
        <v>45357</v>
      </c>
      <c r="E822" vm="6381">
        <f ca="1"/>
        <v>17.18</v>
      </c>
      <c r="F822" vm="6596">
        <f ca="1"/>
        <v>45357</v>
      </c>
      <c r="G822" vm="6598">
        <f ca="1"/>
        <v>280.43</v>
      </c>
      <c r="H822" vm="6596">
        <f ca="1"/>
        <v>45357</v>
      </c>
      <c r="I822" vm="6599">
        <f ca="1"/>
        <v>146.22</v>
      </c>
      <c r="J822" vm="6596">
        <f ca="1"/>
        <v>45357</v>
      </c>
      <c r="K822" vm="6600">
        <f ca="1"/>
        <v>47.2</v>
      </c>
      <c r="L822" vm="6596">
        <f ca="1"/>
        <v>45357</v>
      </c>
      <c r="M822" vm="6601">
        <f ca="1"/>
        <v>268.02999999999997</v>
      </c>
      <c r="N822" vm="6596">
        <f ca="1"/>
        <v>45357</v>
      </c>
      <c r="O822" vm="6602">
        <f ca="1"/>
        <v>56.72</v>
      </c>
      <c r="P822" vm="6596">
        <f ca="1"/>
        <v>45357</v>
      </c>
      <c r="Q822" vm="6603">
        <f ca="1"/>
        <v>124.621</v>
      </c>
      <c r="R822" s="29">
        <f t="shared" ca="1" si="103"/>
        <v>-1.390786042468651E-3</v>
      </c>
      <c r="S822" s="30">
        <f t="shared" ca="1" si="104"/>
        <v>5.8241118229458418E-4</v>
      </c>
      <c r="T822" s="30">
        <f t="shared" ca="1" si="105"/>
        <v>3.7583219987114731E-3</v>
      </c>
      <c r="U822" s="30">
        <f t="shared" ca="1" si="106"/>
        <v>1.2954624177346758E-2</v>
      </c>
      <c r="V822" s="30">
        <f t="shared" ca="1" si="107"/>
        <v>-1.1725293132328207E-2</v>
      </c>
      <c r="W822" s="30">
        <f t="shared" ca="1" si="110"/>
        <v>3.8576779026216206E-3</v>
      </c>
      <c r="X822" s="30">
        <f t="shared" ca="1" si="108"/>
        <v>3.5385704175512336E-3</v>
      </c>
      <c r="Y822" s="31">
        <f t="shared" ca="1" si="109"/>
        <v>0.18572611107410963</v>
      </c>
    </row>
    <row r="823" spans="2:25" x14ac:dyDescent="0.45">
      <c r="B823" vm="6604">
        <f ca="1"/>
        <v>45358</v>
      </c>
      <c r="C823" vm="6605">
        <f ca="1"/>
        <v>409.14</v>
      </c>
      <c r="D823" vm="6604">
        <f ca="1"/>
        <v>45358</v>
      </c>
      <c r="E823" vm="3370">
        <f ca="1"/>
        <v>17.05</v>
      </c>
      <c r="F823" vm="6604">
        <f ca="1"/>
        <v>45358</v>
      </c>
      <c r="G823" vm="6606">
        <f ca="1"/>
        <v>278.26</v>
      </c>
      <c r="H823" vm="6604">
        <f ca="1"/>
        <v>45358</v>
      </c>
      <c r="I823" vm="6607">
        <f ca="1"/>
        <v>149.31</v>
      </c>
      <c r="J823" vm="6604">
        <f ca="1"/>
        <v>45358</v>
      </c>
      <c r="K823" vm="6608">
        <f ca="1"/>
        <v>47.57</v>
      </c>
      <c r="L823" vm="6604">
        <f ca="1"/>
        <v>45358</v>
      </c>
      <c r="M823" vm="6609">
        <f ca="1"/>
        <v>270.35000000000002</v>
      </c>
      <c r="N823" vm="6604">
        <f ca="1"/>
        <v>45358</v>
      </c>
      <c r="O823" vm="6610">
        <f ca="1"/>
        <v>56.44</v>
      </c>
      <c r="P823" vm="6604">
        <f ca="1"/>
        <v>45358</v>
      </c>
      <c r="Q823" vm="6611">
        <f ca="1"/>
        <v>130.00200000000001</v>
      </c>
      <c r="R823" s="29">
        <f t="shared" ca="1" si="103"/>
        <v>1.7533388047452091E-2</v>
      </c>
      <c r="S823" s="30">
        <f t="shared" ca="1" si="104"/>
        <v>-7.5669383003491852E-3</v>
      </c>
      <c r="T823" s="30">
        <f t="shared" ca="1" si="105"/>
        <v>-7.7381164640017682E-3</v>
      </c>
      <c r="U823" s="30">
        <f t="shared" ca="1" si="106"/>
        <v>2.1132540008206836E-2</v>
      </c>
      <c r="V823" s="30">
        <f t="shared" ca="1" si="107"/>
        <v>7.8389830508474034E-3</v>
      </c>
      <c r="W823" s="30">
        <f t="shared" ca="1" si="110"/>
        <v>8.6557474909526935E-3</v>
      </c>
      <c r="X823" s="30">
        <f t="shared" ca="1" si="108"/>
        <v>-4.9365303244005843E-3</v>
      </c>
      <c r="Y823" s="31">
        <f t="shared" ca="1" si="109"/>
        <v>4.3178918480834008E-2</v>
      </c>
    </row>
    <row r="824" spans="2:25" x14ac:dyDescent="0.45">
      <c r="B824" vm="6612">
        <f ca="1"/>
        <v>45359</v>
      </c>
      <c r="C824" vm="6613">
        <f ca="1"/>
        <v>406.22</v>
      </c>
      <c r="D824" vm="6612">
        <f ca="1"/>
        <v>45359</v>
      </c>
      <c r="E824" vm="4918">
        <f ca="1"/>
        <v>17.2</v>
      </c>
      <c r="F824" vm="6612">
        <f ca="1"/>
        <v>45359</v>
      </c>
      <c r="G824" vm="6614">
        <f ca="1"/>
        <v>280.04000000000002</v>
      </c>
      <c r="H824" vm="6612">
        <f ca="1"/>
        <v>45359</v>
      </c>
      <c r="I824" vm="6615">
        <f ca="1"/>
        <v>147.87</v>
      </c>
      <c r="J824" vm="6612">
        <f ca="1"/>
        <v>45359</v>
      </c>
      <c r="K824" vm="6616">
        <f ca="1"/>
        <v>47.44</v>
      </c>
      <c r="L824" vm="6612">
        <f ca="1"/>
        <v>45359</v>
      </c>
      <c r="M824" vm="6617">
        <f ca="1"/>
        <v>259.39999999999998</v>
      </c>
      <c r="N824" vm="6612">
        <f ca="1"/>
        <v>45359</v>
      </c>
      <c r="O824" vm="6618">
        <f ca="1"/>
        <v>57.92</v>
      </c>
      <c r="P824" vm="6612">
        <f ca="1"/>
        <v>45359</v>
      </c>
      <c r="Q824" vm="6619">
        <f ca="1"/>
        <v>142.559</v>
      </c>
      <c r="R824" s="29">
        <f t="shared" ca="1" si="103"/>
        <v>-7.1369213472160121E-3</v>
      </c>
      <c r="S824" s="30">
        <f t="shared" ca="1" si="104"/>
        <v>8.7976539589441974E-3</v>
      </c>
      <c r="T824" s="30">
        <f t="shared" ca="1" si="105"/>
        <v>6.3968949902969514E-3</v>
      </c>
      <c r="U824" s="30">
        <f t="shared" ca="1" si="106"/>
        <v>-9.6443640747438057E-3</v>
      </c>
      <c r="V824" s="30">
        <f t="shared" ca="1" si="107"/>
        <v>-2.7328147992432741E-3</v>
      </c>
      <c r="W824" s="30">
        <f t="shared" ca="1" si="110"/>
        <v>-4.0503051599778232E-2</v>
      </c>
      <c r="X824" s="30">
        <f t="shared" ca="1" si="108"/>
        <v>2.6222537207654217E-2</v>
      </c>
      <c r="Y824" s="31">
        <f t="shared" ca="1" si="109"/>
        <v>9.6590821679666372E-2</v>
      </c>
    </row>
    <row r="825" spans="2:25" x14ac:dyDescent="0.45">
      <c r="B825" vm="6620">
        <f ca="1"/>
        <v>45362</v>
      </c>
      <c r="C825" vm="6621">
        <f ca="1"/>
        <v>404.52</v>
      </c>
      <c r="D825" vm="6620">
        <f ca="1"/>
        <v>45362</v>
      </c>
      <c r="E825" vm="6451">
        <f ca="1"/>
        <v>17.329999999999998</v>
      </c>
      <c r="F825" vm="6620">
        <f ca="1"/>
        <v>45362</v>
      </c>
      <c r="G825" vm="2046">
        <f ca="1"/>
        <v>280.56</v>
      </c>
      <c r="H825" vm="6620">
        <f ca="1"/>
        <v>45362</v>
      </c>
      <c r="I825" vm="6622">
        <f ca="1"/>
        <v>147.29</v>
      </c>
      <c r="J825" vm="6620">
        <f ca="1"/>
        <v>45362</v>
      </c>
      <c r="K825" vm="6623">
        <f ca="1"/>
        <v>47.1</v>
      </c>
      <c r="L825" vm="6620">
        <f ca="1"/>
        <v>45362</v>
      </c>
      <c r="M825" vm="6624">
        <f ca="1"/>
        <v>254.45</v>
      </c>
      <c r="N825" vm="6620">
        <f ca="1"/>
        <v>45362</v>
      </c>
      <c r="O825" vm="6625">
        <f ca="1"/>
        <v>57.32</v>
      </c>
      <c r="P825" vm="6620">
        <f ca="1"/>
        <v>45362</v>
      </c>
      <c r="Q825" vm="6626">
        <f ca="1"/>
        <v>148.423</v>
      </c>
      <c r="R825" s="29">
        <f t="shared" ca="1" si="103"/>
        <v>-4.1849244251884335E-3</v>
      </c>
      <c r="S825" s="30">
        <f t="shared" ca="1" si="104"/>
        <v>7.5581395348836636E-3</v>
      </c>
      <c r="T825" s="30">
        <f t="shared" ca="1" si="105"/>
        <v>1.856877588915804E-3</v>
      </c>
      <c r="U825" s="30">
        <f t="shared" ca="1" si="106"/>
        <v>-3.9223642388585408E-3</v>
      </c>
      <c r="V825" s="30">
        <f t="shared" ca="1" si="107"/>
        <v>-7.1669477234400578E-3</v>
      </c>
      <c r="W825" s="30">
        <f t="shared" ca="1" si="110"/>
        <v>-1.9082498072474901E-2</v>
      </c>
      <c r="X825" s="30">
        <f t="shared" ca="1" si="108"/>
        <v>-1.0359116022099471E-2</v>
      </c>
      <c r="Y825" s="31">
        <f t="shared" ca="1" si="109"/>
        <v>4.113384633730599E-2</v>
      </c>
    </row>
    <row r="826" spans="2:25" x14ac:dyDescent="0.45">
      <c r="B826" vm="6627">
        <f ca="1"/>
        <v>45363</v>
      </c>
      <c r="C826" vm="6628">
        <f ca="1"/>
        <v>415.28</v>
      </c>
      <c r="D826" vm="6627">
        <f ca="1"/>
        <v>45363</v>
      </c>
      <c r="E826" vm="4918">
        <f ca="1"/>
        <v>17.2</v>
      </c>
      <c r="F826" vm="6627">
        <f ca="1"/>
        <v>45363</v>
      </c>
      <c r="G826" vm="6629">
        <f ca="1"/>
        <v>283.92</v>
      </c>
      <c r="H826" vm="6627">
        <f ca="1"/>
        <v>45363</v>
      </c>
      <c r="I826" vm="6630">
        <f ca="1"/>
        <v>147.84</v>
      </c>
      <c r="J826" vm="6627">
        <f ca="1"/>
        <v>45363</v>
      </c>
      <c r="K826" vm="6631">
        <f ca="1"/>
        <v>46.84</v>
      </c>
      <c r="L826" vm="6627">
        <f ca="1"/>
        <v>45363</v>
      </c>
      <c r="M826" vm="3712">
        <f ca="1"/>
        <v>258.08999999999997</v>
      </c>
      <c r="N826" vm="6627">
        <f ca="1"/>
        <v>45363</v>
      </c>
      <c r="O826" vm="6632">
        <f ca="1"/>
        <v>54.52</v>
      </c>
      <c r="P826" vm="6627">
        <f ca="1"/>
        <v>45363</v>
      </c>
      <c r="Q826" vm="6633">
        <f ca="1"/>
        <v>159.33500000000001</v>
      </c>
      <c r="R826" s="29">
        <f t="shared" ca="1" si="103"/>
        <v>2.6599426480767307E-2</v>
      </c>
      <c r="S826" s="30">
        <f t="shared" ca="1" si="104"/>
        <v>-7.5014425851124651E-3</v>
      </c>
      <c r="T826" s="30">
        <f t="shared" ca="1" si="105"/>
        <v>1.1976047904191666E-2</v>
      </c>
      <c r="U826" s="30">
        <f t="shared" ca="1" si="106"/>
        <v>3.734129947722258E-3</v>
      </c>
      <c r="V826" s="30">
        <f t="shared" ca="1" si="107"/>
        <v>-5.5201698513800005E-3</v>
      </c>
      <c r="W826" s="30">
        <f t="shared" ca="1" si="110"/>
        <v>1.4305364511691832E-2</v>
      </c>
      <c r="X826" s="30">
        <f t="shared" ca="1" si="108"/>
        <v>-4.8848569434752215E-2</v>
      </c>
      <c r="Y826" s="31">
        <f t="shared" ca="1" si="109"/>
        <v>7.3519602756985145E-2</v>
      </c>
    </row>
    <row r="827" spans="2:25" x14ac:dyDescent="0.45">
      <c r="B827" vm="6634">
        <f ca="1"/>
        <v>45364</v>
      </c>
      <c r="C827" vm="6635">
        <f ca="1"/>
        <v>415.1</v>
      </c>
      <c r="D827" vm="6634">
        <f ca="1"/>
        <v>45364</v>
      </c>
      <c r="E827" vm="42">
        <f ca="1"/>
        <v>17.190000000000001</v>
      </c>
      <c r="F827" vm="6634">
        <f ca="1"/>
        <v>45364</v>
      </c>
      <c r="G827" vm="6636">
        <f ca="1"/>
        <v>285.14</v>
      </c>
      <c r="H827" vm="6634">
        <f ca="1"/>
        <v>45364</v>
      </c>
      <c r="I827" vm="6637">
        <f ca="1"/>
        <v>147.82</v>
      </c>
      <c r="J827" vm="6634">
        <f ca="1"/>
        <v>45364</v>
      </c>
      <c r="K827" vm="6638">
        <f ca="1"/>
        <v>40.86</v>
      </c>
      <c r="L827" vm="6634">
        <f ca="1"/>
        <v>45364</v>
      </c>
      <c r="M827" vm="6639">
        <f ca="1"/>
        <v>257.26</v>
      </c>
      <c r="N827" vm="6634">
        <f ca="1"/>
        <v>45364</v>
      </c>
      <c r="O827" vm="6569">
        <f ca="1"/>
        <v>54.24</v>
      </c>
      <c r="P827" vm="6634">
        <f ca="1"/>
        <v>45364</v>
      </c>
      <c r="Q827" vm="6640">
        <f ca="1"/>
        <v>176.61500000000001</v>
      </c>
      <c r="R827" s="29">
        <f t="shared" ca="1" si="103"/>
        <v>-4.3344249662866015E-4</v>
      </c>
      <c r="S827" s="30">
        <f t="shared" ca="1" si="104"/>
        <v>-5.8139534883709361E-4</v>
      </c>
      <c r="T827" s="30">
        <f t="shared" ca="1" si="105"/>
        <v>4.2969850662157314E-3</v>
      </c>
      <c r="U827" s="30">
        <f t="shared" ca="1" si="106"/>
        <v>-1.3528138528145448E-4</v>
      </c>
      <c r="V827" s="30">
        <f t="shared" ca="1" si="107"/>
        <v>-0.12766865926558504</v>
      </c>
      <c r="W827" s="30">
        <f t="shared" ca="1" si="110"/>
        <v>-3.2159324266728046E-3</v>
      </c>
      <c r="X827" s="30">
        <f t="shared" ca="1" si="108"/>
        <v>-5.1357300073367777E-3</v>
      </c>
      <c r="Y827" s="31">
        <f t="shared" ca="1" si="109"/>
        <v>0.10845074842313365</v>
      </c>
    </row>
    <row r="828" spans="2:25" x14ac:dyDescent="0.45">
      <c r="B828" vm="6641">
        <f ca="1"/>
        <v>45365</v>
      </c>
      <c r="C828" vm="6642">
        <f ca="1"/>
        <v>425.22</v>
      </c>
      <c r="D828" vm="6641">
        <f ca="1"/>
        <v>45365</v>
      </c>
      <c r="E828" vm="6643">
        <f ca="1"/>
        <v>17.010000000000002</v>
      </c>
      <c r="F828" vm="6641">
        <f ca="1"/>
        <v>45365</v>
      </c>
      <c r="G828" vm="6644">
        <f ca="1"/>
        <v>286.41000000000003</v>
      </c>
      <c r="H828" vm="6641">
        <f ca="1"/>
        <v>45365</v>
      </c>
      <c r="I828" vm="6645">
        <f ca="1"/>
        <v>145.21</v>
      </c>
      <c r="J828" vm="6641">
        <f ca="1"/>
        <v>45365</v>
      </c>
      <c r="K828" vm="6646">
        <f ca="1"/>
        <v>38.26</v>
      </c>
      <c r="L828" vm="6641">
        <f ca="1"/>
        <v>45365</v>
      </c>
      <c r="M828" vm="6647">
        <f ca="1"/>
        <v>257.13</v>
      </c>
      <c r="N828" vm="6641">
        <f ca="1"/>
        <v>45365</v>
      </c>
      <c r="O828" vm="6648">
        <f ca="1"/>
        <v>55.64</v>
      </c>
      <c r="P828" vm="6641">
        <f ca="1"/>
        <v>45365</v>
      </c>
      <c r="Q828" vm="6649">
        <f ca="1"/>
        <v>167.685</v>
      </c>
      <c r="R828" s="29">
        <f t="shared" ca="1" si="103"/>
        <v>2.4379667549987966E-2</v>
      </c>
      <c r="S828" s="30">
        <f t="shared" ca="1" si="104"/>
        <v>-1.0471204188481659E-2</v>
      </c>
      <c r="T828" s="30">
        <f t="shared" ca="1" si="105"/>
        <v>4.4539524444134069E-3</v>
      </c>
      <c r="U828" s="30">
        <f t="shared" ca="1" si="106"/>
        <v>-1.7656609389798305E-2</v>
      </c>
      <c r="V828" s="30">
        <f t="shared" ca="1" si="107"/>
        <v>-6.3631913852178201E-2</v>
      </c>
      <c r="W828" s="30">
        <f t="shared" ca="1" si="110"/>
        <v>-5.0532535178416955E-4</v>
      </c>
      <c r="X828" s="30">
        <f t="shared" ca="1" si="108"/>
        <v>2.5811209439527995E-2</v>
      </c>
      <c r="Y828" s="31">
        <f t="shared" ca="1" si="109"/>
        <v>-5.0561956798686442E-2</v>
      </c>
    </row>
    <row r="829" spans="2:25" x14ac:dyDescent="0.45">
      <c r="B829" vm="6650">
        <f ca="1"/>
        <v>45366</v>
      </c>
      <c r="C829" vm="6651">
        <f ca="1"/>
        <v>416.42</v>
      </c>
      <c r="D829" vm="6650">
        <f ca="1"/>
        <v>45366</v>
      </c>
      <c r="E829" vm="3370">
        <f ca="1"/>
        <v>17.05</v>
      </c>
      <c r="F829" vm="6650">
        <f ca="1"/>
        <v>45366</v>
      </c>
      <c r="G829" vm="6652">
        <f ca="1"/>
        <v>283.04000000000002</v>
      </c>
      <c r="H829" vm="6650">
        <f ca="1"/>
        <v>45366</v>
      </c>
      <c r="I829" vm="6653">
        <f ca="1"/>
        <v>147.47999999999999</v>
      </c>
      <c r="J829" vm="6650">
        <f ca="1"/>
        <v>45366</v>
      </c>
      <c r="K829" vm="6654">
        <f ca="1"/>
        <v>38.85</v>
      </c>
      <c r="L829" vm="6650">
        <f ca="1"/>
        <v>45366</v>
      </c>
      <c r="M829" vm="6655">
        <f ca="1"/>
        <v>254.89</v>
      </c>
      <c r="N829" vm="6650">
        <f ca="1"/>
        <v>45366</v>
      </c>
      <c r="O829" vm="6656">
        <f ca="1"/>
        <v>56.76</v>
      </c>
      <c r="P829" vm="6650">
        <f ca="1"/>
        <v>45366</v>
      </c>
      <c r="Q829" vm="6657">
        <f ca="1"/>
        <v>178.23599999999999</v>
      </c>
      <c r="R829" s="29">
        <f t="shared" ca="1" si="103"/>
        <v>-2.0695169559286984E-2</v>
      </c>
      <c r="S829" s="30">
        <f t="shared" ca="1" si="104"/>
        <v>2.3515579071134124E-3</v>
      </c>
      <c r="T829" s="30">
        <f t="shared" ca="1" si="105"/>
        <v>-1.1766348940330311E-2</v>
      </c>
      <c r="U829" s="30">
        <f t="shared" ca="1" si="106"/>
        <v>1.5632532194752302E-2</v>
      </c>
      <c r="V829" s="30">
        <f t="shared" ca="1" si="107"/>
        <v>1.5420805018295959E-2</v>
      </c>
      <c r="W829" s="30">
        <f t="shared" ca="1" si="110"/>
        <v>-8.7115466884455685E-3</v>
      </c>
      <c r="X829" s="30">
        <f t="shared" ca="1" si="108"/>
        <v>2.0129403306973354E-2</v>
      </c>
      <c r="Y829" s="31">
        <f t="shared" ca="1" si="109"/>
        <v>6.2921549333571802E-2</v>
      </c>
    </row>
    <row r="830" spans="2:25" x14ac:dyDescent="0.45">
      <c r="B830" vm="6658">
        <f ca="1"/>
        <v>45369</v>
      </c>
      <c r="C830" vm="6659">
        <f ca="1"/>
        <v>417.32</v>
      </c>
      <c r="D830" vm="6658">
        <f ca="1"/>
        <v>45369</v>
      </c>
      <c r="E830" vm="6660">
        <f ca="1"/>
        <v>17.3</v>
      </c>
      <c r="F830" vm="6658">
        <f ca="1"/>
        <v>45369</v>
      </c>
      <c r="G830" vm="6661">
        <f ca="1"/>
        <v>285.05</v>
      </c>
      <c r="H830" vm="6658">
        <f ca="1"/>
        <v>45369</v>
      </c>
      <c r="I830" vm="6662">
        <f ca="1"/>
        <v>146.09</v>
      </c>
      <c r="J830" vm="6658">
        <f ca="1"/>
        <v>45369</v>
      </c>
      <c r="K830" vm="6663">
        <f ca="1"/>
        <v>38.869999999999997</v>
      </c>
      <c r="L830" vm="6658">
        <f ca="1"/>
        <v>45369</v>
      </c>
      <c r="M830" vm="4660">
        <f ca="1"/>
        <v>254.15</v>
      </c>
      <c r="N830" vm="6658">
        <f ca="1"/>
        <v>45369</v>
      </c>
      <c r="O830" vm="6664">
        <f ca="1"/>
        <v>55.44</v>
      </c>
      <c r="P830" vm="6658">
        <f ca="1"/>
        <v>45369</v>
      </c>
      <c r="Q830" vm="6665">
        <f ca="1"/>
        <v>150.27600000000001</v>
      </c>
      <c r="R830" s="29">
        <f t="shared" ca="1" si="103"/>
        <v>2.1612794774505963E-3</v>
      </c>
      <c r="S830" s="30">
        <f t="shared" ca="1" si="104"/>
        <v>1.4662756598240468E-2</v>
      </c>
      <c r="T830" s="30">
        <f t="shared" ca="1" si="105"/>
        <v>7.1014697569247833E-3</v>
      </c>
      <c r="U830" s="30">
        <f t="shared" ca="1" si="106"/>
        <v>-9.4250067805803257E-3</v>
      </c>
      <c r="V830" s="30">
        <f t="shared" ca="1" si="107"/>
        <v>5.1480051480041241E-4</v>
      </c>
      <c r="W830" s="30">
        <f t="shared" ca="1" si="110"/>
        <v>-2.903213150770845E-3</v>
      </c>
      <c r="X830" s="30">
        <f t="shared" ca="1" si="108"/>
        <v>-2.3255813953488379E-2</v>
      </c>
      <c r="Y830" s="31">
        <f t="shared" ca="1" si="109"/>
        <v>-0.15687066585874898</v>
      </c>
    </row>
    <row r="831" spans="2:25" x14ac:dyDescent="0.45">
      <c r="B831" vm="6666">
        <f ca="1"/>
        <v>45370</v>
      </c>
      <c r="C831" vm="6667">
        <f ca="1"/>
        <v>421.41</v>
      </c>
      <c r="D831" vm="6666">
        <f ca="1"/>
        <v>45370</v>
      </c>
      <c r="E831" vm="6589">
        <f ca="1"/>
        <v>17.170000000000002</v>
      </c>
      <c r="F831" vm="6666">
        <f ca="1"/>
        <v>45370</v>
      </c>
      <c r="G831" vm="6668">
        <f ca="1"/>
        <v>287.35000000000002</v>
      </c>
      <c r="H831" vm="6666">
        <f ca="1"/>
        <v>45370</v>
      </c>
      <c r="I831" vm="6669">
        <f ca="1"/>
        <v>147.38999999999999</v>
      </c>
      <c r="J831" vm="6666">
        <f ca="1"/>
        <v>45370</v>
      </c>
      <c r="K831" vm="6670">
        <f ca="1"/>
        <v>39.75</v>
      </c>
      <c r="L831" vm="6666">
        <f ca="1"/>
        <v>45370</v>
      </c>
      <c r="M831" vm="6671">
        <f ca="1"/>
        <v>252.76</v>
      </c>
      <c r="N831" vm="6666">
        <f ca="1"/>
        <v>45370</v>
      </c>
      <c r="O831" vm="6672">
        <f ca="1"/>
        <v>53.88</v>
      </c>
      <c r="P831" vm="6666">
        <f ca="1"/>
        <v>45370</v>
      </c>
      <c r="Q831" vm="4974">
        <f ca="1"/>
        <v>141.75</v>
      </c>
      <c r="R831" s="29">
        <f t="shared" ca="1" si="103"/>
        <v>9.8006326080706217E-3</v>
      </c>
      <c r="S831" s="30">
        <f t="shared" ca="1" si="104"/>
        <v>-7.5144508670519656E-3</v>
      </c>
      <c r="T831" s="30">
        <f t="shared" ca="1" si="105"/>
        <v>8.0687598666900947E-3</v>
      </c>
      <c r="U831" s="30">
        <f t="shared" ca="1" si="106"/>
        <v>8.8986241358065769E-3</v>
      </c>
      <c r="V831" s="30">
        <f t="shared" ca="1" si="107"/>
        <v>2.263956779006953E-2</v>
      </c>
      <c r="W831" s="30">
        <f t="shared" ca="1" si="110"/>
        <v>-5.4692110958096197E-3</v>
      </c>
      <c r="X831" s="30">
        <f t="shared" ca="1" si="108"/>
        <v>-2.8138528138528053E-2</v>
      </c>
      <c r="Y831" s="31">
        <f t="shared" ca="1" si="109"/>
        <v>-5.6735606484069376E-2</v>
      </c>
    </row>
    <row r="832" spans="2:25" x14ac:dyDescent="0.45">
      <c r="B832" vm="6673">
        <f ca="1"/>
        <v>45371</v>
      </c>
      <c r="C832" vm="6674">
        <f ca="1"/>
        <v>425.23</v>
      </c>
      <c r="D832" vm="6673">
        <f ca="1"/>
        <v>45371</v>
      </c>
      <c r="E832" vm="6675">
        <f ca="1"/>
        <v>17.21</v>
      </c>
      <c r="F832" vm="6673">
        <f ca="1"/>
        <v>45371</v>
      </c>
      <c r="G832" vm="6676">
        <f ca="1"/>
        <v>289.27999999999997</v>
      </c>
      <c r="H832" vm="6673">
        <f ca="1"/>
        <v>45371</v>
      </c>
      <c r="I832" vm="1222">
        <f ca="1"/>
        <v>147.28</v>
      </c>
      <c r="J832" vm="6673">
        <f ca="1"/>
        <v>45371</v>
      </c>
      <c r="K832" vm="6677">
        <f ca="1"/>
        <v>39.69</v>
      </c>
      <c r="L832" vm="6673">
        <f ca="1"/>
        <v>45371</v>
      </c>
      <c r="M832" vm="6678">
        <f ca="1"/>
        <v>261.72000000000003</v>
      </c>
      <c r="N832" vm="6673">
        <f ca="1"/>
        <v>45371</v>
      </c>
      <c r="O832" vm="6679">
        <f ca="1"/>
        <v>52.76</v>
      </c>
      <c r="P832" vm="6673">
        <f ca="1"/>
        <v>45371</v>
      </c>
      <c r="Q832" vm="6680">
        <f ca="1"/>
        <v>154.65199999999999</v>
      </c>
      <c r="R832" s="29">
        <f t="shared" ca="1" si="103"/>
        <v>9.0648062456989455E-3</v>
      </c>
      <c r="S832" s="30">
        <f t="shared" ca="1" si="104"/>
        <v>2.3296447291787504E-3</v>
      </c>
      <c r="T832" s="30">
        <f t="shared" ca="1" si="105"/>
        <v>6.7165477640506342E-3</v>
      </c>
      <c r="U832" s="30">
        <f t="shared" ca="1" si="106"/>
        <v>-7.4631928896115899E-4</v>
      </c>
      <c r="V832" s="30">
        <f t="shared" ca="1" si="107"/>
        <v>-1.5094339622642081E-3</v>
      </c>
      <c r="W832" s="30">
        <f t="shared" ca="1" si="110"/>
        <v>3.5448646937806763E-2</v>
      </c>
      <c r="X832" s="30">
        <f t="shared" ca="1" si="108"/>
        <v>-2.0786933927245815E-2</v>
      </c>
      <c r="Y832" s="31">
        <f t="shared" ca="1" si="109"/>
        <v>9.1019400352733593E-2</v>
      </c>
    </row>
    <row r="833" spans="2:25" x14ac:dyDescent="0.45">
      <c r="B833" vm="6681">
        <f ca="1"/>
        <v>45372</v>
      </c>
      <c r="C833" vm="6682">
        <f ca="1"/>
        <v>429.37</v>
      </c>
      <c r="D833" vm="6681">
        <f ca="1"/>
        <v>45372</v>
      </c>
      <c r="E833" vm="6683">
        <f ca="1"/>
        <v>17.16</v>
      </c>
      <c r="F833" vm="6681">
        <f ca="1"/>
        <v>45372</v>
      </c>
      <c r="G833" vm="6684">
        <f ca="1"/>
        <v>290.37</v>
      </c>
      <c r="H833" vm="6681">
        <f ca="1"/>
        <v>45372</v>
      </c>
      <c r="I833" vm="6685">
        <f ca="1"/>
        <v>148.74</v>
      </c>
      <c r="J833" vm="6681">
        <f ca="1"/>
        <v>45372</v>
      </c>
      <c r="K833" vm="6686">
        <f ca="1"/>
        <v>40.049999999999997</v>
      </c>
      <c r="L833" vm="6681">
        <f ca="1"/>
        <v>45372</v>
      </c>
      <c r="M833" vm="6687">
        <f ca="1"/>
        <v>259.64</v>
      </c>
      <c r="N833" vm="6681">
        <f ca="1"/>
        <v>45372</v>
      </c>
      <c r="O833" vm="6688">
        <f ca="1"/>
        <v>52.28</v>
      </c>
      <c r="P833" vm="6681">
        <f ca="1"/>
        <v>45372</v>
      </c>
      <c r="Q833" vm="6689">
        <f ca="1"/>
        <v>159.929</v>
      </c>
      <c r="R833" s="29">
        <f t="shared" ca="1" si="103"/>
        <v>9.7359076264609424E-3</v>
      </c>
      <c r="S833" s="30">
        <f t="shared" ca="1" si="104"/>
        <v>-2.9052876234747652E-3</v>
      </c>
      <c r="T833" s="30">
        <f t="shared" ca="1" si="105"/>
        <v>3.7679756637169245E-3</v>
      </c>
      <c r="U833" s="30">
        <f t="shared" ca="1" si="106"/>
        <v>9.9130907115698528E-3</v>
      </c>
      <c r="V833" s="30">
        <f t="shared" ca="1" si="107"/>
        <v>9.0702947845804852E-3</v>
      </c>
      <c r="W833" s="30">
        <f t="shared" ca="1" si="110"/>
        <v>-7.9474247287178688E-3</v>
      </c>
      <c r="X833" s="30">
        <f t="shared" ca="1" si="108"/>
        <v>-9.0978013646701456E-3</v>
      </c>
      <c r="Y833" s="31">
        <f t="shared" ca="1" si="109"/>
        <v>3.4121770167860846E-2</v>
      </c>
    </row>
    <row r="834" spans="2:25" x14ac:dyDescent="0.45">
      <c r="B834" vm="6690">
        <f ca="1"/>
        <v>45373</v>
      </c>
      <c r="C834" vm="6691">
        <f ca="1"/>
        <v>428.74</v>
      </c>
      <c r="D834" vm="6690">
        <f ca="1"/>
        <v>45373</v>
      </c>
      <c r="E834" vm="6573">
        <f ca="1"/>
        <v>16.98</v>
      </c>
      <c r="F834" vm="6690">
        <f ca="1"/>
        <v>45373</v>
      </c>
      <c r="G834" vm="6692">
        <f ca="1"/>
        <v>283.26</v>
      </c>
      <c r="H834" vm="6690">
        <f ca="1"/>
        <v>45373</v>
      </c>
      <c r="I834" vm="6693">
        <f ca="1"/>
        <v>147.44999999999999</v>
      </c>
      <c r="J834" vm="6690">
        <f ca="1"/>
        <v>45373</v>
      </c>
      <c r="K834" vm="6694">
        <f ca="1"/>
        <v>39.659999999999997</v>
      </c>
      <c r="L834" vm="6690">
        <f ca="1"/>
        <v>45373</v>
      </c>
      <c r="M834" vm="6695">
        <f ca="1"/>
        <v>264.95</v>
      </c>
      <c r="N834" vm="6690">
        <f ca="1"/>
        <v>45373</v>
      </c>
      <c r="O834" vm="6696">
        <f ca="1"/>
        <v>52.52</v>
      </c>
      <c r="P834" vm="6690">
        <f ca="1"/>
        <v>45373</v>
      </c>
      <c r="Q834" vm="4154">
        <f ca="1"/>
        <v>152.30000000000001</v>
      </c>
      <c r="R834" s="29">
        <f t="shared" ca="1" si="103"/>
        <v>-1.4672659943638247E-3</v>
      </c>
      <c r="S834" s="30">
        <f t="shared" ca="1" si="104"/>
        <v>-1.0489510489510473E-2</v>
      </c>
      <c r="T834" s="30">
        <f t="shared" ca="1" si="105"/>
        <v>-2.4486000619898796E-2</v>
      </c>
      <c r="U834" s="30">
        <f t="shared" ca="1" si="106"/>
        <v>-8.6728519564341824E-3</v>
      </c>
      <c r="V834" s="30">
        <f t="shared" ca="1" si="107"/>
        <v>-9.7378277153558207E-3</v>
      </c>
      <c r="W834" s="30">
        <f t="shared" ca="1" si="110"/>
        <v>2.0451394238175945E-2</v>
      </c>
      <c r="X834" s="30">
        <f t="shared" ca="1" si="108"/>
        <v>4.5906656465187828E-3</v>
      </c>
      <c r="Y834" s="31">
        <f t="shared" ca="1" si="109"/>
        <v>-4.770241794796435E-2</v>
      </c>
    </row>
    <row r="835" spans="2:25" x14ac:dyDescent="0.45">
      <c r="B835" vm="6697">
        <f ca="1"/>
        <v>45376</v>
      </c>
      <c r="C835" vm="6698">
        <f ca="1"/>
        <v>422.86</v>
      </c>
      <c r="D835" vm="6697">
        <f ca="1"/>
        <v>45376</v>
      </c>
      <c r="E835" vm="4979">
        <f ca="1"/>
        <v>17.12</v>
      </c>
      <c r="F835" vm="6697">
        <f ca="1"/>
        <v>45376</v>
      </c>
      <c r="G835" vm="6699">
        <f ca="1"/>
        <v>281.20999999999998</v>
      </c>
      <c r="H835" vm="6697">
        <f ca="1"/>
        <v>45376</v>
      </c>
      <c r="I835" vm="6700">
        <f ca="1"/>
        <v>145.56</v>
      </c>
      <c r="J835" vm="6697">
        <f ca="1"/>
        <v>45376</v>
      </c>
      <c r="K835" vm="6701">
        <f ca="1"/>
        <v>40.25</v>
      </c>
      <c r="L835" vm="6697">
        <f ca="1"/>
        <v>45376</v>
      </c>
      <c r="M835" vm="6702">
        <f ca="1"/>
        <v>261.92</v>
      </c>
      <c r="N835" vm="6697">
        <f ca="1"/>
        <v>45376</v>
      </c>
      <c r="O835" vm="6703">
        <f ca="1"/>
        <v>52.32</v>
      </c>
      <c r="P835" vm="6697">
        <f ca="1"/>
        <v>45376</v>
      </c>
      <c r="Q835" vm="4514">
        <f ca="1"/>
        <v>185.6</v>
      </c>
      <c r="R835" s="29">
        <f t="shared" ca="1" si="103"/>
        <v>-1.3714605588468525E-2</v>
      </c>
      <c r="S835" s="30">
        <f t="shared" ca="1" si="104"/>
        <v>8.2449941107185249E-3</v>
      </c>
      <c r="T835" s="30">
        <f t="shared" ca="1" si="105"/>
        <v>-7.2371672668220411E-3</v>
      </c>
      <c r="U835" s="30">
        <f t="shared" ca="1" si="106"/>
        <v>-1.28179043743641E-2</v>
      </c>
      <c r="V835" s="30">
        <f t="shared" ca="1" si="107"/>
        <v>1.4876449823499836E-2</v>
      </c>
      <c r="W835" s="30">
        <f t="shared" ca="1" si="110"/>
        <v>-1.143612002264568E-2</v>
      </c>
      <c r="X835" s="30">
        <f t="shared" ca="1" si="108"/>
        <v>-3.8080731150038618E-3</v>
      </c>
      <c r="Y835" s="31">
        <f t="shared" ca="1" si="109"/>
        <v>0.21864740643466829</v>
      </c>
    </row>
    <row r="836" spans="2:25" x14ac:dyDescent="0.45">
      <c r="B836" vm="6704">
        <f ca="1"/>
        <v>45377</v>
      </c>
      <c r="C836" vm="6705">
        <f ca="1"/>
        <v>421.65</v>
      </c>
      <c r="D836" vm="6704">
        <f ca="1"/>
        <v>45377</v>
      </c>
      <c r="E836" vm="6381">
        <f ca="1"/>
        <v>17.18</v>
      </c>
      <c r="F836" vm="6704">
        <f ca="1"/>
        <v>45377</v>
      </c>
      <c r="G836" vm="6706">
        <f ca="1"/>
        <v>280.60000000000002</v>
      </c>
      <c r="H836" vm="6704">
        <f ca="1"/>
        <v>45377</v>
      </c>
      <c r="I836" vm="6707">
        <f ca="1"/>
        <v>144.41</v>
      </c>
      <c r="J836" vm="6704">
        <f ca="1"/>
        <v>45377</v>
      </c>
      <c r="K836" vm="6708">
        <f ca="1"/>
        <v>40.69</v>
      </c>
      <c r="L836" vm="6704">
        <f ca="1"/>
        <v>45377</v>
      </c>
      <c r="M836" vm="6709">
        <f ca="1"/>
        <v>262.81</v>
      </c>
      <c r="N836" vm="6704">
        <f ca="1"/>
        <v>45377</v>
      </c>
      <c r="O836" vm="6710">
        <f ca="1"/>
        <v>52.04</v>
      </c>
      <c r="P836" vm="6704">
        <f ca="1"/>
        <v>45377</v>
      </c>
      <c r="Q836" vm="6711">
        <f ca="1"/>
        <v>187.69900000000001</v>
      </c>
      <c r="R836" s="29">
        <f t="shared" ca="1" si="103"/>
        <v>-2.861467152249057E-3</v>
      </c>
      <c r="S836" s="30">
        <f t="shared" ca="1" si="104"/>
        <v>3.5046728971961866E-3</v>
      </c>
      <c r="T836" s="30">
        <f t="shared" ca="1" si="105"/>
        <v>-2.1691973969629702E-3</v>
      </c>
      <c r="U836" s="30">
        <f t="shared" ca="1" si="106"/>
        <v>-7.9005221214619795E-3</v>
      </c>
      <c r="V836" s="30">
        <f t="shared" ca="1" si="107"/>
        <v>1.0931677018633484E-2</v>
      </c>
      <c r="W836" s="30">
        <f t="shared" ca="1" si="110"/>
        <v>3.3979841172876693E-3</v>
      </c>
      <c r="X836" s="30">
        <f t="shared" ca="1" si="108"/>
        <v>-5.3516819571865657E-3</v>
      </c>
      <c r="Y836" s="31">
        <f t="shared" ca="1" si="109"/>
        <v>1.1309267241379407E-2</v>
      </c>
    </row>
    <row r="837" spans="2:25" x14ac:dyDescent="0.45">
      <c r="B837" vm="6712">
        <f ca="1"/>
        <v>45378</v>
      </c>
      <c r="C837" vm="6713">
        <f ca="1"/>
        <v>421.43</v>
      </c>
      <c r="D837" vm="6712">
        <f ca="1"/>
        <v>45378</v>
      </c>
      <c r="E837" vm="6714">
        <f ca="1"/>
        <v>17.55</v>
      </c>
      <c r="F837" vm="6712">
        <f ca="1"/>
        <v>45378</v>
      </c>
      <c r="G837" vm="6715">
        <f ca="1"/>
        <v>279.02</v>
      </c>
      <c r="H837" vm="6712">
        <f ca="1"/>
        <v>45378</v>
      </c>
      <c r="I837" vm="6716">
        <f ca="1"/>
        <v>147.37</v>
      </c>
      <c r="J837" vm="6712">
        <f ca="1"/>
        <v>45378</v>
      </c>
      <c r="K837" vm="6717">
        <f ca="1"/>
        <v>41.02</v>
      </c>
      <c r="L837" vm="6712">
        <f ca="1"/>
        <v>45378</v>
      </c>
      <c r="M837" vm="6718">
        <f ca="1"/>
        <v>260.2</v>
      </c>
      <c r="N837" vm="6712">
        <f ca="1"/>
        <v>45378</v>
      </c>
      <c r="O837" vm="6719">
        <f ca="1"/>
        <v>51.08</v>
      </c>
      <c r="P837" vm="6712">
        <f ca="1"/>
        <v>45378</v>
      </c>
      <c r="Q837" vm="6720">
        <f ca="1"/>
        <v>191.916</v>
      </c>
      <c r="R837" s="29">
        <f t="shared" ref="R837:R900" ca="1" si="111">(C837-C836)/C836</f>
        <v>-5.217597533498647E-4</v>
      </c>
      <c r="S837" s="30">
        <f t="shared" ref="S837:S900" ca="1" si="112">(E837-E836)/E836</f>
        <v>2.1536670547147904E-2</v>
      </c>
      <c r="T837" s="30">
        <f t="shared" ref="T837:T900" ca="1" si="113">(G837-G836)/G836</f>
        <v>-5.6307911617962964E-3</v>
      </c>
      <c r="U837" s="30">
        <f t="shared" ref="U837:U900" ca="1" si="114">(I837-I836)/I836</f>
        <v>2.0497195485077266E-2</v>
      </c>
      <c r="V837" s="30">
        <f t="shared" ref="V837:V900" ca="1" si="115">(K837-K836)/K836</f>
        <v>8.1101007618580839E-3</v>
      </c>
      <c r="W837" s="30">
        <f t="shared" ca="1" si="110"/>
        <v>-9.9311289524752246E-3</v>
      </c>
      <c r="X837" s="30">
        <f t="shared" ref="X837:X900" ca="1" si="116">(O837-O836)/O836</f>
        <v>-1.8447348193697172E-2</v>
      </c>
      <c r="Y837" s="31">
        <f t="shared" ref="Y837:Y900" ca="1" si="117">(Q837-Q836)/Q836</f>
        <v>2.2466821879711583E-2</v>
      </c>
    </row>
    <row r="838" spans="2:25" x14ac:dyDescent="0.45">
      <c r="B838" vm="6721">
        <f ca="1"/>
        <v>45379</v>
      </c>
      <c r="C838" vm="6722">
        <f ca="1"/>
        <v>420.72</v>
      </c>
      <c r="D838" vm="6721">
        <f ca="1"/>
        <v>45379</v>
      </c>
      <c r="E838" vm="6723">
        <f ca="1"/>
        <v>17.600000000000001</v>
      </c>
      <c r="F838" vm="6721">
        <f ca="1"/>
        <v>45379</v>
      </c>
      <c r="G838" vm="6724">
        <f ca="1"/>
        <v>279.08</v>
      </c>
      <c r="H838" vm="6721">
        <f ca="1"/>
        <v>45379</v>
      </c>
      <c r="I838" vm="6725">
        <f ca="1"/>
        <v>145.51</v>
      </c>
      <c r="J838" vm="6721">
        <f ca="1"/>
        <v>45379</v>
      </c>
      <c r="K838" vm="6726">
        <f ca="1"/>
        <v>40.78</v>
      </c>
      <c r="L838" vm="6721">
        <f ca="1"/>
        <v>45379</v>
      </c>
      <c r="M838" vm="6727">
        <f ca="1"/>
        <v>263.89999999999998</v>
      </c>
      <c r="N838" vm="6721">
        <f ca="1"/>
        <v>45379</v>
      </c>
      <c r="O838" vm="6728">
        <f ca="1"/>
        <v>51.88</v>
      </c>
      <c r="P838" vm="6721">
        <f ca="1"/>
        <v>45379</v>
      </c>
      <c r="Q838" vm="6729">
        <f ca="1"/>
        <v>170.45599999999999</v>
      </c>
      <c r="R838" s="29">
        <f t="shared" ca="1" si="111"/>
        <v>-1.6847400517285896E-3</v>
      </c>
      <c r="S838" s="30">
        <f t="shared" ca="1" si="112"/>
        <v>2.8490028490028895E-3</v>
      </c>
      <c r="T838" s="30">
        <f t="shared" ca="1" si="113"/>
        <v>2.1503834850549163E-4</v>
      </c>
      <c r="U838" s="30">
        <f t="shared" ca="1" si="114"/>
        <v>-1.2621293343285701E-2</v>
      </c>
      <c r="V838" s="30">
        <f t="shared" ca="1" si="115"/>
        <v>-5.8508044856168204E-3</v>
      </c>
      <c r="W838" s="30">
        <f t="shared" ref="W838:W901" ca="1" si="118">(M838-M837)/M837</f>
        <v>1.4219830899308181E-2</v>
      </c>
      <c r="X838" s="30">
        <f t="shared" ca="1" si="116"/>
        <v>1.5661707126076826E-2</v>
      </c>
      <c r="Y838" s="31">
        <f t="shared" ca="1" si="117"/>
        <v>-0.11181975447591659</v>
      </c>
    </row>
    <row r="839" spans="2:25" x14ac:dyDescent="0.45">
      <c r="B839" vm="6730">
        <f ca="1"/>
        <v>45383</v>
      </c>
      <c r="C839" vm="6731">
        <f ca="1"/>
        <v>424.57</v>
      </c>
      <c r="D839" vm="6730">
        <f ca="1"/>
        <v>45383</v>
      </c>
      <c r="E839" vm="3396">
        <f ca="1"/>
        <v>17.5</v>
      </c>
      <c r="F839" vm="6730">
        <f ca="1"/>
        <v>45383</v>
      </c>
      <c r="G839" vm="6732">
        <f ca="1"/>
        <v>278.27999999999997</v>
      </c>
      <c r="H839" vm="6730">
        <f ca="1"/>
        <v>45383</v>
      </c>
      <c r="I839" vm="6700">
        <f ca="1"/>
        <v>145.56</v>
      </c>
      <c r="J839" vm="6730">
        <f ca="1"/>
        <v>45383</v>
      </c>
      <c r="K839" vm="6733">
        <f ca="1"/>
        <v>41.83</v>
      </c>
      <c r="L839" vm="6730">
        <f ca="1"/>
        <v>45383</v>
      </c>
      <c r="M839" vm="6734">
        <f ca="1"/>
        <v>266.43</v>
      </c>
      <c r="N839" vm="6730">
        <f ca="1"/>
        <v>45383</v>
      </c>
      <c r="O839" vm="6735">
        <f ca="1"/>
        <v>52.56</v>
      </c>
      <c r="P839" vm="6730">
        <f ca="1"/>
        <v>45383</v>
      </c>
      <c r="Q839" vm="6736">
        <f ca="1"/>
        <v>163.67400000000001</v>
      </c>
      <c r="R839" s="29">
        <f t="shared" ca="1" si="111"/>
        <v>9.1509792736260837E-3</v>
      </c>
      <c r="S839" s="30">
        <f t="shared" ca="1" si="112"/>
        <v>-5.6818181818182618E-3</v>
      </c>
      <c r="T839" s="30">
        <f t="shared" ca="1" si="113"/>
        <v>-2.8665615594095292E-3</v>
      </c>
      <c r="U839" s="30">
        <f t="shared" ca="1" si="114"/>
        <v>3.4361899525813601E-4</v>
      </c>
      <c r="V839" s="30">
        <f t="shared" ca="1" si="115"/>
        <v>2.5747915644923913E-2</v>
      </c>
      <c r="W839" s="30">
        <f t="shared" ca="1" si="118"/>
        <v>9.5869647593786658E-3</v>
      </c>
      <c r="X839" s="30">
        <f t="shared" ca="1" si="116"/>
        <v>1.3107170393215106E-2</v>
      </c>
      <c r="Y839" s="31">
        <f t="shared" ca="1" si="117"/>
        <v>-3.9787393814239354E-2</v>
      </c>
    </row>
    <row r="840" spans="2:25" x14ac:dyDescent="0.45">
      <c r="B840" vm="6737">
        <f ca="1"/>
        <v>45384</v>
      </c>
      <c r="C840" vm="2719">
        <f ca="1"/>
        <v>421.44</v>
      </c>
      <c r="D840" vm="6737">
        <f ca="1"/>
        <v>45384</v>
      </c>
      <c r="E840" vm="552">
        <f ca="1"/>
        <v>17.52</v>
      </c>
      <c r="F840" vm="6737">
        <f ca="1"/>
        <v>45384</v>
      </c>
      <c r="G840" vm="6738">
        <f ca="1"/>
        <v>278.44</v>
      </c>
      <c r="H840" vm="6737">
        <f ca="1"/>
        <v>45384</v>
      </c>
      <c r="I840" vm="2617">
        <f ca="1"/>
        <v>144.16999999999999</v>
      </c>
      <c r="J840" vm="6737">
        <f ca="1"/>
        <v>45384</v>
      </c>
      <c r="K840" vm="6739">
        <f ca="1"/>
        <v>41.4</v>
      </c>
      <c r="L840" vm="6737">
        <f ca="1"/>
        <v>45384</v>
      </c>
      <c r="M840" vm="6740">
        <f ca="1"/>
        <v>269.58</v>
      </c>
      <c r="N840" vm="6737">
        <f ca="1"/>
        <v>45384</v>
      </c>
      <c r="O840" vm="6741">
        <f ca="1"/>
        <v>53.8</v>
      </c>
      <c r="P840" vm="6737">
        <f ca="1"/>
        <v>45384</v>
      </c>
      <c r="Q840" vm="6742">
        <f ca="1"/>
        <v>157.88300000000001</v>
      </c>
      <c r="R840" s="29">
        <f t="shared" ca="1" si="111"/>
        <v>-7.3721647784817474E-3</v>
      </c>
      <c r="S840" s="30">
        <f t="shared" ca="1" si="112"/>
        <v>1.1428571428571184E-3</v>
      </c>
      <c r="T840" s="30">
        <f t="shared" ca="1" si="113"/>
        <v>5.7496047146767654E-4</v>
      </c>
      <c r="U840" s="30">
        <f t="shared" ca="1" si="114"/>
        <v>-9.5493267381149688E-3</v>
      </c>
      <c r="V840" s="30">
        <f t="shared" ca="1" si="115"/>
        <v>-1.0279703562036809E-2</v>
      </c>
      <c r="W840" s="30">
        <f t="shared" ca="1" si="118"/>
        <v>1.182299290620417E-2</v>
      </c>
      <c r="X840" s="30">
        <f t="shared" ca="1" si="116"/>
        <v>2.3592085235920754E-2</v>
      </c>
      <c r="Y840" s="31">
        <f t="shared" ca="1" si="117"/>
        <v>-3.538130674389333E-2</v>
      </c>
    </row>
    <row r="841" spans="2:25" x14ac:dyDescent="0.45">
      <c r="B841" vm="6743">
        <f ca="1"/>
        <v>45385</v>
      </c>
      <c r="C841" vm="6744">
        <f ca="1"/>
        <v>420.45</v>
      </c>
      <c r="D841" vm="6743">
        <f ca="1"/>
        <v>45385</v>
      </c>
      <c r="E841" vm="4926">
        <f ca="1"/>
        <v>17.61</v>
      </c>
      <c r="F841" vm="6743">
        <f ca="1"/>
        <v>45385</v>
      </c>
      <c r="G841" vm="6745">
        <f ca="1"/>
        <v>276.95999999999998</v>
      </c>
      <c r="H841" vm="6743">
        <f ca="1"/>
        <v>45385</v>
      </c>
      <c r="I841" vm="6746">
        <f ca="1"/>
        <v>143.72999999999999</v>
      </c>
      <c r="J841" vm="6743">
        <f ca="1"/>
        <v>45385</v>
      </c>
      <c r="K841" vm="6747">
        <f ca="1"/>
        <v>41.88</v>
      </c>
      <c r="L841" vm="6743">
        <f ca="1"/>
        <v>45385</v>
      </c>
      <c r="M841" vm="6748">
        <f ca="1"/>
        <v>291.77</v>
      </c>
      <c r="N841" vm="6743">
        <f ca="1"/>
        <v>45385</v>
      </c>
      <c r="O841" vm="6749">
        <f ca="1"/>
        <v>53.44</v>
      </c>
      <c r="P841" vm="6743">
        <f ca="1"/>
        <v>45385</v>
      </c>
      <c r="Q841" vm="6750">
        <f ca="1"/>
        <v>160.61099999999999</v>
      </c>
      <c r="R841" s="29">
        <f t="shared" ca="1" si="111"/>
        <v>-2.3490888382688142E-3</v>
      </c>
      <c r="S841" s="30">
        <f t="shared" ca="1" si="112"/>
        <v>5.1369863013698549E-3</v>
      </c>
      <c r="T841" s="30">
        <f t="shared" ca="1" si="113"/>
        <v>-5.3153282574343423E-3</v>
      </c>
      <c r="U841" s="30">
        <f t="shared" ca="1" si="114"/>
        <v>-3.0519525560102501E-3</v>
      </c>
      <c r="V841" s="30">
        <f t="shared" ca="1" si="115"/>
        <v>1.1594202898550822E-2</v>
      </c>
      <c r="W841" s="30">
        <f t="shared" ca="1" si="118"/>
        <v>8.2313227984271833E-2</v>
      </c>
      <c r="X841" s="30">
        <f t="shared" ca="1" si="116"/>
        <v>-6.6914498141263839E-3</v>
      </c>
      <c r="Y841" s="31">
        <f t="shared" ca="1" si="117"/>
        <v>1.7278617710583026E-2</v>
      </c>
    </row>
    <row r="842" spans="2:25" x14ac:dyDescent="0.45">
      <c r="B842" vm="6751">
        <f ca="1"/>
        <v>45386</v>
      </c>
      <c r="C842" vm="6752">
        <f ca="1"/>
        <v>417.88</v>
      </c>
      <c r="D842" vm="6751">
        <f ca="1"/>
        <v>45386</v>
      </c>
      <c r="E842" vm="6753">
        <f ca="1"/>
        <v>17.57</v>
      </c>
      <c r="F842" vm="6751">
        <f ca="1"/>
        <v>45386</v>
      </c>
      <c r="G842" vm="6754">
        <f ca="1"/>
        <v>274</v>
      </c>
      <c r="H842" vm="6751">
        <f ca="1"/>
        <v>45386</v>
      </c>
      <c r="I842" vm="2911">
        <f ca="1"/>
        <v>141.34</v>
      </c>
      <c r="J842" vm="6751">
        <f ca="1"/>
        <v>45386</v>
      </c>
      <c r="K842" vm="6755">
        <f ca="1"/>
        <v>41.1</v>
      </c>
      <c r="L842" vm="6751">
        <f ca="1"/>
        <v>45386</v>
      </c>
      <c r="M842" vm="6756">
        <f ca="1"/>
        <v>295.95999999999998</v>
      </c>
      <c r="N842" vm="6751">
        <f ca="1"/>
        <v>45386</v>
      </c>
      <c r="O842" vm="6757">
        <f ca="1"/>
        <v>55.98</v>
      </c>
      <c r="P842" vm="6751">
        <f ca="1"/>
        <v>45386</v>
      </c>
      <c r="Q842" vm="6758">
        <f ca="1"/>
        <v>161.542</v>
      </c>
      <c r="R842" s="29">
        <f t="shared" ca="1" si="111"/>
        <v>-6.1124985134974269E-3</v>
      </c>
      <c r="S842" s="30">
        <f t="shared" ca="1" si="112"/>
        <v>-2.2714366837023933E-3</v>
      </c>
      <c r="T842" s="30">
        <f t="shared" ca="1" si="113"/>
        <v>-1.068746389370299E-2</v>
      </c>
      <c r="U842" s="30">
        <f t="shared" ca="1" si="114"/>
        <v>-1.662840047310921E-2</v>
      </c>
      <c r="V842" s="30">
        <f t="shared" ca="1" si="115"/>
        <v>-1.8624641833810913E-2</v>
      </c>
      <c r="W842" s="30">
        <f t="shared" ca="1" si="118"/>
        <v>1.4360626520889735E-2</v>
      </c>
      <c r="X842" s="30">
        <f t="shared" ca="1" si="116"/>
        <v>4.7529940119760465E-2</v>
      </c>
      <c r="Y842" s="31">
        <f t="shared" ca="1" si="117"/>
        <v>5.7966141796017192E-3</v>
      </c>
    </row>
    <row r="843" spans="2:25" x14ac:dyDescent="0.45">
      <c r="B843" vm="6759">
        <f ca="1"/>
        <v>45387</v>
      </c>
      <c r="C843" vm="6760">
        <f ca="1"/>
        <v>425.52</v>
      </c>
      <c r="D843" vm="6759">
        <f ca="1"/>
        <v>45387</v>
      </c>
      <c r="E843" vm="6761">
        <f ca="1"/>
        <v>17.420000000000002</v>
      </c>
      <c r="F843" vm="6759">
        <f ca="1"/>
        <v>45387</v>
      </c>
      <c r="G843" vm="6762">
        <f ca="1"/>
        <v>277.14</v>
      </c>
      <c r="H843" vm="6759">
        <f ca="1"/>
        <v>45387</v>
      </c>
      <c r="I843" vm="5448">
        <f ca="1"/>
        <v>144.12</v>
      </c>
      <c r="J843" vm="6759">
        <f ca="1"/>
        <v>45387</v>
      </c>
      <c r="K843" vm="6763">
        <f ca="1"/>
        <v>41.22</v>
      </c>
      <c r="L843" vm="6759">
        <f ca="1"/>
        <v>45387</v>
      </c>
      <c r="M843" vm="6764">
        <f ca="1"/>
        <v>310.31</v>
      </c>
      <c r="N843" vm="6759">
        <f ca="1"/>
        <v>45387</v>
      </c>
      <c r="O843" vm="6765">
        <f ca="1"/>
        <v>57.04</v>
      </c>
      <c r="P843" vm="6759">
        <f ca="1"/>
        <v>45387</v>
      </c>
      <c r="Q843" vm="6766">
        <f ca="1"/>
        <v>143.9</v>
      </c>
      <c r="R843" s="29">
        <f t="shared" ca="1" si="111"/>
        <v>1.8282760601129478E-2</v>
      </c>
      <c r="S843" s="30">
        <f t="shared" ca="1" si="112"/>
        <v>-8.5372794536140335E-3</v>
      </c>
      <c r="T843" s="30">
        <f t="shared" ca="1" si="113"/>
        <v>1.1459854014598491E-2</v>
      </c>
      <c r="U843" s="30">
        <f t="shared" ca="1" si="114"/>
        <v>1.9668883543229102E-2</v>
      </c>
      <c r="V843" s="30">
        <f t="shared" ca="1" si="115"/>
        <v>2.9197080291970181E-3</v>
      </c>
      <c r="W843" s="30">
        <f t="shared" ca="1" si="118"/>
        <v>4.8486281929990618E-2</v>
      </c>
      <c r="X843" s="30">
        <f t="shared" ca="1" si="116"/>
        <v>1.8935334047874283E-2</v>
      </c>
      <c r="Y843" s="31">
        <f t="shared" ca="1" si="117"/>
        <v>-0.10920998873358009</v>
      </c>
    </row>
    <row r="844" spans="2:25" x14ac:dyDescent="0.45">
      <c r="B844" vm="6767">
        <f ca="1"/>
        <v>45390</v>
      </c>
      <c r="C844" vm="6768">
        <f ca="1"/>
        <v>424.59</v>
      </c>
      <c r="D844" vm="6767">
        <f ca="1"/>
        <v>45390</v>
      </c>
      <c r="E844" vm="6255">
        <f ca="1"/>
        <v>17.25</v>
      </c>
      <c r="F844" vm="6767">
        <f ca="1"/>
        <v>45390</v>
      </c>
      <c r="G844" vm="6769">
        <f ca="1"/>
        <v>277.76</v>
      </c>
      <c r="H844" vm="6767">
        <f ca="1"/>
        <v>45390</v>
      </c>
      <c r="I844" vm="6770">
        <f ca="1"/>
        <v>144.46</v>
      </c>
      <c r="J844" vm="6767">
        <f ca="1"/>
        <v>45390</v>
      </c>
      <c r="K844" vm="6771">
        <f ca="1"/>
        <v>40.549999999999997</v>
      </c>
      <c r="L844" vm="6767">
        <f ca="1"/>
        <v>45390</v>
      </c>
      <c r="M844" vm="6772">
        <f ca="1"/>
        <v>309.07</v>
      </c>
      <c r="N844" vm="6767">
        <f ca="1"/>
        <v>45390</v>
      </c>
      <c r="O844" vm="6773">
        <f ca="1"/>
        <v>54.8</v>
      </c>
      <c r="P844" vm="6767">
        <f ca="1"/>
        <v>45390</v>
      </c>
      <c r="Q844" vm="6774">
        <f ca="1"/>
        <v>151.29900000000001</v>
      </c>
      <c r="R844" s="29">
        <f t="shared" ca="1" si="111"/>
        <v>-2.1855611957134961E-3</v>
      </c>
      <c r="S844" s="30">
        <f t="shared" ca="1" si="112"/>
        <v>-9.7588978185994078E-3</v>
      </c>
      <c r="T844" s="30">
        <f t="shared" ca="1" si="113"/>
        <v>2.2371364653244012E-3</v>
      </c>
      <c r="U844" s="30">
        <f t="shared" ca="1" si="114"/>
        <v>2.3591451568137898E-3</v>
      </c>
      <c r="V844" s="30">
        <f t="shared" ca="1" si="115"/>
        <v>-1.6254245511887474E-2</v>
      </c>
      <c r="W844" s="30">
        <f t="shared" ca="1" si="118"/>
        <v>-3.9960039960040255E-3</v>
      </c>
      <c r="X844" s="30">
        <f t="shared" ca="1" si="116"/>
        <v>-3.9270687237026682E-2</v>
      </c>
      <c r="Y844" s="31">
        <f t="shared" ca="1" si="117"/>
        <v>5.1417651146629606E-2</v>
      </c>
    </row>
    <row r="845" spans="2:25" x14ac:dyDescent="0.45">
      <c r="B845" vm="6775">
        <f ca="1"/>
        <v>45391</v>
      </c>
      <c r="C845" vm="6776">
        <f ca="1"/>
        <v>426.28</v>
      </c>
      <c r="D845" vm="6775">
        <f ca="1"/>
        <v>45391</v>
      </c>
      <c r="E845" vm="6481">
        <f ca="1"/>
        <v>16.899999999999999</v>
      </c>
      <c r="F845" vm="6775">
        <f ca="1"/>
        <v>45391</v>
      </c>
      <c r="G845" vm="6777">
        <f ca="1"/>
        <v>276.72000000000003</v>
      </c>
      <c r="H845" vm="6775">
        <f ca="1"/>
        <v>45391</v>
      </c>
      <c r="I845" vm="6778">
        <f ca="1"/>
        <v>147.4</v>
      </c>
      <c r="J845" vm="6775">
        <f ca="1"/>
        <v>45391</v>
      </c>
      <c r="K845" vm="6779">
        <f ca="1"/>
        <v>41.93</v>
      </c>
      <c r="L845" vm="6775">
        <f ca="1"/>
        <v>45391</v>
      </c>
      <c r="M845" vm="6780">
        <f ca="1"/>
        <v>300.73</v>
      </c>
      <c r="N845" vm="6775">
        <f ca="1"/>
        <v>45391</v>
      </c>
      <c r="O845" vm="6577">
        <f ca="1"/>
        <v>54.4</v>
      </c>
      <c r="P845" vm="6775">
        <f ca="1"/>
        <v>45391</v>
      </c>
      <c r="Q845" vm="6781">
        <f ca="1"/>
        <v>144.102</v>
      </c>
      <c r="R845" s="29">
        <f t="shared" ca="1" si="111"/>
        <v>3.9803104171082637E-3</v>
      </c>
      <c r="S845" s="30">
        <f t="shared" ca="1" si="112"/>
        <v>-2.028985507246385E-2</v>
      </c>
      <c r="T845" s="30">
        <f t="shared" ca="1" si="113"/>
        <v>-3.7442396313362748E-3</v>
      </c>
      <c r="U845" s="30">
        <f t="shared" ca="1" si="114"/>
        <v>2.0351654437214439E-2</v>
      </c>
      <c r="V845" s="30">
        <f t="shared" ca="1" si="115"/>
        <v>3.4032059186189956E-2</v>
      </c>
      <c r="W845" s="30">
        <f t="shared" ca="1" si="118"/>
        <v>-2.698417834147596E-2</v>
      </c>
      <c r="X845" s="30">
        <f t="shared" ca="1" si="116"/>
        <v>-7.2992700729926753E-3</v>
      </c>
      <c r="Y845" s="31">
        <f t="shared" ca="1" si="117"/>
        <v>-4.7568060595245196E-2</v>
      </c>
    </row>
    <row r="846" spans="2:25" x14ac:dyDescent="0.45">
      <c r="B846" vm="6782">
        <f ca="1"/>
        <v>45392</v>
      </c>
      <c r="C846" vm="6783">
        <f ca="1"/>
        <v>423.26</v>
      </c>
      <c r="D846" vm="6782">
        <f ca="1"/>
        <v>45392</v>
      </c>
      <c r="E846" vm="6784">
        <f ca="1"/>
        <v>16.73</v>
      </c>
      <c r="F846" vm="6782">
        <f ca="1"/>
        <v>45392</v>
      </c>
      <c r="G846" vm="6785">
        <f ca="1"/>
        <v>274.48</v>
      </c>
      <c r="H846" vm="6782">
        <f ca="1"/>
        <v>45392</v>
      </c>
      <c r="I846" vm="6786">
        <f ca="1"/>
        <v>144.16</v>
      </c>
      <c r="J846" vm="6782">
        <f ca="1"/>
        <v>45392</v>
      </c>
      <c r="K846" vm="6787">
        <f ca="1"/>
        <v>42.61</v>
      </c>
      <c r="L846" vm="6782">
        <f ca="1"/>
        <v>45392</v>
      </c>
      <c r="M846" vm="6788">
        <f ca="1"/>
        <v>299.99</v>
      </c>
      <c r="N846" vm="6782">
        <f ca="1"/>
        <v>45392</v>
      </c>
      <c r="O846" vm="6664">
        <f ca="1"/>
        <v>55.44</v>
      </c>
      <c r="P846" vm="6782">
        <f ca="1"/>
        <v>45392</v>
      </c>
      <c r="Q846" vm="6789">
        <f ca="1"/>
        <v>156.6</v>
      </c>
      <c r="R846" s="29">
        <f t="shared" ca="1" si="111"/>
        <v>-7.0845453692408326E-3</v>
      </c>
      <c r="S846" s="30">
        <f t="shared" ca="1" si="112"/>
        <v>-1.0059171597633027E-2</v>
      </c>
      <c r="T846" s="30">
        <f t="shared" ca="1" si="113"/>
        <v>-8.0948250939578241E-3</v>
      </c>
      <c r="U846" s="30">
        <f t="shared" ca="1" si="114"/>
        <v>-2.1981004070556372E-2</v>
      </c>
      <c r="V846" s="30">
        <f t="shared" ca="1" si="115"/>
        <v>1.6217505366086328E-2</v>
      </c>
      <c r="W846" s="30">
        <f t="shared" ca="1" si="118"/>
        <v>-2.4606790143983275E-3</v>
      </c>
      <c r="X846" s="30">
        <f t="shared" ca="1" si="116"/>
        <v>1.9117647058823514E-2</v>
      </c>
      <c r="Y846" s="31">
        <f t="shared" ca="1" si="117"/>
        <v>8.6730232751800737E-2</v>
      </c>
    </row>
    <row r="847" spans="2:25" x14ac:dyDescent="0.45">
      <c r="B847" vm="6790">
        <f ca="1"/>
        <v>45393</v>
      </c>
      <c r="C847" vm="6791">
        <f ca="1"/>
        <v>427.93</v>
      </c>
      <c r="D847" vm="6790">
        <f ca="1"/>
        <v>45393</v>
      </c>
      <c r="E847" vm="6792">
        <f ca="1"/>
        <v>16.420000000000002</v>
      </c>
      <c r="F847" vm="6790">
        <f ca="1"/>
        <v>45393</v>
      </c>
      <c r="G847" vm="6793">
        <f ca="1"/>
        <v>275.68</v>
      </c>
      <c r="H847" vm="6790">
        <f ca="1"/>
        <v>45393</v>
      </c>
      <c r="I847" vm="6794">
        <f ca="1"/>
        <v>145</v>
      </c>
      <c r="J847" vm="6790">
        <f ca="1"/>
        <v>45393</v>
      </c>
      <c r="K847" vm="6795">
        <f ca="1"/>
        <v>42.23</v>
      </c>
      <c r="L847" vm="6790">
        <f ca="1"/>
        <v>45393</v>
      </c>
      <c r="M847" vm="6796">
        <f ca="1"/>
        <v>303.57</v>
      </c>
      <c r="N847" vm="6790">
        <f ca="1"/>
        <v>45393</v>
      </c>
      <c r="O847" vm="6797">
        <f ca="1"/>
        <v>54.36</v>
      </c>
      <c r="P847" vm="6790">
        <f ca="1"/>
        <v>45393</v>
      </c>
      <c r="Q847" vm="6798">
        <f ca="1"/>
        <v>155.18100000000001</v>
      </c>
      <c r="R847" s="29">
        <f t="shared" ca="1" si="111"/>
        <v>1.1033407361905249E-2</v>
      </c>
      <c r="S847" s="30">
        <f t="shared" ca="1" si="112"/>
        <v>-1.8529587567244394E-2</v>
      </c>
      <c r="T847" s="30">
        <f t="shared" ca="1" si="113"/>
        <v>4.3719032352083527E-3</v>
      </c>
      <c r="U847" s="30">
        <f t="shared" ca="1" si="114"/>
        <v>5.8268590455050184E-3</v>
      </c>
      <c r="V847" s="30">
        <f t="shared" ca="1" si="115"/>
        <v>-8.9180943440507528E-3</v>
      </c>
      <c r="W847" s="30">
        <f t="shared" ca="1" si="118"/>
        <v>1.193373112437076E-2</v>
      </c>
      <c r="X847" s="30">
        <f t="shared" ca="1" si="116"/>
        <v>-1.9480519480519449E-2</v>
      </c>
      <c r="Y847" s="31">
        <f t="shared" ca="1" si="117"/>
        <v>-9.0613026819922268E-3</v>
      </c>
    </row>
    <row r="848" spans="2:25" x14ac:dyDescent="0.45">
      <c r="B848" vm="6799">
        <f ca="1"/>
        <v>45394</v>
      </c>
      <c r="C848" vm="6800">
        <f ca="1"/>
        <v>421.9</v>
      </c>
      <c r="D848" vm="6799">
        <f ca="1"/>
        <v>45394</v>
      </c>
      <c r="E848" vm="168">
        <f ca="1"/>
        <v>16.309999999999999</v>
      </c>
      <c r="F848" vm="6799">
        <f ca="1"/>
        <v>45394</v>
      </c>
      <c r="G848" vm="6801">
        <f ca="1"/>
        <v>275.95999999999998</v>
      </c>
      <c r="H848" vm="6799">
        <f ca="1"/>
        <v>45394</v>
      </c>
      <c r="I848" vm="6802">
        <f ca="1"/>
        <v>140.72999999999999</v>
      </c>
      <c r="J848" vm="6799">
        <f ca="1"/>
        <v>45394</v>
      </c>
      <c r="K848" vm="6803">
        <f ca="1"/>
        <v>41.33</v>
      </c>
      <c r="L848" vm="6799">
        <f ca="1"/>
        <v>45394</v>
      </c>
      <c r="M848" vm="6804">
        <f ca="1"/>
        <v>300.45</v>
      </c>
      <c r="N848" vm="6799">
        <f ca="1"/>
        <v>45394</v>
      </c>
      <c r="O848" vm="6805">
        <f ca="1"/>
        <v>59.16</v>
      </c>
      <c r="P848" vm="6799">
        <f ca="1"/>
        <v>45394</v>
      </c>
      <c r="Q848" vm="6806">
        <f ca="1"/>
        <v>147.958</v>
      </c>
      <c r="R848" s="29">
        <f t="shared" ca="1" si="111"/>
        <v>-1.4091089664197485E-2</v>
      </c>
      <c r="S848" s="30">
        <f t="shared" ca="1" si="112"/>
        <v>-6.6991473812425687E-3</v>
      </c>
      <c r="T848" s="30">
        <f t="shared" ca="1" si="113"/>
        <v>1.0156703424259021E-3</v>
      </c>
      <c r="U848" s="30">
        <f t="shared" ca="1" si="114"/>
        <v>-2.9448275862069037E-2</v>
      </c>
      <c r="V848" s="30">
        <f t="shared" ca="1" si="115"/>
        <v>-2.1311863604072903E-2</v>
      </c>
      <c r="W848" s="30">
        <f t="shared" ca="1" si="118"/>
        <v>-1.0277695424449071E-2</v>
      </c>
      <c r="X848" s="30">
        <f t="shared" ca="1" si="116"/>
        <v>8.8300220750551828E-2</v>
      </c>
      <c r="Y848" s="31">
        <f t="shared" ca="1" si="117"/>
        <v>-4.6545646696438431E-2</v>
      </c>
    </row>
    <row r="849" spans="2:25" x14ac:dyDescent="0.45">
      <c r="B849" vm="6807">
        <f ca="1"/>
        <v>45397</v>
      </c>
      <c r="C849" vm="6563">
        <f ca="1"/>
        <v>413.64</v>
      </c>
      <c r="D849" vm="6807">
        <f ca="1"/>
        <v>45397</v>
      </c>
      <c r="E849" vm="3797">
        <f ca="1"/>
        <v>16.239999999999998</v>
      </c>
      <c r="F849" vm="6807">
        <f ca="1"/>
        <v>45397</v>
      </c>
      <c r="G849" vm="6808">
        <f ca="1"/>
        <v>271.27999999999997</v>
      </c>
      <c r="H849" vm="6807">
        <f ca="1"/>
        <v>45397</v>
      </c>
      <c r="I849" vm="6809">
        <f ca="1"/>
        <v>140.22</v>
      </c>
      <c r="J849" vm="6807">
        <f ca="1"/>
        <v>45397</v>
      </c>
      <c r="K849" vm="6810">
        <f ca="1"/>
        <v>40.82</v>
      </c>
      <c r="L849" vm="6807">
        <f ca="1"/>
        <v>45397</v>
      </c>
      <c r="M849" vm="6811">
        <f ca="1"/>
        <v>290.52</v>
      </c>
      <c r="N849" vm="6807">
        <f ca="1"/>
        <v>45397</v>
      </c>
      <c r="O849" vm="6812">
        <f ca="1"/>
        <v>62.44</v>
      </c>
      <c r="P849" vm="6807">
        <f ca="1"/>
        <v>45397</v>
      </c>
      <c r="Q849" vm="6813">
        <f ca="1"/>
        <v>133.58799999999999</v>
      </c>
      <c r="R849" s="29">
        <f t="shared" ca="1" si="111"/>
        <v>-1.9578099075610315E-2</v>
      </c>
      <c r="S849" s="30">
        <f t="shared" ca="1" si="112"/>
        <v>-4.2918454935622491E-3</v>
      </c>
      <c r="T849" s="30">
        <f t="shared" ca="1" si="113"/>
        <v>-1.6958979562255425E-2</v>
      </c>
      <c r="U849" s="30">
        <f t="shared" ca="1" si="114"/>
        <v>-3.62396077595389E-3</v>
      </c>
      <c r="V849" s="30">
        <f t="shared" ca="1" si="115"/>
        <v>-1.233970481490438E-2</v>
      </c>
      <c r="W849" s="30">
        <f t="shared" ca="1" si="118"/>
        <v>-3.3050424363454844E-2</v>
      </c>
      <c r="X849" s="30">
        <f t="shared" ca="1" si="116"/>
        <v>5.5442866801893191E-2</v>
      </c>
      <c r="Y849" s="31">
        <f t="shared" ca="1" si="117"/>
        <v>-9.7122156287595157E-2</v>
      </c>
    </row>
    <row r="850" spans="2:25" x14ac:dyDescent="0.45">
      <c r="B850" vm="6814">
        <f ca="1"/>
        <v>45398</v>
      </c>
      <c r="C850" vm="6815">
        <f ca="1"/>
        <v>414.58</v>
      </c>
      <c r="D850" vm="6814">
        <f ca="1"/>
        <v>45398</v>
      </c>
      <c r="E850" vm="3860">
        <f ca="1"/>
        <v>16.09</v>
      </c>
      <c r="F850" vm="6814">
        <f ca="1"/>
        <v>45398</v>
      </c>
      <c r="G850" vm="6816">
        <f ca="1"/>
        <v>271.35000000000002</v>
      </c>
      <c r="H850" vm="6814">
        <f ca="1"/>
        <v>45398</v>
      </c>
      <c r="I850" vm="6817">
        <f ca="1"/>
        <v>136.80000000000001</v>
      </c>
      <c r="J850" vm="6814">
        <f ca="1"/>
        <v>45398</v>
      </c>
      <c r="K850" vm="6818">
        <f ca="1"/>
        <v>40.299999999999997</v>
      </c>
      <c r="L850" vm="6814">
        <f ca="1"/>
        <v>45398</v>
      </c>
      <c r="M850" vm="1985">
        <f ca="1"/>
        <v>298.08</v>
      </c>
      <c r="N850" vm="6814">
        <f ca="1"/>
        <v>45398</v>
      </c>
      <c r="O850" vm="6819">
        <f ca="1"/>
        <v>60.32</v>
      </c>
      <c r="P850" vm="6814">
        <f ca="1"/>
        <v>45398</v>
      </c>
      <c r="Q850" vm="6820">
        <f ca="1"/>
        <v>125.40300000000001</v>
      </c>
      <c r="R850" s="29">
        <f t="shared" ca="1" si="111"/>
        <v>2.2725074944396038E-3</v>
      </c>
      <c r="S850" s="30">
        <f t="shared" ca="1" si="112"/>
        <v>-9.2364532019703575E-3</v>
      </c>
      <c r="T850" s="30">
        <f t="shared" ca="1" si="113"/>
        <v>2.5803597758791664E-4</v>
      </c>
      <c r="U850" s="30">
        <f t="shared" ca="1" si="114"/>
        <v>-2.4390243902438935E-2</v>
      </c>
      <c r="V850" s="30">
        <f t="shared" ca="1" si="115"/>
        <v>-1.273885350318479E-2</v>
      </c>
      <c r="W850" s="30">
        <f t="shared" ca="1" si="118"/>
        <v>2.6022304832713766E-2</v>
      </c>
      <c r="X850" s="30">
        <f t="shared" ca="1" si="116"/>
        <v>-3.3952594490711044E-2</v>
      </c>
      <c r="Y850" s="31">
        <f t="shared" ca="1" si="117"/>
        <v>-6.1270473395813908E-2</v>
      </c>
    </row>
    <row r="851" spans="2:25" x14ac:dyDescent="0.45">
      <c r="B851" vm="6821">
        <f ca="1"/>
        <v>45399</v>
      </c>
      <c r="C851" vm="2904">
        <f ca="1"/>
        <v>411.84</v>
      </c>
      <c r="D851" vm="6821">
        <f ca="1"/>
        <v>45399</v>
      </c>
      <c r="E851" vm="5265">
        <f ca="1"/>
        <v>16.12</v>
      </c>
      <c r="F851" vm="6821">
        <f ca="1"/>
        <v>45399</v>
      </c>
      <c r="G851" vm="6822">
        <f ca="1"/>
        <v>272.69</v>
      </c>
      <c r="H851" vm="6821">
        <f ca="1"/>
        <v>45399</v>
      </c>
      <c r="I851" vm="6823">
        <f ca="1"/>
        <v>134.55000000000001</v>
      </c>
      <c r="J851" vm="6821">
        <f ca="1"/>
        <v>45399</v>
      </c>
      <c r="K851" vm="6824">
        <f ca="1"/>
        <v>39.130000000000003</v>
      </c>
      <c r="L851" vm="6821">
        <f ca="1"/>
        <v>45399</v>
      </c>
      <c r="M851" vm="6825">
        <f ca="1"/>
        <v>293.58</v>
      </c>
      <c r="N851" vm="6821">
        <f ca="1"/>
        <v>45399</v>
      </c>
      <c r="O851" vm="6826">
        <f ca="1"/>
        <v>59.72</v>
      </c>
      <c r="P851" vm="6821">
        <f ca="1"/>
        <v>45399</v>
      </c>
      <c r="Q851" vm="6827">
        <f ca="1"/>
        <v>118.80500000000001</v>
      </c>
      <c r="R851" s="29">
        <f t="shared" ca="1" si="111"/>
        <v>-6.6090983646099888E-3</v>
      </c>
      <c r="S851" s="30">
        <f t="shared" ca="1" si="112"/>
        <v>1.8645121193288463E-3</v>
      </c>
      <c r="T851" s="30">
        <f t="shared" ca="1" si="113"/>
        <v>4.9382716049381787E-3</v>
      </c>
      <c r="U851" s="30">
        <f t="shared" ca="1" si="114"/>
        <v>-1.6447368421052631E-2</v>
      </c>
      <c r="V851" s="30">
        <f t="shared" ca="1" si="115"/>
        <v>-2.9032258064515998E-2</v>
      </c>
      <c r="W851" s="30">
        <f t="shared" ca="1" si="118"/>
        <v>-1.5096618357487924E-2</v>
      </c>
      <c r="X851" s="30">
        <f t="shared" ca="1" si="116"/>
        <v>-9.9469496021220398E-3</v>
      </c>
      <c r="Y851" s="31">
        <f t="shared" ca="1" si="117"/>
        <v>-5.2614371267035068E-2</v>
      </c>
    </row>
    <row r="852" spans="2:25" x14ac:dyDescent="0.45">
      <c r="B852" vm="6828">
        <f ca="1"/>
        <v>45400</v>
      </c>
      <c r="C852" vm="6829">
        <f ca="1"/>
        <v>404.27</v>
      </c>
      <c r="D852" vm="6828">
        <f ca="1"/>
        <v>45400</v>
      </c>
      <c r="E852" vm="6830">
        <f ca="1"/>
        <v>16.329999999999998</v>
      </c>
      <c r="F852" vm="6828">
        <f ca="1"/>
        <v>45400</v>
      </c>
      <c r="G852" vm="6831">
        <f ca="1"/>
        <v>271.37</v>
      </c>
      <c r="H852" vm="6828">
        <f ca="1"/>
        <v>45400</v>
      </c>
      <c r="I852" vm="6832">
        <f ca="1"/>
        <v>132.44</v>
      </c>
      <c r="J852" vm="6828">
        <f ca="1"/>
        <v>45400</v>
      </c>
      <c r="K852" vm="6833">
        <f ca="1"/>
        <v>38.94</v>
      </c>
      <c r="L852" vm="6828">
        <f ca="1"/>
        <v>45400</v>
      </c>
      <c r="M852" vm="6834">
        <f ca="1"/>
        <v>289.2</v>
      </c>
      <c r="N852" vm="6828">
        <f ca="1"/>
        <v>45400</v>
      </c>
      <c r="O852" vm="6835">
        <f ca="1"/>
        <v>59.88</v>
      </c>
      <c r="P852" vm="6828">
        <f ca="1"/>
        <v>45400</v>
      </c>
      <c r="Q852" vm="6836">
        <f ca="1"/>
        <v>120.816</v>
      </c>
      <c r="R852" s="29">
        <f t="shared" ca="1" si="111"/>
        <v>-1.8380924630924615E-2</v>
      </c>
      <c r="S852" s="30">
        <f t="shared" ca="1" si="112"/>
        <v>1.3027295285359633E-2</v>
      </c>
      <c r="T852" s="30">
        <f t="shared" ca="1" si="113"/>
        <v>-4.8406615570794429E-3</v>
      </c>
      <c r="U852" s="30">
        <f t="shared" ca="1" si="114"/>
        <v>-1.5681902638424478E-2</v>
      </c>
      <c r="V852" s="30">
        <f t="shared" ca="1" si="115"/>
        <v>-4.8556095067724203E-3</v>
      </c>
      <c r="W852" s="30">
        <f t="shared" ca="1" si="118"/>
        <v>-1.491927243000203E-2</v>
      </c>
      <c r="X852" s="30">
        <f t="shared" ca="1" si="116"/>
        <v>2.6791694574682468E-3</v>
      </c>
      <c r="Y852" s="31">
        <f t="shared" ca="1" si="117"/>
        <v>1.6926897016118814E-2</v>
      </c>
    </row>
    <row r="853" spans="2:25" x14ac:dyDescent="0.45">
      <c r="B853" vm="6837">
        <f ca="1"/>
        <v>45401</v>
      </c>
      <c r="C853" vm="6838">
        <f ca="1"/>
        <v>399.12</v>
      </c>
      <c r="D853" vm="6837">
        <f ca="1"/>
        <v>45401</v>
      </c>
      <c r="E853" vm="6839">
        <f ca="1"/>
        <v>16.510000000000002</v>
      </c>
      <c r="F853" vm="6837">
        <f ca="1"/>
        <v>45401</v>
      </c>
      <c r="G853" vm="6840">
        <f ca="1"/>
        <v>269.77999999999997</v>
      </c>
      <c r="H853" vm="6837">
        <f ca="1"/>
        <v>45401</v>
      </c>
      <c r="I853" vm="6841">
        <f ca="1"/>
        <v>132.72999999999999</v>
      </c>
      <c r="J853" vm="6837">
        <f ca="1"/>
        <v>45401</v>
      </c>
      <c r="K853" vm="6158">
        <f ca="1"/>
        <v>38.590000000000003</v>
      </c>
      <c r="L853" vm="6837">
        <f ca="1"/>
        <v>45401</v>
      </c>
      <c r="M853" vm="6842">
        <f ca="1"/>
        <v>275.83</v>
      </c>
      <c r="N853" vm="6837">
        <f ca="1"/>
        <v>45401</v>
      </c>
      <c r="O853" vm="6843">
        <f ca="1"/>
        <v>61.84</v>
      </c>
      <c r="P853" vm="6837">
        <f ca="1"/>
        <v>45401</v>
      </c>
      <c r="Q853" vm="6844">
        <f ca="1"/>
        <v>117.411</v>
      </c>
      <c r="R853" s="29">
        <f t="shared" ca="1" si="111"/>
        <v>-1.2739011056966823E-2</v>
      </c>
      <c r="S853" s="30">
        <f t="shared" ca="1" si="112"/>
        <v>1.1022657685242087E-2</v>
      </c>
      <c r="T853" s="30">
        <f t="shared" ca="1" si="113"/>
        <v>-5.8591590816966937E-3</v>
      </c>
      <c r="U853" s="30">
        <f t="shared" ca="1" si="114"/>
        <v>2.1896707943218972E-3</v>
      </c>
      <c r="V853" s="30">
        <f t="shared" ca="1" si="115"/>
        <v>-8.9881869542885046E-3</v>
      </c>
      <c r="W853" s="30">
        <f t="shared" ca="1" si="118"/>
        <v>-4.6230982019363778E-2</v>
      </c>
      <c r="X853" s="30">
        <f t="shared" ca="1" si="116"/>
        <v>3.2732130928523728E-2</v>
      </c>
      <c r="Y853" s="31">
        <f t="shared" ca="1" si="117"/>
        <v>-2.8183353198251895E-2</v>
      </c>
    </row>
    <row r="854" spans="2:25" x14ac:dyDescent="0.45">
      <c r="B854" vm="6845">
        <f ca="1"/>
        <v>45404</v>
      </c>
      <c r="C854" vm="6846">
        <f ca="1"/>
        <v>400.96</v>
      </c>
      <c r="D854" vm="6845">
        <f ca="1"/>
        <v>45404</v>
      </c>
      <c r="E854" vm="168">
        <f ca="1"/>
        <v>16.309999999999999</v>
      </c>
      <c r="F854" vm="6845">
        <f ca="1"/>
        <v>45404</v>
      </c>
      <c r="G854" vm="6847">
        <f ca="1"/>
        <v>272.33</v>
      </c>
      <c r="H854" vm="6845">
        <f ca="1"/>
        <v>45404</v>
      </c>
      <c r="I854" vm="6848">
        <f ca="1"/>
        <v>133.91</v>
      </c>
      <c r="J854" vm="6845">
        <f ca="1"/>
        <v>45404</v>
      </c>
      <c r="K854" vm="6849">
        <f ca="1"/>
        <v>38.840000000000003</v>
      </c>
      <c r="L854" vm="6845">
        <f ca="1"/>
        <v>45404</v>
      </c>
      <c r="M854" vm="6850">
        <f ca="1"/>
        <v>272.24</v>
      </c>
      <c r="N854" vm="6845">
        <f ca="1"/>
        <v>45404</v>
      </c>
      <c r="O854" vm="6851">
        <f ca="1"/>
        <v>57.08</v>
      </c>
      <c r="P854" vm="6845">
        <f ca="1"/>
        <v>45404</v>
      </c>
      <c r="Q854" vm="6852">
        <f ca="1"/>
        <v>132.40100000000001</v>
      </c>
      <c r="R854" s="29">
        <f t="shared" ca="1" si="111"/>
        <v>4.6101423130887323E-3</v>
      </c>
      <c r="S854" s="30">
        <f t="shared" ca="1" si="112"/>
        <v>-1.2113870381587089E-2</v>
      </c>
      <c r="T854" s="30">
        <f t="shared" ca="1" si="113"/>
        <v>9.4521461931944984E-3</v>
      </c>
      <c r="U854" s="30">
        <f t="shared" ca="1" si="114"/>
        <v>8.8902282829805383E-3</v>
      </c>
      <c r="V854" s="30">
        <f t="shared" ca="1" si="115"/>
        <v>6.4783622700181386E-3</v>
      </c>
      <c r="W854" s="30">
        <f t="shared" ca="1" si="118"/>
        <v>-1.3015263024326488E-2</v>
      </c>
      <c r="X854" s="30">
        <f t="shared" ca="1" si="116"/>
        <v>-7.6972833117723238E-2</v>
      </c>
      <c r="Y854" s="31">
        <f t="shared" ca="1" si="117"/>
        <v>0.1276711722070335</v>
      </c>
    </row>
    <row r="855" spans="2:25" x14ac:dyDescent="0.45">
      <c r="B855" vm="6853">
        <f ca="1"/>
        <v>45405</v>
      </c>
      <c r="C855" vm="6854">
        <f ca="1"/>
        <v>407.57</v>
      </c>
      <c r="D855" vm="6853">
        <f ca="1"/>
        <v>45405</v>
      </c>
      <c r="E855" vm="396">
        <f ca="1"/>
        <v>16.5</v>
      </c>
      <c r="F855" vm="6853">
        <f ca="1"/>
        <v>45405</v>
      </c>
      <c r="G855" vm="6855">
        <f ca="1"/>
        <v>274.11</v>
      </c>
      <c r="H855" vm="6853">
        <f ca="1"/>
        <v>45405</v>
      </c>
      <c r="I855" vm="4857">
        <f ca="1"/>
        <v>139.19999999999999</v>
      </c>
      <c r="J855" vm="6853">
        <f ca="1"/>
        <v>45405</v>
      </c>
      <c r="K855" vm="6856">
        <f ca="1"/>
        <v>37.94</v>
      </c>
      <c r="L855" vm="6853">
        <f ca="1"/>
        <v>45405</v>
      </c>
      <c r="M855" vm="6857">
        <f ca="1"/>
        <v>303.31</v>
      </c>
      <c r="N855" vm="6853">
        <f ca="1"/>
        <v>45405</v>
      </c>
      <c r="O855" vm="6858">
        <f ca="1"/>
        <v>54.84</v>
      </c>
      <c r="P855" vm="6853">
        <f ca="1"/>
        <v>45405</v>
      </c>
      <c r="Q855" vm="6859">
        <f ca="1"/>
        <v>133.864</v>
      </c>
      <c r="R855" s="29">
        <f t="shared" ca="1" si="111"/>
        <v>1.6485434956105383E-2</v>
      </c>
      <c r="S855" s="30">
        <f t="shared" ca="1" si="112"/>
        <v>1.1649294911097565E-2</v>
      </c>
      <c r="T855" s="30">
        <f t="shared" ca="1" si="113"/>
        <v>6.536187713436014E-3</v>
      </c>
      <c r="U855" s="30">
        <f t="shared" ca="1" si="114"/>
        <v>3.9504144574714302E-2</v>
      </c>
      <c r="V855" s="30">
        <f t="shared" ca="1" si="115"/>
        <v>-2.3171987641606735E-2</v>
      </c>
      <c r="W855" s="30">
        <f t="shared" ca="1" si="118"/>
        <v>0.11412724066999703</v>
      </c>
      <c r="X855" s="30">
        <f t="shared" ca="1" si="116"/>
        <v>-3.9243167484232566E-2</v>
      </c>
      <c r="Y855" s="31">
        <f t="shared" ca="1" si="117"/>
        <v>1.1049765485154898E-2</v>
      </c>
    </row>
    <row r="856" spans="2:25" x14ac:dyDescent="0.45">
      <c r="B856" vm="6860">
        <f ca="1"/>
        <v>45406</v>
      </c>
      <c r="C856" vm="6861">
        <f ca="1"/>
        <v>409.06</v>
      </c>
      <c r="D856" vm="6860">
        <f ca="1"/>
        <v>45406</v>
      </c>
      <c r="E856" vm="6862">
        <f ca="1"/>
        <v>16.809999999999999</v>
      </c>
      <c r="F856" vm="6860">
        <f ca="1"/>
        <v>45406</v>
      </c>
      <c r="G856" vm="6863">
        <f ca="1"/>
        <v>275.02</v>
      </c>
      <c r="H856" vm="6860">
        <f ca="1"/>
        <v>45406</v>
      </c>
      <c r="I856" vm="6864">
        <f ca="1"/>
        <v>137.49</v>
      </c>
      <c r="J856" vm="6860">
        <f ca="1"/>
        <v>45406</v>
      </c>
      <c r="K856" vm="6865">
        <f ca="1"/>
        <v>36.6</v>
      </c>
      <c r="L856" vm="6860">
        <f ca="1"/>
        <v>45406</v>
      </c>
      <c r="M856" vm="6866">
        <f ca="1"/>
        <v>281.23</v>
      </c>
      <c r="N856" vm="6860">
        <f ca="1"/>
        <v>45406</v>
      </c>
      <c r="O856" vm="6585">
        <f ca="1"/>
        <v>54.28</v>
      </c>
      <c r="P856" vm="6860">
        <f ca="1"/>
        <v>45406</v>
      </c>
      <c r="Q856" vm="6867">
        <f ca="1"/>
        <v>126.56699999999999</v>
      </c>
      <c r="R856" s="29">
        <f t="shared" ca="1" si="111"/>
        <v>3.6558137252496728E-3</v>
      </c>
      <c r="S856" s="30">
        <f t="shared" ca="1" si="112"/>
        <v>1.8787878787878711E-2</v>
      </c>
      <c r="T856" s="30">
        <f t="shared" ca="1" si="113"/>
        <v>3.3198351026958815E-3</v>
      </c>
      <c r="U856" s="30">
        <f t="shared" ca="1" si="114"/>
        <v>-1.2284482758620544E-2</v>
      </c>
      <c r="V856" s="30">
        <f t="shared" ca="1" si="115"/>
        <v>-3.5318924617817514E-2</v>
      </c>
      <c r="W856" s="30">
        <f t="shared" ca="1" si="118"/>
        <v>-7.2796808545712258E-2</v>
      </c>
      <c r="X856" s="30">
        <f t="shared" ca="1" si="116"/>
        <v>-1.0211524434719224E-2</v>
      </c>
      <c r="Y856" s="31">
        <f t="shared" ca="1" si="117"/>
        <v>-5.451054801888492E-2</v>
      </c>
    </row>
    <row r="857" spans="2:25" x14ac:dyDescent="0.45">
      <c r="B857" vm="6868">
        <f ca="1"/>
        <v>45407</v>
      </c>
      <c r="C857" vm="1642">
        <f ca="1"/>
        <v>399.04</v>
      </c>
      <c r="D857" vm="6868">
        <f ca="1"/>
        <v>45407</v>
      </c>
      <c r="E857" vm="6231">
        <f ca="1"/>
        <v>16.579999999999998</v>
      </c>
      <c r="F857" vm="6868">
        <f ca="1"/>
        <v>45407</v>
      </c>
      <c r="G857" vm="6869">
        <f ca="1"/>
        <v>275.16000000000003</v>
      </c>
      <c r="H857" vm="6868">
        <f ca="1"/>
        <v>45407</v>
      </c>
      <c r="I857" vm="1087">
        <f ca="1"/>
        <v>136.37</v>
      </c>
      <c r="J857" vm="6868">
        <f ca="1"/>
        <v>45407</v>
      </c>
      <c r="K857" vm="6870">
        <f ca="1"/>
        <v>37.17</v>
      </c>
      <c r="L857" vm="6868">
        <f ca="1"/>
        <v>45407</v>
      </c>
      <c r="M857" vm="6871">
        <f ca="1"/>
        <v>289.02</v>
      </c>
      <c r="N857" vm="6868">
        <f ca="1"/>
        <v>45407</v>
      </c>
      <c r="O857" vm="6872">
        <f ca="1"/>
        <v>55.52</v>
      </c>
      <c r="P857" vm="6868">
        <f ca="1"/>
        <v>45407</v>
      </c>
      <c r="Q857" vm="6873">
        <f ca="1"/>
        <v>124.041</v>
      </c>
      <c r="R857" s="29">
        <f t="shared" ca="1" si="111"/>
        <v>-2.4495184080574932E-2</v>
      </c>
      <c r="S857" s="30">
        <f t="shared" ca="1" si="112"/>
        <v>-1.3682331945270699E-2</v>
      </c>
      <c r="T857" s="30">
        <f t="shared" ca="1" si="113"/>
        <v>5.0905388699019416E-4</v>
      </c>
      <c r="U857" s="30">
        <f t="shared" ca="1" si="114"/>
        <v>-8.1460469852353227E-3</v>
      </c>
      <c r="V857" s="30">
        <f t="shared" ca="1" si="115"/>
        <v>1.5573770491803286E-2</v>
      </c>
      <c r="W857" s="30">
        <f t="shared" ca="1" si="118"/>
        <v>2.7699747537602543E-2</v>
      </c>
      <c r="X857" s="30">
        <f t="shared" ca="1" si="116"/>
        <v>2.2844509948415657E-2</v>
      </c>
      <c r="Y857" s="31">
        <f t="shared" ca="1" si="117"/>
        <v>-1.995780890753511E-2</v>
      </c>
    </row>
    <row r="858" spans="2:25" x14ac:dyDescent="0.45">
      <c r="B858" vm="6874">
        <f ca="1"/>
        <v>45408</v>
      </c>
      <c r="C858" vm="6480">
        <f ca="1"/>
        <v>406.32</v>
      </c>
      <c r="D858" vm="6874">
        <f ca="1"/>
        <v>45408</v>
      </c>
      <c r="E858" vm="6875">
        <f ca="1"/>
        <v>16.75</v>
      </c>
      <c r="F858" vm="6874">
        <f ca="1"/>
        <v>45408</v>
      </c>
      <c r="G858" vm="6876">
        <f ca="1"/>
        <v>274.52</v>
      </c>
      <c r="H858" vm="6874">
        <f ca="1"/>
        <v>45408</v>
      </c>
      <c r="I858" vm="6877">
        <f ca="1"/>
        <v>137.74</v>
      </c>
      <c r="J858" vm="6874">
        <f ca="1"/>
        <v>45408</v>
      </c>
      <c r="K858" vm="6878">
        <f ca="1"/>
        <v>37.42</v>
      </c>
      <c r="L858" vm="6874">
        <f ca="1"/>
        <v>45408</v>
      </c>
      <c r="M858" vm="6879">
        <f ca="1"/>
        <v>289.58999999999997</v>
      </c>
      <c r="N858" vm="6874">
        <f ca="1"/>
        <v>45408</v>
      </c>
      <c r="O858" vm="6880">
        <f ca="1"/>
        <v>53.72</v>
      </c>
      <c r="P858" vm="6874">
        <f ca="1"/>
        <v>45408</v>
      </c>
      <c r="Q858" vm="6881">
        <f ca="1"/>
        <v>128.238</v>
      </c>
      <c r="R858" s="29">
        <f t="shared" ca="1" si="111"/>
        <v>1.8243785084202015E-2</v>
      </c>
      <c r="S858" s="30">
        <f t="shared" ca="1" si="112"/>
        <v>1.0253317249698536E-2</v>
      </c>
      <c r="T858" s="30">
        <f t="shared" ca="1" si="113"/>
        <v>-2.32591946503868E-3</v>
      </c>
      <c r="U858" s="30">
        <f t="shared" ca="1" si="114"/>
        <v>1.0046197844100642E-2</v>
      </c>
      <c r="V858" s="30">
        <f t="shared" ca="1" si="115"/>
        <v>6.7258541834813021E-3</v>
      </c>
      <c r="W858" s="30">
        <f t="shared" ca="1" si="118"/>
        <v>1.9721818559269022E-3</v>
      </c>
      <c r="X858" s="30">
        <f t="shared" ca="1" si="116"/>
        <v>-3.2420749279538981E-2</v>
      </c>
      <c r="Y858" s="31">
        <f t="shared" ca="1" si="117"/>
        <v>3.3835586620552902E-2</v>
      </c>
    </row>
    <row r="859" spans="2:25" x14ac:dyDescent="0.45">
      <c r="B859" vm="6882">
        <f ca="1"/>
        <v>45411</v>
      </c>
      <c r="C859" vm="6883">
        <f ca="1"/>
        <v>402.25</v>
      </c>
      <c r="D859" vm="6882">
        <f ca="1"/>
        <v>45411</v>
      </c>
      <c r="E859" vm="3361">
        <f ca="1"/>
        <v>17.02</v>
      </c>
      <c r="F859" vm="6882">
        <f ca="1"/>
        <v>45411</v>
      </c>
      <c r="G859" vm="6884">
        <f ca="1"/>
        <v>271.83999999999997</v>
      </c>
      <c r="H859" vm="6882">
        <f ca="1"/>
        <v>45411</v>
      </c>
      <c r="I859" vm="6885">
        <f ca="1"/>
        <v>139.59</v>
      </c>
      <c r="J859" vm="6882">
        <f ca="1"/>
        <v>45411</v>
      </c>
      <c r="K859" vm="6886">
        <f ca="1"/>
        <v>36.96</v>
      </c>
      <c r="L859" vm="6882">
        <f ca="1"/>
        <v>45411</v>
      </c>
      <c r="M859" vm="6887">
        <f ca="1"/>
        <v>286.24</v>
      </c>
      <c r="N859" vm="6882">
        <f ca="1"/>
        <v>45411</v>
      </c>
      <c r="O859" vm="6888">
        <f ca="1"/>
        <v>52.8</v>
      </c>
      <c r="P859" vm="6882">
        <f ca="1"/>
        <v>45411</v>
      </c>
      <c r="Q859" vm="6889">
        <f ca="1"/>
        <v>129.297</v>
      </c>
      <c r="R859" s="29">
        <f t="shared" ca="1" si="111"/>
        <v>-1.0016735577869643E-2</v>
      </c>
      <c r="S859" s="30">
        <f t="shared" ca="1" si="112"/>
        <v>1.61194029850746E-2</v>
      </c>
      <c r="T859" s="30">
        <f t="shared" ca="1" si="113"/>
        <v>-9.762494535917262E-3</v>
      </c>
      <c r="U859" s="30">
        <f t="shared" ca="1" si="114"/>
        <v>1.3431102076375738E-2</v>
      </c>
      <c r="V859" s="30">
        <f t="shared" ca="1" si="115"/>
        <v>-1.2292891501870679E-2</v>
      </c>
      <c r="W859" s="30">
        <f t="shared" ca="1" si="118"/>
        <v>-1.156807900825293E-2</v>
      </c>
      <c r="X859" s="30">
        <f t="shared" ca="1" si="116"/>
        <v>-1.712583767684292E-2</v>
      </c>
      <c r="Y859" s="31">
        <f t="shared" ca="1" si="117"/>
        <v>8.2580826276142608E-3</v>
      </c>
    </row>
    <row r="860" spans="2:25" x14ac:dyDescent="0.45">
      <c r="B860" vm="6890">
        <f ca="1"/>
        <v>45412</v>
      </c>
      <c r="C860" vm="6891">
        <f ca="1"/>
        <v>389.33</v>
      </c>
      <c r="D860" vm="6890">
        <f ca="1"/>
        <v>45412</v>
      </c>
      <c r="E860" vm="6892">
        <f ca="1"/>
        <v>16.89</v>
      </c>
      <c r="F860" vm="6890">
        <f ca="1"/>
        <v>45412</v>
      </c>
      <c r="G860" vm="6893">
        <f ca="1"/>
        <v>268.61</v>
      </c>
      <c r="H860" vm="6890">
        <f ca="1"/>
        <v>45412</v>
      </c>
      <c r="I860" vm="6894">
        <f ca="1"/>
        <v>137.04</v>
      </c>
      <c r="J860" vm="6890">
        <f ca="1"/>
        <v>45412</v>
      </c>
      <c r="K860" vm="6895">
        <f ca="1"/>
        <v>36.5</v>
      </c>
      <c r="L860" vm="6890">
        <f ca="1"/>
        <v>45412</v>
      </c>
      <c r="M860" vm="6896">
        <f ca="1"/>
        <v>280.44</v>
      </c>
      <c r="N860" vm="6890">
        <f ca="1"/>
        <v>45412</v>
      </c>
      <c r="O860" vm="6897">
        <f ca="1"/>
        <v>54.44</v>
      </c>
      <c r="P860" vm="6890">
        <f ca="1"/>
        <v>45412</v>
      </c>
      <c r="Q860" vm="6898">
        <f ca="1"/>
        <v>106.503</v>
      </c>
      <c r="R860" s="29">
        <f t="shared" ca="1" si="111"/>
        <v>-3.2119328775637078E-2</v>
      </c>
      <c r="S860" s="30">
        <f t="shared" ca="1" si="112"/>
        <v>-7.6380728554641016E-3</v>
      </c>
      <c r="T860" s="30">
        <f t="shared" ca="1" si="113"/>
        <v>-1.1881989405532525E-2</v>
      </c>
      <c r="U860" s="30">
        <f t="shared" ca="1" si="114"/>
        <v>-1.8267784225231114E-2</v>
      </c>
      <c r="V860" s="30">
        <f t="shared" ca="1" si="115"/>
        <v>-1.2445887445887469E-2</v>
      </c>
      <c r="W860" s="30">
        <f t="shared" ca="1" si="118"/>
        <v>-2.0262716601453366E-2</v>
      </c>
      <c r="X860" s="30">
        <f t="shared" ca="1" si="116"/>
        <v>3.1060606060606073E-2</v>
      </c>
      <c r="Y860" s="31">
        <f t="shared" ca="1" si="117"/>
        <v>-0.17629179331306988</v>
      </c>
    </row>
    <row r="861" spans="2:25" x14ac:dyDescent="0.45">
      <c r="B861" vm="6899">
        <f ca="1"/>
        <v>45413</v>
      </c>
      <c r="C861" vm="6900">
        <f ca="1"/>
        <v>394.94</v>
      </c>
      <c r="D861" vm="6899">
        <f ca="1"/>
        <v>45413</v>
      </c>
      <c r="E861" vm="6133">
        <f ca="1"/>
        <v>16.920000000000002</v>
      </c>
      <c r="F861" vm="6899">
        <f ca="1"/>
        <v>45413</v>
      </c>
      <c r="G861" vm="6901">
        <f ca="1"/>
        <v>267.32</v>
      </c>
      <c r="H861" vm="6899">
        <f ca="1"/>
        <v>45413</v>
      </c>
      <c r="I861" vm="6902">
        <f ca="1"/>
        <v>138.69</v>
      </c>
      <c r="J861" vm="6899">
        <f ca="1"/>
        <v>45413</v>
      </c>
      <c r="K861" vm="6903">
        <f ca="1"/>
        <v>36.979999999999997</v>
      </c>
      <c r="L861" vm="6899">
        <f ca="1"/>
        <v>45413</v>
      </c>
      <c r="M861" vm="6904">
        <f ca="1"/>
        <v>284.54000000000002</v>
      </c>
      <c r="N861" vm="6899">
        <f ca="1"/>
        <v>45413</v>
      </c>
      <c r="O861" vm="6905">
        <f ca="1"/>
        <v>54.76</v>
      </c>
      <c r="P861" vm="6899">
        <f ca="1"/>
        <v>45413</v>
      </c>
      <c r="Q861" vm="6906">
        <f ca="1"/>
        <v>102.827</v>
      </c>
      <c r="R861" s="29">
        <f t="shared" ca="1" si="111"/>
        <v>1.4409369943235851E-2</v>
      </c>
      <c r="S861" s="30">
        <f t="shared" ca="1" si="112"/>
        <v>1.7761989342807067E-3</v>
      </c>
      <c r="T861" s="30">
        <f t="shared" ca="1" si="113"/>
        <v>-4.8025017683631299E-3</v>
      </c>
      <c r="U861" s="30">
        <f t="shared" ca="1" si="114"/>
        <v>1.2040280210157661E-2</v>
      </c>
      <c r="V861" s="30">
        <f t="shared" ca="1" si="115"/>
        <v>1.3150684931506763E-2</v>
      </c>
      <c r="W861" s="30">
        <f t="shared" ca="1" si="118"/>
        <v>1.4619883040935753E-2</v>
      </c>
      <c r="X861" s="30">
        <f t="shared" ca="1" si="116"/>
        <v>5.8780308596620189E-3</v>
      </c>
      <c r="Y861" s="31">
        <f t="shared" ca="1" si="117"/>
        <v>-3.4515459658413399E-2</v>
      </c>
    </row>
    <row r="862" spans="2:25" x14ac:dyDescent="0.45">
      <c r="B862" vm="6907">
        <f ca="1"/>
        <v>45414</v>
      </c>
      <c r="C862" vm="6908">
        <f ca="1"/>
        <v>397.84</v>
      </c>
      <c r="D862" vm="6907">
        <f ca="1"/>
        <v>45414</v>
      </c>
      <c r="E862" vm="3070">
        <f ca="1"/>
        <v>16.82</v>
      </c>
      <c r="F862" vm="6907">
        <f ca="1"/>
        <v>45414</v>
      </c>
      <c r="G862" vm="6909">
        <f ca="1"/>
        <v>267.61</v>
      </c>
      <c r="H862" vm="6907">
        <f ca="1"/>
        <v>45414</v>
      </c>
      <c r="I862" vm="6910">
        <f ca="1"/>
        <v>137.52000000000001</v>
      </c>
      <c r="J862" vm="6907">
        <f ca="1"/>
        <v>45414</v>
      </c>
      <c r="K862" vm="6911">
        <f ca="1"/>
        <v>37.049999999999997</v>
      </c>
      <c r="L862" vm="6907">
        <f ca="1"/>
        <v>45414</v>
      </c>
      <c r="M862" vm="1754">
        <f ca="1"/>
        <v>294.17</v>
      </c>
      <c r="N862" vm="6907">
        <f ca="1"/>
        <v>45414</v>
      </c>
      <c r="O862" vm="6912">
        <f ca="1"/>
        <v>52.96</v>
      </c>
      <c r="P862" vm="6907">
        <f ca="1"/>
        <v>45414</v>
      </c>
      <c r="Q862" vm="6913">
        <f ca="1"/>
        <v>112.94199999999999</v>
      </c>
      <c r="R862" s="29">
        <f t="shared" ca="1" si="111"/>
        <v>7.3428875272192667E-3</v>
      </c>
      <c r="S862" s="30">
        <f t="shared" ca="1" si="112"/>
        <v>-5.9101654846336529E-3</v>
      </c>
      <c r="T862" s="30">
        <f t="shared" ca="1" si="113"/>
        <v>1.0848421367650025E-3</v>
      </c>
      <c r="U862" s="30">
        <f t="shared" ca="1" si="114"/>
        <v>-8.4360804672289815E-3</v>
      </c>
      <c r="V862" s="30">
        <f t="shared" ca="1" si="115"/>
        <v>1.8929150892374334E-3</v>
      </c>
      <c r="W862" s="30">
        <f t="shared" ca="1" si="118"/>
        <v>3.384409924790889E-2</v>
      </c>
      <c r="X862" s="30">
        <f t="shared" ca="1" si="116"/>
        <v>-3.2870708546384172E-2</v>
      </c>
      <c r="Y862" s="31">
        <f t="shared" ca="1" si="117"/>
        <v>9.8369105390607475E-2</v>
      </c>
    </row>
    <row r="863" spans="2:25" x14ac:dyDescent="0.45">
      <c r="B863" vm="6914">
        <f ca="1"/>
        <v>45415</v>
      </c>
      <c r="C863" vm="6915">
        <f ca="1"/>
        <v>406.66</v>
      </c>
      <c r="D863" vm="6914">
        <f ca="1"/>
        <v>45415</v>
      </c>
      <c r="E863" vm="6916">
        <f ca="1"/>
        <v>16.850000000000001</v>
      </c>
      <c r="F863" vm="6914">
        <f ca="1"/>
        <v>45415</v>
      </c>
      <c r="G863" vm="6917">
        <f ca="1"/>
        <v>268.49</v>
      </c>
      <c r="H863" vm="6914">
        <f ca="1"/>
        <v>45415</v>
      </c>
      <c r="I863" vm="6918">
        <f ca="1"/>
        <v>139.44999999999999</v>
      </c>
      <c r="J863" vm="6914">
        <f ca="1"/>
        <v>45415</v>
      </c>
      <c r="K863" vm="6919">
        <f ca="1"/>
        <v>36.47</v>
      </c>
      <c r="L863" vm="6914">
        <f ca="1"/>
        <v>45415</v>
      </c>
      <c r="M863" vm="6920">
        <f ca="1"/>
        <v>296.07</v>
      </c>
      <c r="N863" vm="6914">
        <f ca="1"/>
        <v>45415</v>
      </c>
      <c r="O863" vm="6921">
        <f ca="1"/>
        <v>51.16</v>
      </c>
      <c r="P863" vm="6914">
        <f ca="1"/>
        <v>45415</v>
      </c>
      <c r="Q863" vm="6922">
        <f ca="1"/>
        <v>122.301</v>
      </c>
      <c r="R863" s="29">
        <f t="shared" ca="1" si="111"/>
        <v>2.2169716468932361E-2</v>
      </c>
      <c r="S863" s="30">
        <f t="shared" ca="1" si="112"/>
        <v>1.7835909631391876E-3</v>
      </c>
      <c r="T863" s="30">
        <f t="shared" ca="1" si="113"/>
        <v>3.2883674003213459E-3</v>
      </c>
      <c r="U863" s="30">
        <f t="shared" ca="1" si="114"/>
        <v>1.4034322280395421E-2</v>
      </c>
      <c r="V863" s="30">
        <f t="shared" ca="1" si="115"/>
        <v>-1.5654520917678768E-2</v>
      </c>
      <c r="W863" s="30">
        <f t="shared" ca="1" si="118"/>
        <v>6.4588503246421364E-3</v>
      </c>
      <c r="X863" s="30">
        <f t="shared" ca="1" si="116"/>
        <v>-3.3987915407855063E-2</v>
      </c>
      <c r="Y863" s="31">
        <f t="shared" ca="1" si="117"/>
        <v>8.2865541605425877E-2</v>
      </c>
    </row>
    <row r="864" spans="2:25" x14ac:dyDescent="0.45">
      <c r="B864" vm="6923">
        <f ca="1"/>
        <v>45418</v>
      </c>
      <c r="C864" vm="6924">
        <f ca="1"/>
        <v>413.54</v>
      </c>
      <c r="D864" vm="6923">
        <f ca="1"/>
        <v>45418</v>
      </c>
      <c r="E864" vm="6925">
        <f ca="1"/>
        <v>16.989999999999998</v>
      </c>
      <c r="F864" vm="6923">
        <f ca="1"/>
        <v>45418</v>
      </c>
      <c r="G864" vm="6926">
        <f ca="1"/>
        <v>272.67</v>
      </c>
      <c r="H864" vm="6923">
        <f ca="1"/>
        <v>45418</v>
      </c>
      <c r="I864" vm="6927">
        <f ca="1"/>
        <v>140.61000000000001</v>
      </c>
      <c r="J864" vm="6923">
        <f ca="1"/>
        <v>45418</v>
      </c>
      <c r="K864" vm="6928">
        <f ca="1"/>
        <v>38.04</v>
      </c>
      <c r="L864" vm="6923">
        <f ca="1"/>
        <v>45418</v>
      </c>
      <c r="M864" vm="6929">
        <f ca="1"/>
        <v>299.48</v>
      </c>
      <c r="N864" vm="6923">
        <f ca="1"/>
        <v>45418</v>
      </c>
      <c r="O864" vm="6930">
        <f ca="1"/>
        <v>49.64</v>
      </c>
      <c r="P864" vm="6923">
        <f ca="1"/>
        <v>45418</v>
      </c>
      <c r="Q864" vm="6931">
        <f ca="1"/>
        <v>126.881</v>
      </c>
      <c r="R864" s="29">
        <f t="shared" ca="1" si="111"/>
        <v>1.691831013623173E-2</v>
      </c>
      <c r="S864" s="30">
        <f t="shared" ca="1" si="112"/>
        <v>8.3086053412461131E-3</v>
      </c>
      <c r="T864" s="30">
        <f t="shared" ca="1" si="113"/>
        <v>1.5568550039107627E-2</v>
      </c>
      <c r="U864" s="30">
        <f t="shared" ca="1" si="114"/>
        <v>8.3183936894946232E-3</v>
      </c>
      <c r="V864" s="30">
        <f t="shared" ca="1" si="115"/>
        <v>4.3049081436797379E-2</v>
      </c>
      <c r="W864" s="30">
        <f t="shared" ca="1" si="118"/>
        <v>1.1517546526159439E-2</v>
      </c>
      <c r="X864" s="30">
        <f t="shared" ca="1" si="116"/>
        <v>-2.9710711493354108E-2</v>
      </c>
      <c r="Y864" s="31">
        <f t="shared" ca="1" si="117"/>
        <v>3.7448589954293079E-2</v>
      </c>
    </row>
    <row r="865" spans="2:25" x14ac:dyDescent="0.45">
      <c r="B865" vm="6932">
        <f ca="1"/>
        <v>45419</v>
      </c>
      <c r="C865" vm="6933">
        <f ca="1"/>
        <v>409.34</v>
      </c>
      <c r="D865" vm="6932">
        <f ca="1"/>
        <v>45419</v>
      </c>
      <c r="E865" vm="6934">
        <f ca="1"/>
        <v>17.079999999999998</v>
      </c>
      <c r="F865" vm="6932">
        <f ca="1"/>
        <v>45419</v>
      </c>
      <c r="G865" vm="6935">
        <f ca="1"/>
        <v>276.45999999999998</v>
      </c>
      <c r="H865" vm="6932">
        <f ca="1"/>
        <v>45419</v>
      </c>
      <c r="I865" vm="6936">
        <f ca="1"/>
        <v>141.27000000000001</v>
      </c>
      <c r="J865" vm="6932">
        <f ca="1"/>
        <v>45419</v>
      </c>
      <c r="K865" vm="6937">
        <f ca="1"/>
        <v>38.130000000000003</v>
      </c>
      <c r="L865" vm="6932">
        <f ca="1"/>
        <v>45419</v>
      </c>
      <c r="M865" vm="6938">
        <f ca="1"/>
        <v>298.05</v>
      </c>
      <c r="N865" vm="6932">
        <f ca="1"/>
        <v>45419</v>
      </c>
      <c r="O865" vm="6930">
        <f ca="1"/>
        <v>49.64</v>
      </c>
      <c r="P865" vm="6932">
        <f ca="1"/>
        <v>45419</v>
      </c>
      <c r="Q865" vm="6939">
        <f ca="1"/>
        <v>125.745</v>
      </c>
      <c r="R865" s="29">
        <f t="shared" ca="1" si="111"/>
        <v>-1.0156212216472518E-2</v>
      </c>
      <c r="S865" s="30">
        <f t="shared" ca="1" si="112"/>
        <v>5.2972336668628524E-3</v>
      </c>
      <c r="T865" s="30">
        <f t="shared" ca="1" si="113"/>
        <v>1.3899585579638257E-2</v>
      </c>
      <c r="U865" s="30">
        <f t="shared" ca="1" si="114"/>
        <v>4.693834008960931E-3</v>
      </c>
      <c r="V865" s="30">
        <f t="shared" ca="1" si="115"/>
        <v>2.365930599369175E-3</v>
      </c>
      <c r="W865" s="30">
        <f t="shared" ca="1" si="118"/>
        <v>-4.7749432349405863E-3</v>
      </c>
      <c r="X865" s="30">
        <f t="shared" ca="1" si="116"/>
        <v>0</v>
      </c>
      <c r="Y865" s="31">
        <f t="shared" ca="1" si="117"/>
        <v>-8.9532711753532498E-3</v>
      </c>
    </row>
    <row r="866" spans="2:25" x14ac:dyDescent="0.45">
      <c r="B866" vm="6940">
        <f ca="1"/>
        <v>45420</v>
      </c>
      <c r="C866" vm="6941">
        <f ca="1"/>
        <v>410.54</v>
      </c>
      <c r="D866" vm="6940">
        <f ca="1"/>
        <v>45420</v>
      </c>
      <c r="E866" vm="6942">
        <f ca="1"/>
        <v>17.11</v>
      </c>
      <c r="F866" vm="6940">
        <f ca="1"/>
        <v>45420</v>
      </c>
      <c r="G866" vm="6943">
        <f ca="1"/>
        <v>277.19</v>
      </c>
      <c r="H866" vm="6940">
        <f ca="1"/>
        <v>45420</v>
      </c>
      <c r="I866" vm="6944">
        <f ca="1"/>
        <v>142.80000000000001</v>
      </c>
      <c r="J866" vm="6940">
        <f ca="1"/>
        <v>45420</v>
      </c>
      <c r="K866" vm="6945">
        <f ca="1"/>
        <v>38.35</v>
      </c>
      <c r="L866" vm="6940">
        <f ca="1"/>
        <v>45420</v>
      </c>
      <c r="M866" vm="6946">
        <f ca="1"/>
        <v>298.64999999999998</v>
      </c>
      <c r="N866" vm="6940">
        <f ca="1"/>
        <v>45420</v>
      </c>
      <c r="O866" vm="6947">
        <f ca="1"/>
        <v>49.12</v>
      </c>
      <c r="P866" vm="6940">
        <f ca="1"/>
        <v>45420</v>
      </c>
      <c r="Q866" vm="6948">
        <f ca="1"/>
        <v>123.312</v>
      </c>
      <c r="R866" s="29">
        <f t="shared" ca="1" si="111"/>
        <v>2.9315483461182525E-3</v>
      </c>
      <c r="S866" s="30">
        <f t="shared" ca="1" si="112"/>
        <v>1.7564402810305118E-3</v>
      </c>
      <c r="T866" s="30">
        <f t="shared" ca="1" si="113"/>
        <v>2.6405266584678369E-3</v>
      </c>
      <c r="U866" s="30">
        <f t="shared" ca="1" si="114"/>
        <v>1.0830324909747299E-2</v>
      </c>
      <c r="V866" s="30">
        <f t="shared" ca="1" si="115"/>
        <v>5.7697351167059754E-3</v>
      </c>
      <c r="W866" s="30">
        <f t="shared" ca="1" si="118"/>
        <v>2.0130850528433681E-3</v>
      </c>
      <c r="X866" s="30">
        <f t="shared" ca="1" si="116"/>
        <v>-1.0475423045930764E-2</v>
      </c>
      <c r="Y866" s="31">
        <f t="shared" ca="1" si="117"/>
        <v>-1.9348681856137476E-2</v>
      </c>
    </row>
    <row r="867" spans="2:25" x14ac:dyDescent="0.45">
      <c r="B867" vm="6949">
        <f ca="1"/>
        <v>45421</v>
      </c>
      <c r="C867" vm="6950">
        <f ca="1"/>
        <v>412.32</v>
      </c>
      <c r="D867" vm="6949">
        <f ca="1"/>
        <v>45421</v>
      </c>
      <c r="E867" vm="6381">
        <f ca="1"/>
        <v>17.18</v>
      </c>
      <c r="F867" vm="6949">
        <f ca="1"/>
        <v>45421</v>
      </c>
      <c r="G867" vm="6951">
        <f ca="1"/>
        <v>278.54000000000002</v>
      </c>
      <c r="H867" vm="6949">
        <f ca="1"/>
        <v>45421</v>
      </c>
      <c r="I867" vm="4123">
        <f ca="1"/>
        <v>145.13999999999999</v>
      </c>
      <c r="J867" vm="6949">
        <f ca="1"/>
        <v>45421</v>
      </c>
      <c r="K867" vm="6952">
        <f ca="1"/>
        <v>38.22</v>
      </c>
      <c r="L867" vm="6949">
        <f ca="1"/>
        <v>45421</v>
      </c>
      <c r="M867" vm="6953">
        <f ca="1"/>
        <v>298.66000000000003</v>
      </c>
      <c r="N867" vm="6949">
        <f ca="1"/>
        <v>45421</v>
      </c>
      <c r="O867" vm="6954">
        <f ca="1"/>
        <v>48.92</v>
      </c>
      <c r="P867" vm="6949">
        <f ca="1"/>
        <v>45421</v>
      </c>
      <c r="Q867" vm="6955">
        <f ca="1"/>
        <v>126.364</v>
      </c>
      <c r="R867" s="29">
        <f t="shared" ca="1" si="111"/>
        <v>4.3357529108003423E-3</v>
      </c>
      <c r="S867" s="30">
        <f t="shared" ca="1" si="112"/>
        <v>4.0911747516072638E-3</v>
      </c>
      <c r="T867" s="30">
        <f t="shared" ca="1" si="113"/>
        <v>4.8703055665789627E-3</v>
      </c>
      <c r="U867" s="30">
        <f t="shared" ca="1" si="114"/>
        <v>1.6386554621848563E-2</v>
      </c>
      <c r="V867" s="30">
        <f t="shared" ca="1" si="115"/>
        <v>-3.389830508474643E-3</v>
      </c>
      <c r="W867" s="30">
        <f t="shared" ca="1" si="118"/>
        <v>3.3484011384723757E-5</v>
      </c>
      <c r="X867" s="30">
        <f t="shared" ca="1" si="116"/>
        <v>-4.0716612377849296E-3</v>
      </c>
      <c r="Y867" s="31">
        <f t="shared" ca="1" si="117"/>
        <v>2.4750227066303414E-2</v>
      </c>
    </row>
    <row r="868" spans="2:25" x14ac:dyDescent="0.45">
      <c r="B868" vm="6956">
        <f ca="1"/>
        <v>45422</v>
      </c>
      <c r="C868" vm="6957">
        <f ca="1"/>
        <v>414.74</v>
      </c>
      <c r="D868" vm="6956">
        <f ca="1"/>
        <v>45422</v>
      </c>
      <c r="E868" vm="6589">
        <f ca="1"/>
        <v>17.170000000000002</v>
      </c>
      <c r="F868" vm="6956">
        <f ca="1"/>
        <v>45422</v>
      </c>
      <c r="G868" vm="3509">
        <f ca="1"/>
        <v>280.74</v>
      </c>
      <c r="H868" vm="6956">
        <f ca="1"/>
        <v>45422</v>
      </c>
      <c r="I868" vm="6958">
        <f ca="1"/>
        <v>149.76</v>
      </c>
      <c r="J868" vm="6956">
        <f ca="1"/>
        <v>45422</v>
      </c>
      <c r="K868" vm="6959">
        <f ca="1"/>
        <v>38.020000000000003</v>
      </c>
      <c r="L868" vm="6956">
        <f ca="1"/>
        <v>45422</v>
      </c>
      <c r="M868" vm="1515">
        <f ca="1"/>
        <v>294.60000000000002</v>
      </c>
      <c r="N868" vm="6956">
        <f ca="1"/>
        <v>45422</v>
      </c>
      <c r="O868" vm="6960">
        <f ca="1"/>
        <v>48.24</v>
      </c>
      <c r="P868" vm="6956">
        <f ca="1"/>
        <v>45422</v>
      </c>
      <c r="Q868" vm="6961">
        <f ca="1"/>
        <v>118.048</v>
      </c>
      <c r="R868" s="29">
        <f t="shared" ca="1" si="111"/>
        <v>5.8692277842452853E-3</v>
      </c>
      <c r="S868" s="30">
        <f t="shared" ca="1" si="112"/>
        <v>-5.8207217694982599E-4</v>
      </c>
      <c r="T868" s="30">
        <f t="shared" ca="1" si="113"/>
        <v>7.8983269907373747E-3</v>
      </c>
      <c r="U868" s="30">
        <f t="shared" ca="1" si="114"/>
        <v>3.18313352625052E-2</v>
      </c>
      <c r="V868" s="30">
        <f t="shared" ca="1" si="115"/>
        <v>-5.2328623757194074E-3</v>
      </c>
      <c r="W868" s="30">
        <f t="shared" ca="1" si="118"/>
        <v>-1.3594053438692834E-2</v>
      </c>
      <c r="X868" s="30">
        <f t="shared" ca="1" si="116"/>
        <v>-1.3900245298446436E-2</v>
      </c>
      <c r="Y868" s="31">
        <f t="shared" ca="1" si="117"/>
        <v>-6.580988256148905E-2</v>
      </c>
    </row>
    <row r="869" spans="2:25" x14ac:dyDescent="0.45">
      <c r="B869" vm="6962">
        <f ca="1"/>
        <v>45425</v>
      </c>
      <c r="C869" vm="6963">
        <f ca="1"/>
        <v>413.72</v>
      </c>
      <c r="D869" vm="6962">
        <f ca="1"/>
        <v>45425</v>
      </c>
      <c r="E869" vm="87">
        <f ca="1"/>
        <v>17.260000000000002</v>
      </c>
      <c r="F869" vm="6962">
        <f ca="1"/>
        <v>45425</v>
      </c>
      <c r="G869" vm="6452">
        <f ca="1"/>
        <v>279.39</v>
      </c>
      <c r="H869" vm="6962">
        <f ca="1"/>
        <v>45425</v>
      </c>
      <c r="I869" vm="6964">
        <f ca="1"/>
        <v>147.76</v>
      </c>
      <c r="J869" vm="6962">
        <f ca="1"/>
        <v>45425</v>
      </c>
      <c r="K869" vm="6965">
        <f ca="1"/>
        <v>37.97</v>
      </c>
      <c r="L869" vm="6962">
        <f ca="1"/>
        <v>45425</v>
      </c>
      <c r="M869" vm="6966">
        <f ca="1"/>
        <v>289.70999999999998</v>
      </c>
      <c r="N869" vm="6962">
        <f ca="1"/>
        <v>45425</v>
      </c>
      <c r="O869" vm="6967">
        <f ca="1"/>
        <v>48.76</v>
      </c>
      <c r="P869" vm="6962">
        <f ca="1"/>
        <v>45425</v>
      </c>
      <c r="Q869" vm="6968">
        <f ca="1"/>
        <v>124.596</v>
      </c>
      <c r="R869" s="29">
        <f t="shared" ca="1" si="111"/>
        <v>-2.4593721367603362E-3</v>
      </c>
      <c r="S869" s="30">
        <f t="shared" ca="1" si="112"/>
        <v>5.2417006406522918E-3</v>
      </c>
      <c r="T869" s="30">
        <f t="shared" ca="1" si="113"/>
        <v>-4.8087198119257058E-3</v>
      </c>
      <c r="U869" s="30">
        <f t="shared" ca="1" si="114"/>
        <v>-1.3354700854700856E-2</v>
      </c>
      <c r="V869" s="30">
        <f t="shared" ca="1" si="115"/>
        <v>-1.315097317201585E-3</v>
      </c>
      <c r="W869" s="30">
        <f t="shared" ca="1" si="118"/>
        <v>-1.6598778004073465E-2</v>
      </c>
      <c r="X869" s="30">
        <f t="shared" ca="1" si="116"/>
        <v>1.0779436152570397E-2</v>
      </c>
      <c r="Y869" s="31">
        <f t="shared" ca="1" si="117"/>
        <v>5.5468961778259704E-2</v>
      </c>
    </row>
    <row r="870" spans="2:25" x14ac:dyDescent="0.45">
      <c r="B870" vm="6969">
        <f ca="1"/>
        <v>45426</v>
      </c>
      <c r="C870" vm="6970">
        <f ca="1"/>
        <v>416.56</v>
      </c>
      <c r="D870" vm="6969">
        <f ca="1"/>
        <v>45426</v>
      </c>
      <c r="E870" vm="6660">
        <f ca="1"/>
        <v>17.3</v>
      </c>
      <c r="F870" vm="6969">
        <f ca="1"/>
        <v>45426</v>
      </c>
      <c r="G870" vm="6971">
        <f ca="1"/>
        <v>277.74</v>
      </c>
      <c r="H870" vm="6969">
        <f ca="1"/>
        <v>45426</v>
      </c>
      <c r="I870" vm="6972">
        <f ca="1"/>
        <v>151.28</v>
      </c>
      <c r="J870" vm="6969">
        <f ca="1"/>
        <v>45426</v>
      </c>
      <c r="K870" vm="6973">
        <f ca="1"/>
        <v>38</v>
      </c>
      <c r="L870" vm="6969">
        <f ca="1"/>
        <v>45426</v>
      </c>
      <c r="M870" vm="6974">
        <f ca="1"/>
        <v>290.12</v>
      </c>
      <c r="N870" vm="6969">
        <f ca="1"/>
        <v>45426</v>
      </c>
      <c r="O870" vm="6257">
        <f ca="1"/>
        <v>47.96</v>
      </c>
      <c r="P870" vm="6969">
        <f ca="1"/>
        <v>45426</v>
      </c>
      <c r="Q870" vm="6975">
        <f ca="1"/>
        <v>129.76300000000001</v>
      </c>
      <c r="R870" s="29">
        <f t="shared" ca="1" si="111"/>
        <v>6.8645460698056049E-3</v>
      </c>
      <c r="S870" s="30">
        <f t="shared" ca="1" si="112"/>
        <v>2.3174971031285716E-3</v>
      </c>
      <c r="T870" s="30">
        <f t="shared" ca="1" si="113"/>
        <v>-5.9057231826478308E-3</v>
      </c>
      <c r="U870" s="30">
        <f t="shared" ca="1" si="114"/>
        <v>2.382241472658372E-2</v>
      </c>
      <c r="V870" s="30">
        <f t="shared" ca="1" si="115"/>
        <v>7.9009744535162333E-4</v>
      </c>
      <c r="W870" s="30">
        <f t="shared" ca="1" si="118"/>
        <v>1.4152083117601223E-3</v>
      </c>
      <c r="X870" s="30">
        <f t="shared" ca="1" si="116"/>
        <v>-1.6406890894175494E-2</v>
      </c>
      <c r="Y870" s="31">
        <f t="shared" ca="1" si="117"/>
        <v>4.1470031140646582E-2</v>
      </c>
    </row>
    <row r="871" spans="2:25" x14ac:dyDescent="0.45">
      <c r="B871" vm="6976">
        <f ca="1"/>
        <v>45427</v>
      </c>
      <c r="C871" vm="6977">
        <f ca="1"/>
        <v>423.08</v>
      </c>
      <c r="D871" vm="6976">
        <f ca="1"/>
        <v>45427</v>
      </c>
      <c r="E871" vm="6451">
        <f ca="1"/>
        <v>17.329999999999998</v>
      </c>
      <c r="F871" vm="6976">
        <f ca="1"/>
        <v>45427</v>
      </c>
      <c r="G871" vm="6978">
        <f ca="1"/>
        <v>281.5</v>
      </c>
      <c r="H871" vm="6976">
        <f ca="1"/>
        <v>45427</v>
      </c>
      <c r="I871" vm="6979">
        <f ca="1"/>
        <v>154.08000000000001</v>
      </c>
      <c r="J871" vm="6976">
        <f ca="1"/>
        <v>45427</v>
      </c>
      <c r="K871" vm="6980">
        <f ca="1"/>
        <v>38.229999999999997</v>
      </c>
      <c r="L871" vm="6976">
        <f ca="1"/>
        <v>45427</v>
      </c>
      <c r="M871" vm="6981">
        <f ca="1"/>
        <v>303.04000000000002</v>
      </c>
      <c r="N871" vm="6976">
        <f ca="1"/>
        <v>45427</v>
      </c>
      <c r="O871" vm="6982">
        <f ca="1"/>
        <v>46.08</v>
      </c>
      <c r="P871" vm="6976">
        <f ca="1"/>
        <v>45427</v>
      </c>
      <c r="Q871" vm="6983">
        <f ca="1"/>
        <v>150.34700000000001</v>
      </c>
      <c r="R871" s="29">
        <f t="shared" ca="1" si="111"/>
        <v>1.5652006913769882E-2</v>
      </c>
      <c r="S871" s="30">
        <f t="shared" ca="1" si="112"/>
        <v>1.7341040462426349E-3</v>
      </c>
      <c r="T871" s="30">
        <f t="shared" ca="1" si="113"/>
        <v>1.3537841146395876E-2</v>
      </c>
      <c r="U871" s="30">
        <f t="shared" ca="1" si="114"/>
        <v>1.8508725542041322E-2</v>
      </c>
      <c r="V871" s="30">
        <f t="shared" ca="1" si="115"/>
        <v>6.0526315789472861E-3</v>
      </c>
      <c r="W871" s="30">
        <f t="shared" ca="1" si="118"/>
        <v>4.4533296566937872E-2</v>
      </c>
      <c r="X871" s="30">
        <f t="shared" ca="1" si="116"/>
        <v>-3.919933277731448E-2</v>
      </c>
      <c r="Y871" s="31">
        <f t="shared" ca="1" si="117"/>
        <v>0.15862765195009365</v>
      </c>
    </row>
    <row r="872" spans="2:25" x14ac:dyDescent="0.45">
      <c r="B872" vm="6984">
        <f ca="1"/>
        <v>45428</v>
      </c>
      <c r="C872" vm="6985">
        <f ca="1"/>
        <v>420.99</v>
      </c>
      <c r="D872" vm="6984">
        <f ca="1"/>
        <v>45428</v>
      </c>
      <c r="E872" vm="6660">
        <f ca="1"/>
        <v>17.3</v>
      </c>
      <c r="F872" vm="6984">
        <f ca="1"/>
        <v>45428</v>
      </c>
      <c r="G872" vm="4021">
        <f ca="1"/>
        <v>279.83999999999997</v>
      </c>
      <c r="H872" vm="6984">
        <f ca="1"/>
        <v>45428</v>
      </c>
      <c r="I872" vm="2233">
        <f ca="1"/>
        <v>154.31</v>
      </c>
      <c r="J872" vm="6984">
        <f ca="1"/>
        <v>45428</v>
      </c>
      <c r="K872" vm="6986">
        <f ca="1"/>
        <v>37.35</v>
      </c>
      <c r="L872" vm="6984">
        <f ca="1"/>
        <v>45428</v>
      </c>
      <c r="M872" vm="6987">
        <f ca="1"/>
        <v>298.12</v>
      </c>
      <c r="N872" vm="6984">
        <f ca="1"/>
        <v>45428</v>
      </c>
      <c r="O872" vm="6988">
        <f ca="1"/>
        <v>46.04</v>
      </c>
      <c r="P872" vm="6984">
        <f ca="1"/>
        <v>45428</v>
      </c>
      <c r="Q872" vm="6989">
        <f ca="1"/>
        <v>143.99799999999999</v>
      </c>
      <c r="R872" s="29">
        <f t="shared" ca="1" si="111"/>
        <v>-4.9399640729885013E-3</v>
      </c>
      <c r="S872" s="30">
        <f t="shared" ca="1" si="112"/>
        <v>-1.7311021350258273E-3</v>
      </c>
      <c r="T872" s="30">
        <f t="shared" ca="1" si="113"/>
        <v>-5.8969804618118115E-3</v>
      </c>
      <c r="U872" s="30">
        <f t="shared" ca="1" si="114"/>
        <v>1.4927310488057487E-3</v>
      </c>
      <c r="V872" s="30">
        <f t="shared" ca="1" si="115"/>
        <v>-2.3018571802249425E-2</v>
      </c>
      <c r="W872" s="30">
        <f t="shared" ca="1" si="118"/>
        <v>-1.6235480464625182E-2</v>
      </c>
      <c r="X872" s="30">
        <f t="shared" ca="1" si="116"/>
        <v>-8.6805555555553708E-4</v>
      </c>
      <c r="Y872" s="31">
        <f t="shared" ca="1" si="117"/>
        <v>-4.2228976966617343E-2</v>
      </c>
    </row>
    <row r="873" spans="2:25" x14ac:dyDescent="0.45">
      <c r="B873" vm="6990">
        <f ca="1"/>
        <v>45429</v>
      </c>
      <c r="C873" vm="6991">
        <f ca="1"/>
        <v>420.21</v>
      </c>
      <c r="D873" vm="6990">
        <f ca="1"/>
        <v>45429</v>
      </c>
      <c r="E873" vm="6992">
        <f ca="1"/>
        <v>17.399999999999999</v>
      </c>
      <c r="F873" vm="6990">
        <f ca="1"/>
        <v>45429</v>
      </c>
      <c r="G873" vm="6993">
        <f ca="1"/>
        <v>280.10000000000002</v>
      </c>
      <c r="H873" vm="6990">
        <f ca="1"/>
        <v>45429</v>
      </c>
      <c r="I873" vm="6994">
        <f ca="1"/>
        <v>154.22999999999999</v>
      </c>
      <c r="J873" vm="6990">
        <f ca="1"/>
        <v>45429</v>
      </c>
      <c r="K873" vm="6995">
        <f ca="1"/>
        <v>35.909999999999997</v>
      </c>
      <c r="L873" vm="6990">
        <f ca="1"/>
        <v>45429</v>
      </c>
      <c r="M873" vm="6996">
        <f ca="1"/>
        <v>302.82</v>
      </c>
      <c r="N873" vm="6990">
        <f ca="1"/>
        <v>45429</v>
      </c>
      <c r="O873" vm="6997">
        <f ca="1"/>
        <v>45.44</v>
      </c>
      <c r="P873" vm="6990">
        <f ca="1"/>
        <v>45429</v>
      </c>
      <c r="Q873" vm="6998">
        <f ca="1"/>
        <v>158.44999999999999</v>
      </c>
      <c r="R873" s="29">
        <f t="shared" ca="1" si="111"/>
        <v>-1.8527756003706253E-3</v>
      </c>
      <c r="S873" s="30">
        <f t="shared" ca="1" si="112"/>
        <v>5.7803468208091251E-3</v>
      </c>
      <c r="T873" s="30">
        <f t="shared" ca="1" si="113"/>
        <v>9.2910234419685451E-4</v>
      </c>
      <c r="U873" s="30">
        <f t="shared" ca="1" si="114"/>
        <v>-5.1843691270826589E-4</v>
      </c>
      <c r="V873" s="30">
        <f t="shared" ca="1" si="115"/>
        <v>-3.8554216867470008E-2</v>
      </c>
      <c r="W873" s="30">
        <f t="shared" ca="1" si="118"/>
        <v>1.576546357171605E-2</v>
      </c>
      <c r="X873" s="30">
        <f t="shared" ca="1" si="116"/>
        <v>-1.3032145960034783E-2</v>
      </c>
      <c r="Y873" s="31">
        <f t="shared" ca="1" si="117"/>
        <v>0.10036250503479215</v>
      </c>
    </row>
    <row r="874" spans="2:25" x14ac:dyDescent="0.45">
      <c r="B874" vm="6999">
        <f ca="1"/>
        <v>45432</v>
      </c>
      <c r="C874" vm="7000">
        <f ca="1"/>
        <v>425.34</v>
      </c>
      <c r="D874" vm="6999">
        <f ca="1"/>
        <v>45432</v>
      </c>
      <c r="E874" vm="552">
        <f ca="1"/>
        <v>17.52</v>
      </c>
      <c r="F874" vm="6999">
        <f ca="1"/>
        <v>45432</v>
      </c>
      <c r="G874" vm="6951">
        <f ca="1"/>
        <v>278.54000000000002</v>
      </c>
      <c r="H874" vm="6999">
        <f ca="1"/>
        <v>45432</v>
      </c>
      <c r="I874" vm="5750">
        <f ca="1"/>
        <v>154.63999999999999</v>
      </c>
      <c r="J874" vm="6999">
        <f ca="1"/>
        <v>45432</v>
      </c>
      <c r="K874" vm="7001">
        <f ca="1"/>
        <v>36.75</v>
      </c>
      <c r="L874" vm="6999">
        <f ca="1"/>
        <v>45432</v>
      </c>
      <c r="M874" vm="7002">
        <f ca="1"/>
        <v>308.20999999999998</v>
      </c>
      <c r="N874" vm="6999">
        <f ca="1"/>
        <v>45432</v>
      </c>
      <c r="O874" vm="7003">
        <f ca="1"/>
        <v>45.52</v>
      </c>
      <c r="P874" vm="6999">
        <f ca="1"/>
        <v>45432</v>
      </c>
      <c r="Q874" vm="7004">
        <f ca="1"/>
        <v>172.72399999999999</v>
      </c>
      <c r="R874" s="29">
        <f t="shared" ca="1" si="111"/>
        <v>1.2208181623473967E-2</v>
      </c>
      <c r="S874" s="30">
        <f t="shared" ca="1" si="112"/>
        <v>6.8965517241379891E-3</v>
      </c>
      <c r="T874" s="30">
        <f t="shared" ca="1" si="113"/>
        <v>-5.5694394858979016E-3</v>
      </c>
      <c r="U874" s="30">
        <f t="shared" ca="1" si="114"/>
        <v>2.6583673734033365E-3</v>
      </c>
      <c r="V874" s="30">
        <f t="shared" ca="1" si="115"/>
        <v>2.3391812865497172E-2</v>
      </c>
      <c r="W874" s="30">
        <f t="shared" ca="1" si="118"/>
        <v>1.7799352750809017E-2</v>
      </c>
      <c r="X874" s="30">
        <f t="shared" ca="1" si="116"/>
        <v>1.760563380281809E-3</v>
      </c>
      <c r="Y874" s="31">
        <f t="shared" ca="1" si="117"/>
        <v>9.0085200378668365E-2</v>
      </c>
    </row>
    <row r="875" spans="2:25" x14ac:dyDescent="0.45">
      <c r="B875" vm="7005">
        <f ca="1"/>
        <v>45433</v>
      </c>
      <c r="C875" vm="7006">
        <f ca="1"/>
        <v>429.04</v>
      </c>
      <c r="D875" vm="7005">
        <f ca="1"/>
        <v>45433</v>
      </c>
      <c r="E875" vm="7007">
        <f ca="1"/>
        <v>17.27</v>
      </c>
      <c r="F875" vm="7005">
        <f ca="1"/>
        <v>45433</v>
      </c>
      <c r="G875" vm="7008">
        <f ca="1"/>
        <v>275.95</v>
      </c>
      <c r="H875" vm="7005">
        <f ca="1"/>
        <v>45433</v>
      </c>
      <c r="I875" vm="7009">
        <f ca="1"/>
        <v>153.66999999999999</v>
      </c>
      <c r="J875" vm="7005">
        <f ca="1"/>
        <v>45433</v>
      </c>
      <c r="K875" vm="7010">
        <f ca="1"/>
        <v>36.159999999999997</v>
      </c>
      <c r="L875" vm="7005">
        <f ca="1"/>
        <v>45433</v>
      </c>
      <c r="M875" vm="7011">
        <f ca="1"/>
        <v>304.93</v>
      </c>
      <c r="N875" vm="7005">
        <f ca="1"/>
        <v>45433</v>
      </c>
      <c r="O875" vm="7012">
        <f ca="1"/>
        <v>44.76</v>
      </c>
      <c r="P875" vm="7005">
        <f ca="1"/>
        <v>45433</v>
      </c>
      <c r="Q875" vm="7013">
        <f ca="1"/>
        <v>165.542</v>
      </c>
      <c r="R875" s="29">
        <f t="shared" ca="1" si="111"/>
        <v>8.6989232143697883E-3</v>
      </c>
      <c r="S875" s="30">
        <f t="shared" ca="1" si="112"/>
        <v>-1.4269406392694065E-2</v>
      </c>
      <c r="T875" s="30">
        <f t="shared" ca="1" si="113"/>
        <v>-9.2984849572773452E-3</v>
      </c>
      <c r="U875" s="30">
        <f t="shared" ca="1" si="114"/>
        <v>-6.2726332126228591E-3</v>
      </c>
      <c r="V875" s="30">
        <f t="shared" ca="1" si="115"/>
        <v>-1.6054421768707576E-2</v>
      </c>
      <c r="W875" s="30">
        <f t="shared" ca="1" si="118"/>
        <v>-1.0642094675708032E-2</v>
      </c>
      <c r="X875" s="30">
        <f t="shared" ca="1" si="116"/>
        <v>-1.6695957820738249E-2</v>
      </c>
      <c r="Y875" s="31">
        <f t="shared" ca="1" si="117"/>
        <v>-4.1580787846506498E-2</v>
      </c>
    </row>
    <row r="876" spans="2:25" x14ac:dyDescent="0.45">
      <c r="B876" vm="7014">
        <f ca="1"/>
        <v>45434</v>
      </c>
      <c r="C876" vm="7015">
        <f ca="1"/>
        <v>430.52</v>
      </c>
      <c r="D876" vm="7014">
        <f ca="1"/>
        <v>45434</v>
      </c>
      <c r="E876" vm="3396">
        <f ca="1"/>
        <v>17.5</v>
      </c>
      <c r="F876" vm="7014">
        <f ca="1"/>
        <v>45434</v>
      </c>
      <c r="G876" vm="6436">
        <f ca="1"/>
        <v>275.58</v>
      </c>
      <c r="H876" vm="7014">
        <f ca="1"/>
        <v>45434</v>
      </c>
      <c r="I876" vm="4416">
        <f ca="1"/>
        <v>152.87</v>
      </c>
      <c r="J876" vm="7014">
        <f ca="1"/>
        <v>45434</v>
      </c>
      <c r="K876" vm="7016">
        <f ca="1"/>
        <v>36.22</v>
      </c>
      <c r="L876" vm="7014">
        <f ca="1"/>
        <v>45434</v>
      </c>
      <c r="M876" vm="7017">
        <f ca="1"/>
        <v>298.76</v>
      </c>
      <c r="N876" vm="7014">
        <f ca="1"/>
        <v>45434</v>
      </c>
      <c r="O876" vm="7018">
        <f ca="1"/>
        <v>45.72</v>
      </c>
      <c r="P876" vm="7014">
        <f ca="1"/>
        <v>45434</v>
      </c>
      <c r="Q876" vm="7019">
        <f ca="1"/>
        <v>164.7</v>
      </c>
      <c r="R876" s="29">
        <f t="shared" ca="1" si="111"/>
        <v>3.4495618124183321E-3</v>
      </c>
      <c r="S876" s="30">
        <f t="shared" ca="1" si="112"/>
        <v>1.3317892298784044E-2</v>
      </c>
      <c r="T876" s="30">
        <f t="shared" ca="1" si="113"/>
        <v>-1.3408226127921889E-3</v>
      </c>
      <c r="U876" s="30">
        <f t="shared" ca="1" si="114"/>
        <v>-5.2059608251446799E-3</v>
      </c>
      <c r="V876" s="30">
        <f t="shared" ca="1" si="115"/>
        <v>1.6592920353982932E-3</v>
      </c>
      <c r="W876" s="30">
        <f t="shared" ca="1" si="118"/>
        <v>-2.0234152100482128E-2</v>
      </c>
      <c r="X876" s="30">
        <f t="shared" ca="1" si="116"/>
        <v>2.1447721179624686E-2</v>
      </c>
      <c r="Y876" s="31">
        <f t="shared" ca="1" si="117"/>
        <v>-5.086322504258816E-3</v>
      </c>
    </row>
    <row r="877" spans="2:25" x14ac:dyDescent="0.45">
      <c r="B877" vm="7020">
        <f ca="1"/>
        <v>45435</v>
      </c>
      <c r="C877" vm="7021">
        <f ca="1"/>
        <v>427</v>
      </c>
      <c r="D877" vm="7020">
        <f ca="1"/>
        <v>45435</v>
      </c>
      <c r="E877" vm="6280">
        <f ca="1"/>
        <v>17.47</v>
      </c>
      <c r="F877" vm="7020">
        <f ca="1"/>
        <v>45435</v>
      </c>
      <c r="G877" vm="7022">
        <f ca="1"/>
        <v>274.23</v>
      </c>
      <c r="H877" vm="7020">
        <f ca="1"/>
        <v>45435</v>
      </c>
      <c r="I877" vm="7023">
        <f ca="1"/>
        <v>150.55000000000001</v>
      </c>
      <c r="J877" vm="7020">
        <f ca="1"/>
        <v>45435</v>
      </c>
      <c r="K877" vm="6127">
        <f ca="1"/>
        <v>35.93</v>
      </c>
      <c r="L877" vm="7020">
        <f ca="1"/>
        <v>45435</v>
      </c>
      <c r="M877" vm="7024">
        <f ca="1"/>
        <v>300.51</v>
      </c>
      <c r="N877" vm="7020">
        <f ca="1"/>
        <v>45435</v>
      </c>
      <c r="O877" vm="6462">
        <f ca="1"/>
        <v>46.36</v>
      </c>
      <c r="P877" vm="7020">
        <f ca="1"/>
        <v>45435</v>
      </c>
      <c r="Q877" vm="7025">
        <f ca="1"/>
        <v>154.40700000000001</v>
      </c>
      <c r="R877" s="29">
        <f t="shared" ca="1" si="111"/>
        <v>-8.1761590634581022E-3</v>
      </c>
      <c r="S877" s="30">
        <f t="shared" ca="1" si="112"/>
        <v>-1.7142857142857792E-3</v>
      </c>
      <c r="T877" s="30">
        <f t="shared" ca="1" si="113"/>
        <v>-4.8987589810580087E-3</v>
      </c>
      <c r="U877" s="30">
        <f t="shared" ca="1" si="114"/>
        <v>-1.5176293582782711E-2</v>
      </c>
      <c r="V877" s="30">
        <f t="shared" ca="1" si="115"/>
        <v>-8.0066261733848475E-3</v>
      </c>
      <c r="W877" s="30">
        <f t="shared" ca="1" si="118"/>
        <v>5.857544517338332E-3</v>
      </c>
      <c r="X877" s="30">
        <f t="shared" ca="1" si="116"/>
        <v>1.3998250218722672E-2</v>
      </c>
      <c r="Y877" s="31">
        <f t="shared" ca="1" si="117"/>
        <v>-6.2495446265937941E-2</v>
      </c>
    </row>
    <row r="878" spans="2:25" x14ac:dyDescent="0.45">
      <c r="B878" vm="7026">
        <f ca="1"/>
        <v>45436</v>
      </c>
      <c r="C878" vm="7027">
        <f ca="1"/>
        <v>430.16</v>
      </c>
      <c r="D878" vm="7026">
        <f ca="1"/>
        <v>45436</v>
      </c>
      <c r="E878" vm="3396">
        <f ca="1"/>
        <v>17.5</v>
      </c>
      <c r="F878" vm="7026">
        <f ca="1"/>
        <v>45436</v>
      </c>
      <c r="G878" vm="7028">
        <f ca="1"/>
        <v>274.49</v>
      </c>
      <c r="H878" vm="7026">
        <f ca="1"/>
        <v>45436</v>
      </c>
      <c r="I878" vm="7029">
        <f ca="1"/>
        <v>150.66</v>
      </c>
      <c r="J878" vm="7026">
        <f ca="1"/>
        <v>45436</v>
      </c>
      <c r="K878" vm="6995">
        <f ca="1"/>
        <v>35.909999999999997</v>
      </c>
      <c r="L878" vm="7026">
        <f ca="1"/>
        <v>45436</v>
      </c>
      <c r="M878" vm="7030">
        <f ca="1"/>
        <v>308.16000000000003</v>
      </c>
      <c r="N878" vm="7026">
        <f ca="1"/>
        <v>45436</v>
      </c>
      <c r="O878" vm="7031">
        <f ca="1"/>
        <v>45</v>
      </c>
      <c r="P878" vm="7026">
        <f ca="1"/>
        <v>45436</v>
      </c>
      <c r="Q878" vm="7032">
        <f ca="1"/>
        <v>168.48400000000001</v>
      </c>
      <c r="R878" s="29">
        <f t="shared" ca="1" si="111"/>
        <v>7.4004683840750004E-3</v>
      </c>
      <c r="S878" s="30">
        <f t="shared" ca="1" si="112"/>
        <v>1.7172295363480903E-3</v>
      </c>
      <c r="T878" s="30">
        <f t="shared" ca="1" si="113"/>
        <v>9.481092513583156E-4</v>
      </c>
      <c r="U878" s="30">
        <f t="shared" ca="1" si="114"/>
        <v>7.3065426768505616E-4</v>
      </c>
      <c r="V878" s="30">
        <f t="shared" ca="1" si="115"/>
        <v>-5.5663790704155657E-4</v>
      </c>
      <c r="W878" s="30">
        <f t="shared" ca="1" si="118"/>
        <v>2.5456723569931231E-2</v>
      </c>
      <c r="X878" s="30">
        <f t="shared" ca="1" si="116"/>
        <v>-2.9335634167385664E-2</v>
      </c>
      <c r="Y878" s="31">
        <f t="shared" ca="1" si="117"/>
        <v>9.1168146521854565E-2</v>
      </c>
    </row>
    <row r="879" spans="2:25" x14ac:dyDescent="0.45">
      <c r="B879" vm="7033">
        <f ca="1"/>
        <v>45440</v>
      </c>
      <c r="C879" vm="7034">
        <f ca="1"/>
        <v>430.32</v>
      </c>
      <c r="D879" vm="7033">
        <f ca="1"/>
        <v>45440</v>
      </c>
      <c r="E879" vm="7007">
        <f ca="1"/>
        <v>17.27</v>
      </c>
      <c r="F879" vm="7033">
        <f ca="1"/>
        <v>45440</v>
      </c>
      <c r="G879" vm="7035">
        <f ca="1"/>
        <v>270.98</v>
      </c>
      <c r="H879" vm="7033">
        <f ca="1"/>
        <v>45440</v>
      </c>
      <c r="I879" vm="2146">
        <f ca="1"/>
        <v>148.21</v>
      </c>
      <c r="J879" vm="7033">
        <f ca="1"/>
        <v>45440</v>
      </c>
      <c r="K879" vm="7036">
        <f ca="1"/>
        <v>36.82</v>
      </c>
      <c r="L879" vm="7033">
        <f ca="1"/>
        <v>45440</v>
      </c>
      <c r="M879" vm="7037">
        <f ca="1"/>
        <v>310.29000000000002</v>
      </c>
      <c r="N879" vm="7033">
        <f ca="1"/>
        <v>45440</v>
      </c>
      <c r="O879" vm="7038">
        <f ca="1"/>
        <v>45.96</v>
      </c>
      <c r="P879" vm="7033">
        <f ca="1"/>
        <v>45440</v>
      </c>
      <c r="Q879" vm="7039">
        <f ca="1"/>
        <v>167.535</v>
      </c>
      <c r="R879" s="29">
        <f t="shared" ca="1" si="111"/>
        <v>3.7195462153609855E-4</v>
      </c>
      <c r="S879" s="30">
        <f t="shared" ca="1" si="112"/>
        <v>-1.3142857142857168E-2</v>
      </c>
      <c r="T879" s="30">
        <f t="shared" ca="1" si="113"/>
        <v>-1.2787351087471277E-2</v>
      </c>
      <c r="U879" s="30">
        <f t="shared" ca="1" si="114"/>
        <v>-1.6261781494756329E-2</v>
      </c>
      <c r="V879" s="30">
        <f t="shared" ca="1" si="115"/>
        <v>2.5341130604288605E-2</v>
      </c>
      <c r="W879" s="30">
        <f t="shared" ca="1" si="118"/>
        <v>6.9119937694703893E-3</v>
      </c>
      <c r="X879" s="30">
        <f t="shared" ca="1" si="116"/>
        <v>2.1333333333333353E-2</v>
      </c>
      <c r="Y879" s="31">
        <f t="shared" ca="1" si="117"/>
        <v>-5.6325823223570912E-3</v>
      </c>
    </row>
    <row r="880" spans="2:25" x14ac:dyDescent="0.45">
      <c r="B880" vm="7040">
        <f ca="1"/>
        <v>45441</v>
      </c>
      <c r="C880" vm="7041">
        <f ca="1"/>
        <v>429.17</v>
      </c>
      <c r="D880" vm="7040">
        <f ca="1"/>
        <v>45441</v>
      </c>
      <c r="E880" vm="4979">
        <f ca="1"/>
        <v>17.12</v>
      </c>
      <c r="F880" vm="7040">
        <f ca="1"/>
        <v>45441</v>
      </c>
      <c r="G880" vm="7042">
        <f ca="1"/>
        <v>268.86</v>
      </c>
      <c r="H880" vm="7040">
        <f ca="1"/>
        <v>45441</v>
      </c>
      <c r="I880" vm="7043">
        <f ca="1"/>
        <v>145.47999999999999</v>
      </c>
      <c r="J880" vm="7040">
        <f ca="1"/>
        <v>45441</v>
      </c>
      <c r="K880" vm="7044">
        <f ca="1"/>
        <v>37.119999999999997</v>
      </c>
      <c r="L880" vm="7040">
        <f ca="1"/>
        <v>45441</v>
      </c>
      <c r="M880" vm="7045">
        <f ca="1"/>
        <v>307.52</v>
      </c>
      <c r="N880" vm="7040">
        <f ca="1"/>
        <v>45441</v>
      </c>
      <c r="O880" vm="7046">
        <f ca="1"/>
        <v>47.72</v>
      </c>
      <c r="P880" vm="7040">
        <f ca="1"/>
        <v>45441</v>
      </c>
      <c r="Q880" vm="7047">
        <f ca="1"/>
        <v>161.87</v>
      </c>
      <c r="R880" s="29">
        <f t="shared" ca="1" si="111"/>
        <v>-2.6724298196690306E-3</v>
      </c>
      <c r="S880" s="30">
        <f t="shared" ca="1" si="112"/>
        <v>-8.6855819339894946E-3</v>
      </c>
      <c r="T880" s="30">
        <f t="shared" ca="1" si="113"/>
        <v>-7.8234556055797634E-3</v>
      </c>
      <c r="U880" s="30">
        <f t="shared" ca="1" si="114"/>
        <v>-1.8419809729438082E-2</v>
      </c>
      <c r="V880" s="30">
        <f t="shared" ca="1" si="115"/>
        <v>8.1477457903312636E-3</v>
      </c>
      <c r="W880" s="30">
        <f t="shared" ca="1" si="118"/>
        <v>-8.9271326823295583E-3</v>
      </c>
      <c r="X880" s="30">
        <f t="shared" ca="1" si="116"/>
        <v>3.8294168842471672E-2</v>
      </c>
      <c r="Y880" s="31">
        <f t="shared" ca="1" si="117"/>
        <v>-3.3813829945981387E-2</v>
      </c>
    </row>
    <row r="881" spans="2:25" x14ac:dyDescent="0.45">
      <c r="B881" vm="7048">
        <f ca="1"/>
        <v>45442</v>
      </c>
      <c r="C881" vm="7049">
        <f ca="1"/>
        <v>414.67</v>
      </c>
      <c r="D881" vm="7048">
        <f ca="1"/>
        <v>45442</v>
      </c>
      <c r="E881" vm="3388">
        <f ca="1"/>
        <v>17.62</v>
      </c>
      <c r="F881" vm="7048">
        <f ca="1"/>
        <v>45442</v>
      </c>
      <c r="G881" vm="2063">
        <f ca="1"/>
        <v>271.3</v>
      </c>
      <c r="H881" vm="7048">
        <f ca="1"/>
        <v>45442</v>
      </c>
      <c r="I881" vm="953">
        <f ca="1"/>
        <v>131.41999999999999</v>
      </c>
      <c r="J881" vm="7048">
        <f ca="1"/>
        <v>45442</v>
      </c>
      <c r="K881" vm="7050">
        <f ca="1"/>
        <v>38.119999999999997</v>
      </c>
      <c r="L881" vm="7048">
        <f ca="1"/>
        <v>45442</v>
      </c>
      <c r="M881" vm="7051">
        <f ca="1"/>
        <v>304.69</v>
      </c>
      <c r="N881" vm="7048">
        <f ca="1"/>
        <v>45442</v>
      </c>
      <c r="O881" vm="7052">
        <f ca="1"/>
        <v>47.56</v>
      </c>
      <c r="P881" vm="7048">
        <f ca="1"/>
        <v>45442</v>
      </c>
      <c r="Q881" vm="7053">
        <f ca="1"/>
        <v>154.1</v>
      </c>
      <c r="R881" s="29">
        <f t="shared" ca="1" si="111"/>
        <v>-3.3786145350327375E-2</v>
      </c>
      <c r="S881" s="30">
        <f t="shared" ca="1" si="112"/>
        <v>2.9205607476635514E-2</v>
      </c>
      <c r="T881" s="30">
        <f t="shared" ca="1" si="113"/>
        <v>9.0753552034516013E-3</v>
      </c>
      <c r="U881" s="30">
        <f t="shared" ca="1" si="114"/>
        <v>-9.6645587022271121E-2</v>
      </c>
      <c r="V881" s="30">
        <f t="shared" ca="1" si="115"/>
        <v>2.6939655172413795E-2</v>
      </c>
      <c r="W881" s="30">
        <f t="shared" ca="1" si="118"/>
        <v>-9.2026534859520823E-3</v>
      </c>
      <c r="X881" s="30">
        <f t="shared" ca="1" si="116"/>
        <v>-3.3528918692371456E-3</v>
      </c>
      <c r="Y881" s="31">
        <f t="shared" ca="1" si="117"/>
        <v>-4.8001482671279481E-2</v>
      </c>
    </row>
    <row r="882" spans="2:25" x14ac:dyDescent="0.45">
      <c r="B882" vm="7054">
        <f ca="1"/>
        <v>45443</v>
      </c>
      <c r="C882" vm="7055">
        <f ca="1"/>
        <v>415.13</v>
      </c>
      <c r="D882" vm="7054">
        <f ca="1"/>
        <v>45443</v>
      </c>
      <c r="E882" vm="4305">
        <f ca="1"/>
        <v>18.22</v>
      </c>
      <c r="F882" vm="7054">
        <f ca="1"/>
        <v>45443</v>
      </c>
      <c r="G882" vm="7056">
        <f ca="1"/>
        <v>272.45999999999998</v>
      </c>
      <c r="H882" vm="7054">
        <f ca="1"/>
        <v>45443</v>
      </c>
      <c r="I882" vm="7057">
        <f ca="1"/>
        <v>130.41</v>
      </c>
      <c r="J882" vm="7054">
        <f ca="1"/>
        <v>45443</v>
      </c>
      <c r="K882" vm="6945">
        <f ca="1"/>
        <v>38.35</v>
      </c>
      <c r="L882" vm="7054">
        <f ca="1"/>
        <v>45443</v>
      </c>
      <c r="M882" vm="7058">
        <f ca="1"/>
        <v>296.77999999999997</v>
      </c>
      <c r="N882" vm="7054">
        <f ca="1"/>
        <v>45443</v>
      </c>
      <c r="O882" vm="7059">
        <f ca="1"/>
        <v>46.12</v>
      </c>
      <c r="P882" vm="7054">
        <f ca="1"/>
        <v>45443</v>
      </c>
      <c r="Q882" vm="7060">
        <f ca="1"/>
        <v>152.44900000000001</v>
      </c>
      <c r="R882" s="29">
        <f t="shared" ca="1" si="111"/>
        <v>1.1093158415124787E-3</v>
      </c>
      <c r="S882" s="30">
        <f t="shared" ca="1" si="112"/>
        <v>3.4052213393870476E-2</v>
      </c>
      <c r="T882" s="30">
        <f t="shared" ca="1" si="113"/>
        <v>4.2757095466272321E-3</v>
      </c>
      <c r="U882" s="30">
        <f t="shared" ca="1" si="114"/>
        <v>-7.6852838228579443E-3</v>
      </c>
      <c r="V882" s="30">
        <f t="shared" ca="1" si="115"/>
        <v>6.0335781741868832E-3</v>
      </c>
      <c r="W882" s="30">
        <f t="shared" ca="1" si="118"/>
        <v>-2.596081262922979E-2</v>
      </c>
      <c r="X882" s="30">
        <f t="shared" ca="1" si="116"/>
        <v>-3.0277544154751992E-2</v>
      </c>
      <c r="Y882" s="31">
        <f t="shared" ca="1" si="117"/>
        <v>-1.0713822193380806E-2</v>
      </c>
    </row>
    <row r="883" spans="2:25" x14ac:dyDescent="0.45">
      <c r="B883" vm="7061">
        <f ca="1"/>
        <v>45446</v>
      </c>
      <c r="C883" vm="7062">
        <f ca="1"/>
        <v>413.52</v>
      </c>
      <c r="D883" vm="7061">
        <f ca="1"/>
        <v>45446</v>
      </c>
      <c r="E883" vm="3572">
        <f ca="1"/>
        <v>18.010000000000002</v>
      </c>
      <c r="F883" vm="7061">
        <f ca="1"/>
        <v>45446</v>
      </c>
      <c r="G883" vm="7063">
        <f ca="1"/>
        <v>270.38</v>
      </c>
      <c r="H883" vm="7061">
        <f ca="1"/>
        <v>45446</v>
      </c>
      <c r="I883" vm="7064">
        <f ca="1"/>
        <v>131.4</v>
      </c>
      <c r="J883" vm="7061">
        <f ca="1"/>
        <v>45446</v>
      </c>
      <c r="K883" vm="7065">
        <f ca="1"/>
        <v>38.729999999999997</v>
      </c>
      <c r="L883" vm="7061">
        <f ca="1"/>
        <v>45446</v>
      </c>
      <c r="M883" vm="7066">
        <f ca="1"/>
        <v>313.62</v>
      </c>
      <c r="N883" vm="7061">
        <f ca="1"/>
        <v>45446</v>
      </c>
      <c r="O883" vm="7067">
        <f ca="1"/>
        <v>45.84</v>
      </c>
      <c r="P883" vm="7061">
        <f ca="1"/>
        <v>45446</v>
      </c>
      <c r="Q883" vm="7068">
        <f ca="1"/>
        <v>162.74100000000001</v>
      </c>
      <c r="R883" s="29">
        <f t="shared" ca="1" si="111"/>
        <v>-3.8783031821357492E-3</v>
      </c>
      <c r="S883" s="30">
        <f t="shared" ca="1" si="112"/>
        <v>-1.1525795828759457E-2</v>
      </c>
      <c r="T883" s="30">
        <f t="shared" ca="1" si="113"/>
        <v>-7.6341481318358082E-3</v>
      </c>
      <c r="U883" s="30">
        <f t="shared" ca="1" si="114"/>
        <v>7.5914423740511393E-3</v>
      </c>
      <c r="V883" s="30">
        <f t="shared" ca="1" si="115"/>
        <v>9.9087353324640269E-3</v>
      </c>
      <c r="W883" s="30">
        <f t="shared" ca="1" si="118"/>
        <v>5.6742368084102816E-2</v>
      </c>
      <c r="X883" s="30">
        <f t="shared" ca="1" si="116"/>
        <v>-6.0711188204682145E-3</v>
      </c>
      <c r="Y883" s="31">
        <f t="shared" ca="1" si="117"/>
        <v>6.7511102073480322E-2</v>
      </c>
    </row>
    <row r="884" spans="2:25" x14ac:dyDescent="0.45">
      <c r="B884" vm="7069">
        <f ca="1"/>
        <v>45447</v>
      </c>
      <c r="C884" vm="7070">
        <f ca="1"/>
        <v>416.07</v>
      </c>
      <c r="D884" vm="7069">
        <f ca="1"/>
        <v>45447</v>
      </c>
      <c r="E884" vm="3547">
        <f ca="1"/>
        <v>18.350000000000001</v>
      </c>
      <c r="F884" vm="7069">
        <f ca="1"/>
        <v>45447</v>
      </c>
      <c r="G884" vm="3177">
        <f ca="1"/>
        <v>272.42</v>
      </c>
      <c r="H884" vm="7069">
        <f ca="1"/>
        <v>45447</v>
      </c>
      <c r="I884" vm="7071">
        <f ca="1"/>
        <v>130.85</v>
      </c>
      <c r="J884" vm="7069">
        <f ca="1"/>
        <v>45447</v>
      </c>
      <c r="K884" vm="7072">
        <f ca="1"/>
        <v>38.090000000000003</v>
      </c>
      <c r="L884" vm="7069">
        <f ca="1"/>
        <v>45447</v>
      </c>
      <c r="M884" vm="7073">
        <f ca="1"/>
        <v>326.68</v>
      </c>
      <c r="N884" vm="7069">
        <f ca="1"/>
        <v>45447</v>
      </c>
      <c r="O884" vm="6982">
        <f ca="1"/>
        <v>46.08</v>
      </c>
      <c r="P884" vm="7069">
        <f ca="1"/>
        <v>45447</v>
      </c>
      <c r="Q884" vm="7074">
        <f ca="1"/>
        <v>163.87700000000001</v>
      </c>
      <c r="R884" s="29">
        <f t="shared" ca="1" si="111"/>
        <v>6.1665699361578919E-3</v>
      </c>
      <c r="S884" s="30">
        <f t="shared" ca="1" si="112"/>
        <v>1.8878400888395326E-2</v>
      </c>
      <c r="T884" s="30">
        <f t="shared" ca="1" si="113"/>
        <v>7.5449367556772711E-3</v>
      </c>
      <c r="U884" s="30">
        <f t="shared" ca="1" si="114"/>
        <v>-4.1856925418570119E-3</v>
      </c>
      <c r="V884" s="30">
        <f t="shared" ca="1" si="115"/>
        <v>-1.6524657887941996E-2</v>
      </c>
      <c r="W884" s="30">
        <f t="shared" ca="1" si="118"/>
        <v>4.1642752375486265E-2</v>
      </c>
      <c r="X884" s="30">
        <f t="shared" ca="1" si="116"/>
        <v>5.2356020942407261E-3</v>
      </c>
      <c r="Y884" s="31">
        <f t="shared" ca="1" si="117"/>
        <v>6.9804167357948865E-3</v>
      </c>
    </row>
    <row r="885" spans="2:25" x14ac:dyDescent="0.45">
      <c r="B885" vm="7075">
        <f ca="1"/>
        <v>45448</v>
      </c>
      <c r="C885" vm="7076">
        <f ca="1"/>
        <v>424.01</v>
      </c>
      <c r="D885" vm="7075">
        <f ca="1"/>
        <v>45448</v>
      </c>
      <c r="E885" vm="526">
        <f ca="1"/>
        <v>18.3</v>
      </c>
      <c r="F885" vm="7075">
        <f ca="1"/>
        <v>45448</v>
      </c>
      <c r="G885" vm="7077">
        <f ca="1"/>
        <v>274.5</v>
      </c>
      <c r="H885" vm="7075">
        <f ca="1"/>
        <v>45448</v>
      </c>
      <c r="I885" vm="4881">
        <f ca="1"/>
        <v>133.56</v>
      </c>
      <c r="J885" vm="7075">
        <f ca="1"/>
        <v>45448</v>
      </c>
      <c r="K885" vm="7078">
        <f ca="1"/>
        <v>38.369999999999997</v>
      </c>
      <c r="L885" vm="7075">
        <f ca="1"/>
        <v>45448</v>
      </c>
      <c r="M885" vm="7079">
        <f ca="1"/>
        <v>324.75</v>
      </c>
      <c r="N885" vm="7075">
        <f ca="1"/>
        <v>45448</v>
      </c>
      <c r="O885" vm="7080">
        <f ca="1"/>
        <v>45.24</v>
      </c>
      <c r="P885" vm="7075">
        <f ca="1"/>
        <v>45448</v>
      </c>
      <c r="Q885" vm="7081">
        <f ca="1"/>
        <v>169.46899999999999</v>
      </c>
      <c r="R885" s="29">
        <f t="shared" ca="1" si="111"/>
        <v>1.9083327324729008E-2</v>
      </c>
      <c r="S885" s="30">
        <f t="shared" ca="1" si="112"/>
        <v>-2.724795640327014E-3</v>
      </c>
      <c r="T885" s="30">
        <f t="shared" ca="1" si="113"/>
        <v>7.6352690698186032E-3</v>
      </c>
      <c r="U885" s="30">
        <f t="shared" ca="1" si="114"/>
        <v>2.0710737485670677E-2</v>
      </c>
      <c r="V885" s="30">
        <f t="shared" ca="1" si="115"/>
        <v>7.3510107639798896E-3</v>
      </c>
      <c r="W885" s="30">
        <f t="shared" ca="1" si="118"/>
        <v>-5.907922125627546E-3</v>
      </c>
      <c r="X885" s="30">
        <f t="shared" ca="1" si="116"/>
        <v>-1.8229166666666588E-2</v>
      </c>
      <c r="Y885" s="31">
        <f t="shared" ca="1" si="117"/>
        <v>3.4123153340615123E-2</v>
      </c>
    </row>
    <row r="886" spans="2:25" x14ac:dyDescent="0.45">
      <c r="B886" vm="7082">
        <f ca="1"/>
        <v>45449</v>
      </c>
      <c r="C886" vm="7083">
        <f ca="1"/>
        <v>424.52</v>
      </c>
      <c r="D886" vm="7082">
        <f ca="1"/>
        <v>45449</v>
      </c>
      <c r="E886" vm="7084">
        <f ca="1"/>
        <v>18.28</v>
      </c>
      <c r="F886" vm="7082">
        <f ca="1"/>
        <v>45449</v>
      </c>
      <c r="G886" vm="7085">
        <f ca="1"/>
        <v>277.04000000000002</v>
      </c>
      <c r="H886" vm="7082">
        <f ca="1"/>
        <v>45449</v>
      </c>
      <c r="I886" vm="6437">
        <f ca="1"/>
        <v>132.82</v>
      </c>
      <c r="J886" vm="7082">
        <f ca="1"/>
        <v>45449</v>
      </c>
      <c r="K886" vm="7086">
        <f ca="1"/>
        <v>38.32</v>
      </c>
      <c r="L886" vm="7082">
        <f ca="1"/>
        <v>45449</v>
      </c>
      <c r="M886" vm="7087">
        <f ca="1"/>
        <v>319.51</v>
      </c>
      <c r="N886" vm="7082">
        <f ca="1"/>
        <v>45449</v>
      </c>
      <c r="O886" vm="7031">
        <f ca="1"/>
        <v>45</v>
      </c>
      <c r="P886" vm="7082">
        <f ca="1"/>
        <v>45449</v>
      </c>
      <c r="Q886" vm="7088">
        <f ca="1"/>
        <v>165.66300000000001</v>
      </c>
      <c r="R886" s="29">
        <f t="shared" ca="1" si="111"/>
        <v>1.2028018207117543E-3</v>
      </c>
      <c r="S886" s="30">
        <f t="shared" ca="1" si="112"/>
        <v>-1.0928961748633646E-3</v>
      </c>
      <c r="T886" s="30">
        <f t="shared" ca="1" si="113"/>
        <v>9.2531876138434253E-3</v>
      </c>
      <c r="U886" s="30">
        <f t="shared" ca="1" si="114"/>
        <v>-5.5405810122791934E-3</v>
      </c>
      <c r="V886" s="30">
        <f t="shared" ca="1" si="115"/>
        <v>-1.3031013812873902E-3</v>
      </c>
      <c r="W886" s="30">
        <f t="shared" ca="1" si="118"/>
        <v>-1.6135488837567387E-2</v>
      </c>
      <c r="X886" s="30">
        <f t="shared" ca="1" si="116"/>
        <v>-5.3050397877984524E-3</v>
      </c>
      <c r="Y886" s="31">
        <f t="shared" ca="1" si="117"/>
        <v>-2.2458384719329101E-2</v>
      </c>
    </row>
    <row r="887" spans="2:25" x14ac:dyDescent="0.45">
      <c r="B887" vm="7089">
        <f ca="1"/>
        <v>45450</v>
      </c>
      <c r="C887" vm="7090">
        <f ca="1"/>
        <v>423.85</v>
      </c>
      <c r="D887" vm="7089">
        <f ca="1"/>
        <v>45450</v>
      </c>
      <c r="E887" vm="3563">
        <f ca="1"/>
        <v>18.100000000000001</v>
      </c>
      <c r="F887" vm="7089">
        <f ca="1"/>
        <v>45450</v>
      </c>
      <c r="G887" vm="7091">
        <f ca="1"/>
        <v>278.67</v>
      </c>
      <c r="H887" vm="7089">
        <f ca="1"/>
        <v>45450</v>
      </c>
      <c r="I887" vm="7092">
        <f ca="1"/>
        <v>132.97999999999999</v>
      </c>
      <c r="J887" vm="7089">
        <f ca="1"/>
        <v>45450</v>
      </c>
      <c r="K887" vm="7093">
        <f ca="1"/>
        <v>38.270000000000003</v>
      </c>
      <c r="L887" vm="7089">
        <f ca="1"/>
        <v>45450</v>
      </c>
      <c r="M887" vm="7002">
        <f ca="1"/>
        <v>308.20999999999998</v>
      </c>
      <c r="N887" vm="7089">
        <f ca="1"/>
        <v>45450</v>
      </c>
      <c r="O887" vm="7094">
        <f ca="1"/>
        <v>44.52</v>
      </c>
      <c r="P887" vm="7089">
        <f ca="1"/>
        <v>45450</v>
      </c>
      <c r="Q887" vm="7095">
        <f ca="1"/>
        <v>159.62</v>
      </c>
      <c r="R887" s="29">
        <f t="shared" ca="1" si="111"/>
        <v>-1.5782530858380267E-3</v>
      </c>
      <c r="S887" s="30">
        <f t="shared" ca="1" si="112"/>
        <v>-9.8468271334791954E-3</v>
      </c>
      <c r="T887" s="30">
        <f t="shared" ca="1" si="113"/>
        <v>5.8836269130811266E-3</v>
      </c>
      <c r="U887" s="30">
        <f t="shared" ca="1" si="114"/>
        <v>1.2046378557445912E-3</v>
      </c>
      <c r="V887" s="30">
        <f t="shared" ca="1" si="115"/>
        <v>-1.3048016701460636E-3</v>
      </c>
      <c r="W887" s="30">
        <f t="shared" ca="1" si="118"/>
        <v>-3.536665519076089E-2</v>
      </c>
      <c r="X887" s="30">
        <f t="shared" ca="1" si="116"/>
        <v>-1.0666666666666597E-2</v>
      </c>
      <c r="Y887" s="31">
        <f t="shared" ca="1" si="117"/>
        <v>-3.647766851982643E-2</v>
      </c>
    </row>
    <row r="888" spans="2:25" x14ac:dyDescent="0.45">
      <c r="B888" vm="7096">
        <f ca="1"/>
        <v>45453</v>
      </c>
      <c r="C888" vm="7097">
        <f ca="1"/>
        <v>427.87</v>
      </c>
      <c r="D888" vm="7096">
        <f ca="1"/>
        <v>45453</v>
      </c>
      <c r="E888" vm="4264">
        <f ca="1"/>
        <v>17.86</v>
      </c>
      <c r="F888" vm="7096">
        <f ca="1"/>
        <v>45453</v>
      </c>
      <c r="G888" vm="7098">
        <f ca="1"/>
        <v>275.04000000000002</v>
      </c>
      <c r="H888" vm="7096">
        <f ca="1"/>
        <v>45453</v>
      </c>
      <c r="I888" vm="7099">
        <f ca="1"/>
        <v>133.03</v>
      </c>
      <c r="J888" vm="7096">
        <f ca="1"/>
        <v>45453</v>
      </c>
      <c r="K888" vm="7100">
        <f ca="1"/>
        <v>38.049999999999997</v>
      </c>
      <c r="L888" vm="7096">
        <f ca="1"/>
        <v>45453</v>
      </c>
      <c r="M888" vm="7101">
        <f ca="1"/>
        <v>309</v>
      </c>
      <c r="N888" vm="7096">
        <f ca="1"/>
        <v>45453</v>
      </c>
      <c r="O888" vm="7102">
        <f ca="1"/>
        <v>44.4</v>
      </c>
      <c r="P888" vm="7096">
        <f ca="1"/>
        <v>45453</v>
      </c>
      <c r="Q888" vm="7103">
        <f ca="1"/>
        <v>159.99199999999999</v>
      </c>
      <c r="R888" s="29">
        <f t="shared" ca="1" si="111"/>
        <v>9.4844874365930913E-3</v>
      </c>
      <c r="S888" s="30">
        <f t="shared" ca="1" si="112"/>
        <v>-1.3259668508287402E-2</v>
      </c>
      <c r="T888" s="30">
        <f t="shared" ca="1" si="113"/>
        <v>-1.3026159974162971E-2</v>
      </c>
      <c r="U888" s="30">
        <f t="shared" ca="1" si="114"/>
        <v>3.7599639043473735E-4</v>
      </c>
      <c r="V888" s="30">
        <f t="shared" ca="1" si="115"/>
        <v>-5.74862816827818E-3</v>
      </c>
      <c r="W888" s="30">
        <f t="shared" ca="1" si="118"/>
        <v>2.5631874371370837E-3</v>
      </c>
      <c r="X888" s="30">
        <f t="shared" ca="1" si="116"/>
        <v>-2.6954177897575145E-3</v>
      </c>
      <c r="Y888" s="31">
        <f t="shared" ca="1" si="117"/>
        <v>2.330535020674011E-3</v>
      </c>
    </row>
    <row r="889" spans="2:25" x14ac:dyDescent="0.45">
      <c r="B889" vm="7104">
        <f ca="1"/>
        <v>45454</v>
      </c>
      <c r="C889" vm="7105">
        <f ca="1"/>
        <v>432.68</v>
      </c>
      <c r="D889" vm="7104">
        <f ca="1"/>
        <v>45454</v>
      </c>
      <c r="E889" vm="4264">
        <f ca="1"/>
        <v>17.86</v>
      </c>
      <c r="F889" vm="7104">
        <f ca="1"/>
        <v>45454</v>
      </c>
      <c r="G889" vm="7106">
        <f ca="1"/>
        <v>274.67</v>
      </c>
      <c r="H889" vm="7104">
        <f ca="1"/>
        <v>45454</v>
      </c>
      <c r="I889" vm="7107">
        <f ca="1"/>
        <v>132.11000000000001</v>
      </c>
      <c r="J889" vm="7104">
        <f ca="1"/>
        <v>45454</v>
      </c>
      <c r="K889" vm="7108">
        <f ca="1"/>
        <v>37.24</v>
      </c>
      <c r="L889" vm="7104">
        <f ca="1"/>
        <v>45454</v>
      </c>
      <c r="M889" vm="7109">
        <f ca="1"/>
        <v>310</v>
      </c>
      <c r="N889" vm="7104">
        <f ca="1"/>
        <v>45454</v>
      </c>
      <c r="O889" vm="7110">
        <f ca="1"/>
        <v>44.44</v>
      </c>
      <c r="P889" vm="7104">
        <f ca="1"/>
        <v>45454</v>
      </c>
      <c r="Q889" vm="7111">
        <f ca="1"/>
        <v>155.54900000000001</v>
      </c>
      <c r="R889" s="29">
        <f t="shared" ca="1" si="111"/>
        <v>1.1241732301867395E-2</v>
      </c>
      <c r="S889" s="30">
        <f t="shared" ca="1" si="112"/>
        <v>0</v>
      </c>
      <c r="T889" s="30">
        <f t="shared" ca="1" si="113"/>
        <v>-1.3452588714368983E-3</v>
      </c>
      <c r="U889" s="30">
        <f t="shared" ca="1" si="114"/>
        <v>-6.9157332932420316E-3</v>
      </c>
      <c r="V889" s="30">
        <f t="shared" ca="1" si="115"/>
        <v>-2.1287779237844816E-2</v>
      </c>
      <c r="W889" s="30">
        <f t="shared" ca="1" si="118"/>
        <v>3.2362459546925568E-3</v>
      </c>
      <c r="X889" s="30">
        <f t="shared" ca="1" si="116"/>
        <v>9.0090090090088172E-4</v>
      </c>
      <c r="Y889" s="31">
        <f t="shared" ca="1" si="117"/>
        <v>-2.7770138506925245E-2</v>
      </c>
    </row>
    <row r="890" spans="2:25" x14ac:dyDescent="0.45">
      <c r="B890" vm="7112">
        <f ca="1"/>
        <v>45455</v>
      </c>
      <c r="C890" vm="7113">
        <f ca="1"/>
        <v>441.06</v>
      </c>
      <c r="D890" vm="7112">
        <f ca="1"/>
        <v>45455</v>
      </c>
      <c r="E890" vm="4926">
        <f ca="1"/>
        <v>17.61</v>
      </c>
      <c r="F890" vm="7112">
        <f ca="1"/>
        <v>45455</v>
      </c>
      <c r="G890" vm="7114">
        <f ca="1"/>
        <v>270.32</v>
      </c>
      <c r="H890" vm="7112">
        <f ca="1"/>
        <v>45455</v>
      </c>
      <c r="I890" vm="2657">
        <f ca="1"/>
        <v>133.16</v>
      </c>
      <c r="J890" vm="7112">
        <f ca="1"/>
        <v>45455</v>
      </c>
      <c r="K890" vm="7108">
        <f ca="1"/>
        <v>37.24</v>
      </c>
      <c r="L890" vm="7112">
        <f ca="1"/>
        <v>45455</v>
      </c>
      <c r="M890" vm="7115">
        <f ca="1"/>
        <v>315.49</v>
      </c>
      <c r="N890" vm="7112">
        <f ca="1"/>
        <v>45455</v>
      </c>
      <c r="O890" vm="7116">
        <f ca="1"/>
        <v>43.56</v>
      </c>
      <c r="P890" vm="7112">
        <f ca="1"/>
        <v>45455</v>
      </c>
      <c r="Q890" vm="7117">
        <f ca="1"/>
        <v>160.36699999999999</v>
      </c>
      <c r="R890" s="29">
        <f t="shared" ca="1" si="111"/>
        <v>1.9367662013497263E-2</v>
      </c>
      <c r="S890" s="30">
        <f t="shared" ca="1" si="112"/>
        <v>-1.3997760358342666E-2</v>
      </c>
      <c r="T890" s="30">
        <f t="shared" ca="1" si="113"/>
        <v>-1.5837186441912194E-2</v>
      </c>
      <c r="U890" s="30">
        <f t="shared" ca="1" si="114"/>
        <v>7.9479221860569438E-3</v>
      </c>
      <c r="V890" s="30">
        <f t="shared" ca="1" si="115"/>
        <v>0</v>
      </c>
      <c r="W890" s="30">
        <f t="shared" ca="1" si="118"/>
        <v>1.7709677419354867E-2</v>
      </c>
      <c r="X890" s="30">
        <f t="shared" ca="1" si="116"/>
        <v>-1.9801980198019702E-2</v>
      </c>
      <c r="Y890" s="31">
        <f t="shared" ca="1" si="117"/>
        <v>3.0974162482561657E-2</v>
      </c>
    </row>
    <row r="891" spans="2:25" x14ac:dyDescent="0.45">
      <c r="B891" vm="7118">
        <f ca="1"/>
        <v>45456</v>
      </c>
      <c r="C891" vm="7119">
        <f ca="1"/>
        <v>441.58</v>
      </c>
      <c r="D891" vm="7118">
        <f ca="1"/>
        <v>45456</v>
      </c>
      <c r="E891" vm="4933">
        <f ca="1"/>
        <v>17.670000000000002</v>
      </c>
      <c r="F891" vm="7118">
        <f ca="1"/>
        <v>45456</v>
      </c>
      <c r="G891" vm="7120">
        <f ca="1"/>
        <v>271.19</v>
      </c>
      <c r="H891" vm="7118">
        <f ca="1"/>
        <v>45456</v>
      </c>
      <c r="I891" vm="7121">
        <f ca="1"/>
        <v>130.57</v>
      </c>
      <c r="J891" vm="7118">
        <f ca="1"/>
        <v>45456</v>
      </c>
      <c r="K891" vm="7122">
        <f ca="1"/>
        <v>36.76</v>
      </c>
      <c r="L891" vm="7118">
        <f ca="1"/>
        <v>45456</v>
      </c>
      <c r="M891" vm="7123">
        <f ca="1"/>
        <v>306.01</v>
      </c>
      <c r="N891" vm="7118">
        <f ca="1"/>
        <v>45456</v>
      </c>
      <c r="O891" vm="7124">
        <f ca="1"/>
        <v>43.44</v>
      </c>
      <c r="P891" vm="7118">
        <f ca="1"/>
        <v>45456</v>
      </c>
      <c r="Q891" vm="7125">
        <f ca="1"/>
        <v>148.38800000000001</v>
      </c>
      <c r="R891" s="29">
        <f t="shared" ca="1" si="111"/>
        <v>1.1789779168366703E-3</v>
      </c>
      <c r="S891" s="30">
        <f t="shared" ca="1" si="112"/>
        <v>3.407155025553792E-3</v>
      </c>
      <c r="T891" s="30">
        <f t="shared" ca="1" si="113"/>
        <v>3.2184078129624317E-3</v>
      </c>
      <c r="U891" s="30">
        <f t="shared" ca="1" si="114"/>
        <v>-1.9450285370982302E-2</v>
      </c>
      <c r="V891" s="30">
        <f t="shared" ca="1" si="115"/>
        <v>-1.2889366272825026E-2</v>
      </c>
      <c r="W891" s="30">
        <f t="shared" ca="1" si="118"/>
        <v>-3.0048495990364254E-2</v>
      </c>
      <c r="X891" s="30">
        <f t="shared" ca="1" si="116"/>
        <v>-2.7548209366392226E-3</v>
      </c>
      <c r="Y891" s="31">
        <f t="shared" ca="1" si="117"/>
        <v>-7.4697412809368424E-2</v>
      </c>
    </row>
    <row r="892" spans="2:25" x14ac:dyDescent="0.45">
      <c r="B892" vm="7126">
        <f ca="1"/>
        <v>45457</v>
      </c>
      <c r="C892" vm="7127">
        <f ca="1"/>
        <v>442.57</v>
      </c>
      <c r="D892" vm="7126">
        <f ca="1"/>
        <v>45457</v>
      </c>
      <c r="E892" vm="378">
        <f ca="1"/>
        <v>17.64</v>
      </c>
      <c r="F892" vm="7126">
        <f ca="1"/>
        <v>45457</v>
      </c>
      <c r="G892" vm="7128">
        <f ca="1"/>
        <v>270.66000000000003</v>
      </c>
      <c r="H892" vm="7126">
        <f ca="1"/>
        <v>45457</v>
      </c>
      <c r="I892" vm="7129">
        <f ca="1"/>
        <v>129.85</v>
      </c>
      <c r="J892" vm="7126">
        <f ca="1"/>
        <v>45457</v>
      </c>
      <c r="K892" vm="7130">
        <f ca="1"/>
        <v>36.46</v>
      </c>
      <c r="L892" vm="7126">
        <f ca="1"/>
        <v>45457</v>
      </c>
      <c r="M892" vm="7131">
        <f ca="1"/>
        <v>313.02</v>
      </c>
      <c r="N892" vm="7126">
        <f ca="1"/>
        <v>45457</v>
      </c>
      <c r="O892" vm="7132">
        <f ca="1"/>
        <v>44.84</v>
      </c>
      <c r="P892" vm="7126">
        <f ca="1"/>
        <v>45457</v>
      </c>
      <c r="Q892" vm="7133">
        <f ca="1"/>
        <v>149.554</v>
      </c>
      <c r="R892" s="29">
        <f t="shared" ca="1" si="111"/>
        <v>2.2419493636487366E-3</v>
      </c>
      <c r="S892" s="30">
        <f t="shared" ca="1" si="112"/>
        <v>-1.6977928692700132E-3</v>
      </c>
      <c r="T892" s="30">
        <f t="shared" ca="1" si="113"/>
        <v>-1.9543493491646917E-3</v>
      </c>
      <c r="U892" s="30">
        <f t="shared" ca="1" si="114"/>
        <v>-5.5142835260779573E-3</v>
      </c>
      <c r="V892" s="30">
        <f t="shared" ca="1" si="115"/>
        <v>-8.1610446137104775E-3</v>
      </c>
      <c r="W892" s="30">
        <f t="shared" ca="1" si="118"/>
        <v>2.2907748112806742E-2</v>
      </c>
      <c r="X892" s="30">
        <f t="shared" ca="1" si="116"/>
        <v>3.2228360957642858E-2</v>
      </c>
      <c r="Y892" s="31">
        <f t="shared" ca="1" si="117"/>
        <v>7.857778257001893E-3</v>
      </c>
    </row>
    <row r="893" spans="2:25" x14ac:dyDescent="0.45">
      <c r="B893" vm="7134">
        <f ca="1"/>
        <v>45460</v>
      </c>
      <c r="C893" vm="7135">
        <f ca="1"/>
        <v>448.37</v>
      </c>
      <c r="D893" vm="7134">
        <f ca="1"/>
        <v>45460</v>
      </c>
      <c r="E893" vm="4933">
        <f ca="1"/>
        <v>17.670000000000002</v>
      </c>
      <c r="F893" vm="7134">
        <f ca="1"/>
        <v>45460</v>
      </c>
      <c r="G893" vm="7136">
        <f ca="1"/>
        <v>271.17</v>
      </c>
      <c r="H893" vm="7134">
        <f ca="1"/>
        <v>45460</v>
      </c>
      <c r="I893" vm="7137">
        <f ca="1"/>
        <v>131.83000000000001</v>
      </c>
      <c r="J893" vm="7134">
        <f ca="1"/>
        <v>45460</v>
      </c>
      <c r="K893" vm="2910">
        <f ca="1"/>
        <v>36.869999999999997</v>
      </c>
      <c r="L893" vm="7134">
        <f ca="1"/>
        <v>45460</v>
      </c>
      <c r="M893" vm="7138">
        <f ca="1"/>
        <v>311.22000000000003</v>
      </c>
      <c r="N893" vm="7134">
        <f ca="1"/>
        <v>45460</v>
      </c>
      <c r="O893" vm="7012">
        <f ca="1"/>
        <v>44.76</v>
      </c>
      <c r="P893" vm="7134">
        <f ca="1"/>
        <v>45460</v>
      </c>
      <c r="Q893" vm="7139">
        <f ca="1"/>
        <v>150.726</v>
      </c>
      <c r="R893" s="29">
        <f t="shared" ca="1" si="111"/>
        <v>1.3105271482477374E-2</v>
      </c>
      <c r="S893" s="30">
        <f t="shared" ca="1" si="112"/>
        <v>1.7006802721089079E-3</v>
      </c>
      <c r="T893" s="30">
        <f t="shared" ca="1" si="113"/>
        <v>1.8842828641099196E-3</v>
      </c>
      <c r="U893" s="30">
        <f t="shared" ca="1" si="114"/>
        <v>1.5248363496342074E-2</v>
      </c>
      <c r="V893" s="30">
        <f t="shared" ca="1" si="115"/>
        <v>1.1245200219418447E-2</v>
      </c>
      <c r="W893" s="30">
        <f t="shared" ca="1" si="118"/>
        <v>-5.7504312823460314E-3</v>
      </c>
      <c r="X893" s="30">
        <f t="shared" ca="1" si="116"/>
        <v>-1.7841213202498972E-3</v>
      </c>
      <c r="Y893" s="31">
        <f t="shared" ca="1" si="117"/>
        <v>7.8366342591973271E-3</v>
      </c>
    </row>
    <row r="894" spans="2:25" x14ac:dyDescent="0.45">
      <c r="B894" vm="7140">
        <f ca="1"/>
        <v>45461</v>
      </c>
      <c r="C894" vm="7141">
        <f ca="1"/>
        <v>446.34</v>
      </c>
      <c r="D894" vm="7140">
        <f ca="1"/>
        <v>45461</v>
      </c>
      <c r="E894" vm="7142">
        <f ca="1"/>
        <v>18.05</v>
      </c>
      <c r="F894" vm="7140">
        <f ca="1"/>
        <v>45461</v>
      </c>
      <c r="G894" vm="7143">
        <f ca="1"/>
        <v>273.62</v>
      </c>
      <c r="H894" vm="7140">
        <f ca="1"/>
        <v>45461</v>
      </c>
      <c r="I894" vm="7144">
        <f ca="1"/>
        <v>134.9</v>
      </c>
      <c r="J894" vm="7140">
        <f ca="1"/>
        <v>45461</v>
      </c>
      <c r="K894" vm="7145">
        <f ca="1"/>
        <v>37.07</v>
      </c>
      <c r="L894" vm="7140">
        <f ca="1"/>
        <v>45461</v>
      </c>
      <c r="M894" vm="7146">
        <f ca="1"/>
        <v>309.89999999999998</v>
      </c>
      <c r="N894" vm="7140">
        <f ca="1"/>
        <v>45461</v>
      </c>
      <c r="O894" vm="7094">
        <f ca="1"/>
        <v>44.52</v>
      </c>
      <c r="P894" vm="7140">
        <f ca="1"/>
        <v>45461</v>
      </c>
      <c r="Q894" vm="7147">
        <f ca="1"/>
        <v>146.94300000000001</v>
      </c>
      <c r="R894" s="29">
        <f t="shared" ca="1" si="111"/>
        <v>-4.527510761201752E-3</v>
      </c>
      <c r="S894" s="30">
        <f t="shared" ca="1" si="112"/>
        <v>2.1505376344085964E-2</v>
      </c>
      <c r="T894" s="30">
        <f t="shared" ca="1" si="113"/>
        <v>9.0349227421912034E-3</v>
      </c>
      <c r="U894" s="30">
        <f t="shared" ca="1" si="114"/>
        <v>2.3287567321550427E-2</v>
      </c>
      <c r="V894" s="30">
        <f t="shared" ca="1" si="115"/>
        <v>5.4244643341470802E-3</v>
      </c>
      <c r="W894" s="30">
        <f t="shared" ca="1" si="118"/>
        <v>-4.2413726624254541E-3</v>
      </c>
      <c r="X894" s="30">
        <f t="shared" ca="1" si="116"/>
        <v>-5.3619302949060518E-3</v>
      </c>
      <c r="Y894" s="31">
        <f t="shared" ca="1" si="117"/>
        <v>-2.5098523147963771E-2</v>
      </c>
    </row>
    <row r="895" spans="2:25" x14ac:dyDescent="0.45">
      <c r="B895" vm="7148">
        <f ca="1"/>
        <v>45463</v>
      </c>
      <c r="C895" vm="7149">
        <f ca="1"/>
        <v>445.7</v>
      </c>
      <c r="D895" vm="7148">
        <f ca="1"/>
        <v>45463</v>
      </c>
      <c r="E895" vm="7150">
        <f ca="1"/>
        <v>18.11</v>
      </c>
      <c r="F895" vm="7148">
        <f ca="1"/>
        <v>45463</v>
      </c>
      <c r="G895" vm="7151">
        <f ca="1"/>
        <v>276.82</v>
      </c>
      <c r="H895" vm="7148">
        <f ca="1"/>
        <v>45463</v>
      </c>
      <c r="I895" vm="6841">
        <f ca="1"/>
        <v>132.72999999999999</v>
      </c>
      <c r="J895" vm="7148">
        <f ca="1"/>
        <v>45463</v>
      </c>
      <c r="K895" vm="7152">
        <f ca="1"/>
        <v>37.020000000000003</v>
      </c>
      <c r="L895" vm="7148">
        <f ca="1"/>
        <v>45463</v>
      </c>
      <c r="M895" vm="7153">
        <f ca="1"/>
        <v>313.89</v>
      </c>
      <c r="N895" vm="7148">
        <f ca="1"/>
        <v>45463</v>
      </c>
      <c r="O895" vm="7154">
        <f ca="1"/>
        <v>46.2</v>
      </c>
      <c r="P895" vm="7148">
        <f ca="1"/>
        <v>45463</v>
      </c>
      <c r="Q895" vm="7155">
        <f ca="1"/>
        <v>146.54</v>
      </c>
      <c r="R895" s="29">
        <f t="shared" ca="1" si="111"/>
        <v>-1.4338844826813336E-3</v>
      </c>
      <c r="S895" s="30">
        <f t="shared" ca="1" si="112"/>
        <v>3.3240997229916189E-3</v>
      </c>
      <c r="T895" s="30">
        <f t="shared" ca="1" si="113"/>
        <v>1.1695051531320768E-2</v>
      </c>
      <c r="U895" s="30">
        <f t="shared" ca="1" si="114"/>
        <v>-1.6085989621942298E-2</v>
      </c>
      <c r="V895" s="30">
        <f t="shared" ca="1" si="115"/>
        <v>-1.3487995683840615E-3</v>
      </c>
      <c r="W895" s="30">
        <f t="shared" ca="1" si="118"/>
        <v>1.2875121006776409E-2</v>
      </c>
      <c r="X895" s="30">
        <f t="shared" ca="1" si="116"/>
        <v>3.7735849056603765E-2</v>
      </c>
      <c r="Y895" s="31">
        <f t="shared" ca="1" si="117"/>
        <v>-2.7425600402878666E-3</v>
      </c>
    </row>
    <row r="896" spans="2:25" x14ac:dyDescent="0.45">
      <c r="B896" vm="7156">
        <f ca="1"/>
        <v>45464</v>
      </c>
      <c r="C896" vm="7157">
        <f ca="1"/>
        <v>449.78</v>
      </c>
      <c r="D896" vm="7156">
        <f ca="1"/>
        <v>45464</v>
      </c>
      <c r="E896" vm="3469">
        <f ca="1"/>
        <v>18.399999999999999</v>
      </c>
      <c r="F896" vm="7156">
        <f ca="1"/>
        <v>45464</v>
      </c>
      <c r="G896" vm="7158">
        <f ca="1"/>
        <v>275.22000000000003</v>
      </c>
      <c r="H896" vm="7156">
        <f ca="1"/>
        <v>45464</v>
      </c>
      <c r="I896" vm="3752">
        <f ca="1"/>
        <v>133.25</v>
      </c>
      <c r="J896" vm="7156">
        <f ca="1"/>
        <v>45464</v>
      </c>
      <c r="K896" vm="7159">
        <f ca="1"/>
        <v>36.65</v>
      </c>
      <c r="L896" vm="7156">
        <f ca="1"/>
        <v>45464</v>
      </c>
      <c r="M896" vm="7160">
        <f ca="1"/>
        <v>317.74</v>
      </c>
      <c r="N896" vm="7156">
        <f ca="1"/>
        <v>45464</v>
      </c>
      <c r="O896" vm="7161">
        <f ca="1"/>
        <v>45.16</v>
      </c>
      <c r="P896" vm="7156">
        <f ca="1"/>
        <v>45464</v>
      </c>
      <c r="Q896" vm="7162">
        <f ca="1"/>
        <v>148.376</v>
      </c>
      <c r="R896" s="29">
        <f t="shared" ca="1" si="111"/>
        <v>9.1541395557549563E-3</v>
      </c>
      <c r="S896" s="30">
        <f t="shared" ca="1" si="112"/>
        <v>1.6013252346769695E-2</v>
      </c>
      <c r="T896" s="30">
        <f t="shared" ca="1" si="113"/>
        <v>-5.7799291958672274E-3</v>
      </c>
      <c r="U896" s="30">
        <f t="shared" ca="1" si="114"/>
        <v>3.9177277179236816E-3</v>
      </c>
      <c r="V896" s="30">
        <f t="shared" ca="1" si="115"/>
        <v>-9.9945975148569566E-3</v>
      </c>
      <c r="W896" s="30">
        <f t="shared" ca="1" si="118"/>
        <v>1.2265443308165353E-2</v>
      </c>
      <c r="X896" s="30">
        <f t="shared" ca="1" si="116"/>
        <v>-2.2510822510822644E-2</v>
      </c>
      <c r="Y896" s="31">
        <f t="shared" ca="1" si="117"/>
        <v>1.2529002320185702E-2</v>
      </c>
    </row>
    <row r="897" spans="2:25" x14ac:dyDescent="0.45">
      <c r="B897" vm="7163">
        <f ca="1"/>
        <v>45467</v>
      </c>
      <c r="C897" vm="7164">
        <f ca="1"/>
        <v>447.67</v>
      </c>
      <c r="D897" vm="7163">
        <f ca="1"/>
        <v>45467</v>
      </c>
      <c r="E897" vm="7165">
        <f ca="1"/>
        <v>18.649999999999999</v>
      </c>
      <c r="F897" vm="7163">
        <f ca="1"/>
        <v>45467</v>
      </c>
      <c r="G897" vm="7166">
        <f ca="1"/>
        <v>276.3</v>
      </c>
      <c r="H897" vm="7163">
        <f ca="1"/>
        <v>45467</v>
      </c>
      <c r="I897" vm="7167">
        <f ca="1"/>
        <v>135.08000000000001</v>
      </c>
      <c r="J897" vm="7163">
        <f ca="1"/>
        <v>45467</v>
      </c>
      <c r="K897" vm="7168">
        <f ca="1"/>
        <v>36.270000000000003</v>
      </c>
      <c r="L897" vm="7163">
        <f ca="1"/>
        <v>45467</v>
      </c>
      <c r="M897" vm="7169">
        <f ca="1"/>
        <v>314.99</v>
      </c>
      <c r="N897" vm="7163">
        <f ca="1"/>
        <v>45467</v>
      </c>
      <c r="O897" vm="7170">
        <f ca="1"/>
        <v>44.8</v>
      </c>
      <c r="P897" vm="7163">
        <f ca="1"/>
        <v>45467</v>
      </c>
      <c r="Q897" vm="7171">
        <f ca="1"/>
        <v>137.215</v>
      </c>
      <c r="R897" s="29">
        <f t="shared" ca="1" si="111"/>
        <v>-4.691182355818304E-3</v>
      </c>
      <c r="S897" s="30">
        <f t="shared" ca="1" si="112"/>
        <v>1.3586956521739132E-2</v>
      </c>
      <c r="T897" s="30">
        <f t="shared" ca="1" si="113"/>
        <v>3.9241334205362402E-3</v>
      </c>
      <c r="U897" s="30">
        <f t="shared" ca="1" si="114"/>
        <v>1.3733583489681145E-2</v>
      </c>
      <c r="V897" s="30">
        <f t="shared" ca="1" si="115"/>
        <v>-1.0368349249658812E-2</v>
      </c>
      <c r="W897" s="30">
        <f t="shared" ca="1" si="118"/>
        <v>-8.6548750550764775E-3</v>
      </c>
      <c r="X897" s="30">
        <f t="shared" ca="1" si="116"/>
        <v>-7.9716563330380751E-3</v>
      </c>
      <c r="Y897" s="31">
        <f t="shared" ca="1" si="117"/>
        <v>-7.5221060009705076E-2</v>
      </c>
    </row>
    <row r="898" spans="2:25" x14ac:dyDescent="0.45">
      <c r="B898" vm="7172">
        <f ca="1"/>
        <v>45468</v>
      </c>
      <c r="C898" vm="7173">
        <f ca="1"/>
        <v>450.95</v>
      </c>
      <c r="D898" vm="7172">
        <f ca="1"/>
        <v>45468</v>
      </c>
      <c r="E898" vm="7174">
        <f ca="1"/>
        <v>18.690000000000001</v>
      </c>
      <c r="F898" vm="7172">
        <f ca="1"/>
        <v>45468</v>
      </c>
      <c r="G898" vm="7175">
        <f ca="1"/>
        <v>273.52999999999997</v>
      </c>
      <c r="H898" vm="7172">
        <f ca="1"/>
        <v>45468</v>
      </c>
      <c r="I898" vm="7176">
        <f ca="1"/>
        <v>134.69</v>
      </c>
      <c r="J898" vm="7172">
        <f ca="1"/>
        <v>45468</v>
      </c>
      <c r="K898" vm="7177">
        <f ca="1"/>
        <v>35.21</v>
      </c>
      <c r="L898" vm="7172">
        <f ca="1"/>
        <v>45468</v>
      </c>
      <c r="M898" vm="527">
        <f ca="1"/>
        <v>321.27999999999997</v>
      </c>
      <c r="N898" vm="7172">
        <f ca="1"/>
        <v>45468</v>
      </c>
      <c r="O898" vm="7178">
        <f ca="1"/>
        <v>44</v>
      </c>
      <c r="P898" vm="7172">
        <f ca="1"/>
        <v>45468</v>
      </c>
      <c r="Q898" vm="7179">
        <f ca="1"/>
        <v>149.57400000000001</v>
      </c>
      <c r="R898" s="29">
        <f t="shared" ca="1" si="111"/>
        <v>7.3268255634730325E-3</v>
      </c>
      <c r="S898" s="30">
        <f t="shared" ca="1" si="112"/>
        <v>2.1447721179626116E-3</v>
      </c>
      <c r="T898" s="30">
        <f t="shared" ca="1" si="113"/>
        <v>-1.0025334781035245E-2</v>
      </c>
      <c r="U898" s="30">
        <f t="shared" ca="1" si="114"/>
        <v>-2.8871779686113026E-3</v>
      </c>
      <c r="V898" s="30">
        <f t="shared" ca="1" si="115"/>
        <v>-2.9225255031706705E-2</v>
      </c>
      <c r="W898" s="30">
        <f t="shared" ca="1" si="118"/>
        <v>1.9968887901203096E-2</v>
      </c>
      <c r="X898" s="30">
        <f t="shared" ca="1" si="116"/>
        <v>-1.7857142857142794E-2</v>
      </c>
      <c r="Y898" s="31">
        <f t="shared" ca="1" si="117"/>
        <v>9.0070327588091748E-2</v>
      </c>
    </row>
    <row r="899" spans="2:25" x14ac:dyDescent="0.45">
      <c r="B899" vm="7180">
        <f ca="1"/>
        <v>45469</v>
      </c>
      <c r="C899" vm="7181">
        <f ca="1"/>
        <v>452.16</v>
      </c>
      <c r="D899" vm="7180">
        <f ca="1"/>
        <v>45469</v>
      </c>
      <c r="E899" vm="7182">
        <f ca="1"/>
        <v>18.760000000000002</v>
      </c>
      <c r="F899" vm="7180">
        <f ca="1"/>
        <v>45469</v>
      </c>
      <c r="G899" vm="7183">
        <f ca="1"/>
        <v>273.60000000000002</v>
      </c>
      <c r="H899" vm="7180">
        <f ca="1"/>
        <v>45469</v>
      </c>
      <c r="I899" vm="7184">
        <f ca="1"/>
        <v>133.09</v>
      </c>
      <c r="J899" vm="7180">
        <f ca="1"/>
        <v>45469</v>
      </c>
      <c r="K899" vm="7185">
        <f ca="1"/>
        <v>37.18</v>
      </c>
      <c r="L899" vm="7180">
        <f ca="1"/>
        <v>45469</v>
      </c>
      <c r="M899" vm="7186">
        <f ca="1"/>
        <v>318.95999999999998</v>
      </c>
      <c r="N899" vm="7180">
        <f ca="1"/>
        <v>45469</v>
      </c>
      <c r="O899" vm="7187">
        <f ca="1"/>
        <v>43.52</v>
      </c>
      <c r="P899" vm="7180">
        <f ca="1"/>
        <v>45469</v>
      </c>
      <c r="Q899" vm="7188">
        <f ca="1"/>
        <v>145.773</v>
      </c>
      <c r="R899" s="29">
        <f t="shared" ca="1" si="111"/>
        <v>2.6832243042466714E-3</v>
      </c>
      <c r="S899" s="30">
        <f t="shared" ca="1" si="112"/>
        <v>3.7453183520599399E-3</v>
      </c>
      <c r="T899" s="30">
        <f t="shared" ca="1" si="113"/>
        <v>2.5591342814334817E-4</v>
      </c>
      <c r="U899" s="30">
        <f t="shared" ca="1" si="114"/>
        <v>-1.1879129853738171E-2</v>
      </c>
      <c r="V899" s="30">
        <f t="shared" ca="1" si="115"/>
        <v>5.5950014200511183E-2</v>
      </c>
      <c r="W899" s="30">
        <f t="shared" ca="1" si="118"/>
        <v>-7.2211155378485853E-3</v>
      </c>
      <c r="X899" s="30">
        <f t="shared" ca="1" si="116"/>
        <v>-1.0909090909090839E-2</v>
      </c>
      <c r="Y899" s="31">
        <f t="shared" ca="1" si="117"/>
        <v>-2.5412170564403012E-2</v>
      </c>
    </row>
    <row r="900" spans="2:25" x14ac:dyDescent="0.45">
      <c r="B900" vm="7189">
        <f ca="1"/>
        <v>45470</v>
      </c>
      <c r="C900" vm="7190">
        <f ca="1"/>
        <v>452.85</v>
      </c>
      <c r="D900" vm="7189">
        <f ca="1"/>
        <v>45470</v>
      </c>
      <c r="E900" vm="543">
        <f ca="1"/>
        <v>18.75</v>
      </c>
      <c r="F900" vm="7189">
        <f ca="1"/>
        <v>45470</v>
      </c>
      <c r="G900" vm="7191">
        <f ca="1"/>
        <v>266.58999999999997</v>
      </c>
      <c r="H900" vm="7189">
        <f ca="1"/>
        <v>45470</v>
      </c>
      <c r="I900" vm="7192">
        <f ca="1"/>
        <v>130.80000000000001</v>
      </c>
      <c r="J900" vm="7189">
        <f ca="1"/>
        <v>45470</v>
      </c>
      <c r="K900" vm="7193">
        <f ca="1"/>
        <v>36.799999999999997</v>
      </c>
      <c r="L900" vm="7189">
        <f ca="1"/>
        <v>45470</v>
      </c>
      <c r="M900" vm="7194">
        <f ca="1"/>
        <v>315.38</v>
      </c>
      <c r="N900" vm="7189">
        <f ca="1"/>
        <v>45470</v>
      </c>
      <c r="O900" vm="7195">
        <f ca="1"/>
        <v>43.24</v>
      </c>
      <c r="P900" vm="7189">
        <f ca="1"/>
        <v>45470</v>
      </c>
      <c r="Q900" vm="7196">
        <f ca="1"/>
        <v>152.54</v>
      </c>
      <c r="R900" s="29">
        <f t="shared" ca="1" si="111"/>
        <v>1.526008492568997E-3</v>
      </c>
      <c r="S900" s="30">
        <f t="shared" ca="1" si="112"/>
        <v>-5.3304904051181034E-4</v>
      </c>
      <c r="T900" s="30">
        <f t="shared" ca="1" si="113"/>
        <v>-2.5621345029239937E-2</v>
      </c>
      <c r="U900" s="30">
        <f t="shared" ca="1" si="114"/>
        <v>-1.7206401683071547E-2</v>
      </c>
      <c r="V900" s="30">
        <f t="shared" ca="1" si="115"/>
        <v>-1.0220548682087213E-2</v>
      </c>
      <c r="W900" s="30">
        <f t="shared" ca="1" si="118"/>
        <v>-1.1223977928266819E-2</v>
      </c>
      <c r="X900" s="30">
        <f t="shared" ca="1" si="116"/>
        <v>-6.4338235294117904E-3</v>
      </c>
      <c r="Y900" s="31">
        <f t="shared" ca="1" si="117"/>
        <v>4.6421490948255137E-2</v>
      </c>
    </row>
    <row r="901" spans="2:25" x14ac:dyDescent="0.45">
      <c r="B901" vm="7197">
        <f ca="1"/>
        <v>45471</v>
      </c>
      <c r="C901" vm="7198">
        <f ca="1"/>
        <v>446.95</v>
      </c>
      <c r="D901" vm="7197">
        <f ca="1"/>
        <v>45471</v>
      </c>
      <c r="E901" vm="7199">
        <f ca="1"/>
        <v>19.11</v>
      </c>
      <c r="F901" vm="7197">
        <f ca="1"/>
        <v>45471</v>
      </c>
      <c r="G901" vm="7200">
        <f ca="1"/>
        <v>262.47000000000003</v>
      </c>
      <c r="H901" vm="7197">
        <f ca="1"/>
        <v>45471</v>
      </c>
      <c r="I901" vm="7201">
        <f ca="1"/>
        <v>129.63</v>
      </c>
      <c r="J901" vm="7197">
        <f ca="1"/>
        <v>45471</v>
      </c>
      <c r="K901" vm="7202">
        <f ca="1"/>
        <v>37.799999999999997</v>
      </c>
      <c r="L901" vm="7197">
        <f ca="1"/>
        <v>45471</v>
      </c>
      <c r="M901" vm="7203">
        <f ca="1"/>
        <v>313.79000000000002</v>
      </c>
      <c r="N901" vm="7197">
        <f ca="1"/>
        <v>45471</v>
      </c>
      <c r="O901" vm="7204">
        <f ca="1"/>
        <v>43.68</v>
      </c>
      <c r="P901" vm="7197">
        <f ca="1"/>
        <v>45471</v>
      </c>
      <c r="Q901" vm="7205">
        <f ca="1"/>
        <v>137.74799999999999</v>
      </c>
      <c r="R901" s="29">
        <f t="shared" ref="R901:R964" ca="1" si="119">(C901-C900)/C900</f>
        <v>-1.3028596665562622E-2</v>
      </c>
      <c r="S901" s="30">
        <f t="shared" ref="S901:S964" ca="1" si="120">(E901-E900)/E900</f>
        <v>1.9199999999999971E-2</v>
      </c>
      <c r="T901" s="30">
        <f t="shared" ref="T901:T964" ca="1" si="121">(G901-G900)/G900</f>
        <v>-1.5454443152406122E-2</v>
      </c>
      <c r="U901" s="30">
        <f t="shared" ref="U901:U964" ca="1" si="122">(I901-I900)/I900</f>
        <v>-8.9449541284404872E-3</v>
      </c>
      <c r="V901" s="30">
        <f t="shared" ref="V901:V964" ca="1" si="123">(K901-K900)/K900</f>
        <v>2.7173913043478264E-2</v>
      </c>
      <c r="W901" s="30">
        <f t="shared" ca="1" si="118"/>
        <v>-5.0415371932271387E-3</v>
      </c>
      <c r="X901" s="30">
        <f t="shared" ref="X901:X964" ca="1" si="124">(O901-O900)/O900</f>
        <v>1.0175763182238616E-2</v>
      </c>
      <c r="Y901" s="31">
        <f t="shared" ref="Y901:Y964" ca="1" si="125">(Q901-Q900)/Q900</f>
        <v>-9.6971286220007877E-2</v>
      </c>
    </row>
    <row r="902" spans="2:25" x14ac:dyDescent="0.45">
      <c r="B902" vm="7206">
        <f ca="1"/>
        <v>45474</v>
      </c>
      <c r="C902" vm="7207">
        <f ca="1"/>
        <v>456.73</v>
      </c>
      <c r="D902" vm="7206">
        <f ca="1"/>
        <v>45474</v>
      </c>
      <c r="E902" vm="2452">
        <f ca="1"/>
        <v>18.98</v>
      </c>
      <c r="F902" vm="7206">
        <f ca="1"/>
        <v>45474</v>
      </c>
      <c r="G902" vm="7208">
        <f ca="1"/>
        <v>263.24</v>
      </c>
      <c r="H902" vm="7206">
        <f ca="1"/>
        <v>45474</v>
      </c>
      <c r="I902" vm="7209">
        <f ca="1"/>
        <v>127.4</v>
      </c>
      <c r="J902" vm="7206">
        <f ca="1"/>
        <v>45474</v>
      </c>
      <c r="K902" vm="7210">
        <f ca="1"/>
        <v>38.19</v>
      </c>
      <c r="L902" vm="7206">
        <f ca="1"/>
        <v>45474</v>
      </c>
      <c r="M902" vm="7211">
        <f ca="1"/>
        <v>313.83999999999997</v>
      </c>
      <c r="N902" vm="7206">
        <f ca="1"/>
        <v>45474</v>
      </c>
      <c r="O902" vm="7212">
        <f ca="1"/>
        <v>41.96</v>
      </c>
      <c r="P902" vm="7206">
        <f ca="1"/>
        <v>45474</v>
      </c>
      <c r="Q902" vm="7213">
        <f ca="1"/>
        <v>136.59700000000001</v>
      </c>
      <c r="R902" s="29">
        <f t="shared" ca="1" si="119"/>
        <v>2.1881642241861572E-2</v>
      </c>
      <c r="S902" s="30">
        <f t="shared" ca="1" si="120"/>
        <v>-6.8027210884353227E-3</v>
      </c>
      <c r="T902" s="30">
        <f t="shared" ca="1" si="121"/>
        <v>2.9336686097458063E-3</v>
      </c>
      <c r="U902" s="30">
        <f t="shared" ca="1" si="122"/>
        <v>-1.7202807991977088E-2</v>
      </c>
      <c r="V902" s="30">
        <f t="shared" ca="1" si="123"/>
        <v>1.0317460317460333E-2</v>
      </c>
      <c r="W902" s="30">
        <f t="shared" ref="W902:W965" ca="1" si="126">(M902-M901)/M901</f>
        <v>1.593422352527312E-4</v>
      </c>
      <c r="X902" s="30">
        <f t="shared" ca="1" si="124"/>
        <v>-3.9377289377289348E-2</v>
      </c>
      <c r="Y902" s="31">
        <f t="shared" ca="1" si="125"/>
        <v>-8.3558381972876714E-3</v>
      </c>
    </row>
    <row r="903" spans="2:25" x14ac:dyDescent="0.45">
      <c r="B903" vm="7214">
        <f ca="1"/>
        <v>45475</v>
      </c>
      <c r="C903" vm="7215">
        <f ca="1"/>
        <v>459.28</v>
      </c>
      <c r="D903" vm="7214">
        <f ca="1"/>
        <v>45475</v>
      </c>
      <c r="E903" vm="4152">
        <f ca="1"/>
        <v>18.82</v>
      </c>
      <c r="F903" vm="7214">
        <f ca="1"/>
        <v>45475</v>
      </c>
      <c r="G903" vm="7216">
        <f ca="1"/>
        <v>268.23</v>
      </c>
      <c r="H903" vm="7214">
        <f ca="1"/>
        <v>45475</v>
      </c>
      <c r="I903" vm="7217">
        <f ca="1"/>
        <v>125.78</v>
      </c>
      <c r="J903" vm="7214">
        <f ca="1"/>
        <v>45475</v>
      </c>
      <c r="K903" vm="7218">
        <f ca="1"/>
        <v>38.340000000000003</v>
      </c>
      <c r="L903" vm="7214">
        <f ca="1"/>
        <v>45475</v>
      </c>
      <c r="M903" vm="7219">
        <f ca="1"/>
        <v>315.55</v>
      </c>
      <c r="N903" vm="7214">
        <f ca="1"/>
        <v>45475</v>
      </c>
      <c r="O903" vm="7220">
        <f ca="1"/>
        <v>41.48</v>
      </c>
      <c r="P903" vm="7214">
        <f ca="1"/>
        <v>45475</v>
      </c>
      <c r="Q903" vm="7221">
        <f ca="1"/>
        <v>132.01900000000001</v>
      </c>
      <c r="R903" s="29">
        <f t="shared" ca="1" si="119"/>
        <v>5.5831672979658759E-3</v>
      </c>
      <c r="S903" s="30">
        <f t="shared" ca="1" si="120"/>
        <v>-8.4299262381454243E-3</v>
      </c>
      <c r="T903" s="30">
        <f t="shared" ca="1" si="121"/>
        <v>1.8956085701261241E-2</v>
      </c>
      <c r="U903" s="30">
        <f t="shared" ca="1" si="122"/>
        <v>-1.2715855572998465E-2</v>
      </c>
      <c r="V903" s="30">
        <f t="shared" ca="1" si="123"/>
        <v>3.9277297721918222E-3</v>
      </c>
      <c r="W903" s="30">
        <f t="shared" ca="1" si="126"/>
        <v>5.4486362477696804E-3</v>
      </c>
      <c r="X903" s="30">
        <f t="shared" ca="1" si="124"/>
        <v>-1.1439466158246044E-2</v>
      </c>
      <c r="Y903" s="31">
        <f t="shared" ca="1" si="125"/>
        <v>-3.3514645270393953E-2</v>
      </c>
    </row>
    <row r="904" spans="2:25" x14ac:dyDescent="0.45">
      <c r="B904" vm="7222">
        <f ca="1"/>
        <v>45476</v>
      </c>
      <c r="C904" vm="7223">
        <f ca="1"/>
        <v>460.77</v>
      </c>
      <c r="D904" vm="7222">
        <f ca="1"/>
        <v>45476</v>
      </c>
      <c r="E904" vm="7224">
        <f ca="1"/>
        <v>18.68</v>
      </c>
      <c r="F904" vm="7222">
        <f ca="1"/>
        <v>45476</v>
      </c>
      <c r="G904" vm="7225">
        <f ca="1"/>
        <v>268.99</v>
      </c>
      <c r="H904" vm="7222">
        <f ca="1"/>
        <v>45476</v>
      </c>
      <c r="I904" vm="7226">
        <f ca="1"/>
        <v>126.13</v>
      </c>
      <c r="J904" vm="7222">
        <f ca="1"/>
        <v>45476</v>
      </c>
      <c r="K904" vm="7227">
        <f ca="1"/>
        <v>39.19</v>
      </c>
      <c r="L904" vm="7222">
        <f ca="1"/>
        <v>45476</v>
      </c>
      <c r="M904" vm="7228">
        <f ca="1"/>
        <v>314.8</v>
      </c>
      <c r="N904" vm="7222">
        <f ca="1"/>
        <v>45476</v>
      </c>
      <c r="O904" vm="7229">
        <f ca="1"/>
        <v>41.68</v>
      </c>
      <c r="P904" vm="7222">
        <f ca="1"/>
        <v>45476</v>
      </c>
      <c r="Q904" vm="7230">
        <f ca="1"/>
        <v>130.209</v>
      </c>
      <c r="R904" s="29">
        <f t="shared" ca="1" si="119"/>
        <v>3.2442083260756168E-3</v>
      </c>
      <c r="S904" s="30">
        <f t="shared" ca="1" si="120"/>
        <v>-7.4388947927736754E-3</v>
      </c>
      <c r="T904" s="30">
        <f t="shared" ca="1" si="121"/>
        <v>2.8333892554896576E-3</v>
      </c>
      <c r="U904" s="30">
        <f t="shared" ca="1" si="122"/>
        <v>2.7826363491810645E-3</v>
      </c>
      <c r="V904" s="30">
        <f t="shared" ca="1" si="123"/>
        <v>2.2170057381324836E-2</v>
      </c>
      <c r="W904" s="30">
        <f t="shared" ca="1" si="126"/>
        <v>-2.3768024084931073E-3</v>
      </c>
      <c r="X904" s="30">
        <f t="shared" ca="1" si="124"/>
        <v>4.821600771456192E-3</v>
      </c>
      <c r="Y904" s="31">
        <f t="shared" ca="1" si="125"/>
        <v>-1.3710147781758704E-2</v>
      </c>
    </row>
    <row r="905" spans="2:25" x14ac:dyDescent="0.45">
      <c r="B905" vm="7231">
        <f ca="1"/>
        <v>45478</v>
      </c>
      <c r="C905" vm="7232">
        <f ca="1"/>
        <v>467.56</v>
      </c>
      <c r="D905" vm="7231">
        <f ca="1"/>
        <v>45478</v>
      </c>
      <c r="E905" vm="4654">
        <f ca="1"/>
        <v>18.77</v>
      </c>
      <c r="F905" vm="7231">
        <f ca="1"/>
        <v>45478</v>
      </c>
      <c r="G905" vm="7233">
        <f ca="1"/>
        <v>270.36</v>
      </c>
      <c r="H905" vm="7231">
        <f ca="1"/>
        <v>45478</v>
      </c>
      <c r="I905" vm="7234">
        <f ca="1"/>
        <v>126.37</v>
      </c>
      <c r="J905" vm="7231">
        <f ca="1"/>
        <v>45478</v>
      </c>
      <c r="K905" vm="7235">
        <f ca="1"/>
        <v>38.700000000000003</v>
      </c>
      <c r="L905" vm="7231">
        <f ca="1"/>
        <v>45478</v>
      </c>
      <c r="M905" vm="7236">
        <f ca="1"/>
        <v>316.85000000000002</v>
      </c>
      <c r="N905" vm="7231">
        <f ca="1"/>
        <v>45478</v>
      </c>
      <c r="O905" vm="7237">
        <f ca="1"/>
        <v>41.84</v>
      </c>
      <c r="P905" vm="7231">
        <f ca="1"/>
        <v>45478</v>
      </c>
      <c r="Q905" vm="7238">
        <f ca="1"/>
        <v>128.172</v>
      </c>
      <c r="R905" s="29">
        <f t="shared" ca="1" si="119"/>
        <v>1.4736202443735531E-2</v>
      </c>
      <c r="S905" s="30">
        <f t="shared" ca="1" si="120"/>
        <v>4.8179871520342534E-3</v>
      </c>
      <c r="T905" s="30">
        <f t="shared" ca="1" si="121"/>
        <v>5.0931261385181769E-3</v>
      </c>
      <c r="U905" s="30">
        <f t="shared" ca="1" si="122"/>
        <v>1.902798699754294E-3</v>
      </c>
      <c r="V905" s="30">
        <f t="shared" ca="1" si="123"/>
        <v>-1.2503189589180784E-2</v>
      </c>
      <c r="W905" s="30">
        <f t="shared" ca="1" si="126"/>
        <v>6.5120711562897437E-3</v>
      </c>
      <c r="X905" s="30">
        <f t="shared" ca="1" si="124"/>
        <v>3.8387715930902999E-3</v>
      </c>
      <c r="Y905" s="31">
        <f t="shared" ca="1" si="125"/>
        <v>-1.5644079902310946E-2</v>
      </c>
    </row>
    <row r="906" spans="2:25" x14ac:dyDescent="0.45">
      <c r="B906" vm="7239">
        <f ca="1"/>
        <v>45481</v>
      </c>
      <c r="C906" vm="7240">
        <f ca="1"/>
        <v>466.24</v>
      </c>
      <c r="D906" vm="7239">
        <f ca="1"/>
        <v>45481</v>
      </c>
      <c r="E906" vm="3887">
        <f ca="1"/>
        <v>18.809999999999999</v>
      </c>
      <c r="F906" vm="7239">
        <f ca="1"/>
        <v>45481</v>
      </c>
      <c r="G906" vm="7241">
        <f ca="1"/>
        <v>266.39999999999998</v>
      </c>
      <c r="H906" vm="7239">
        <f ca="1"/>
        <v>45481</v>
      </c>
      <c r="I906" vm="7242">
        <f ca="1"/>
        <v>126.07</v>
      </c>
      <c r="J906" vm="7239">
        <f ca="1"/>
        <v>45481</v>
      </c>
      <c r="K906" vm="7243">
        <f ca="1"/>
        <v>39.200000000000003</v>
      </c>
      <c r="L906" vm="7239">
        <f ca="1"/>
        <v>45481</v>
      </c>
      <c r="M906" vm="7244">
        <f ca="1"/>
        <v>313.70999999999998</v>
      </c>
      <c r="N906" vm="7239">
        <f ca="1"/>
        <v>45481</v>
      </c>
      <c r="O906" vm="7245">
        <f ca="1"/>
        <v>41.08</v>
      </c>
      <c r="P906" vm="7239">
        <f ca="1"/>
        <v>45481</v>
      </c>
      <c r="Q906" vm="7246">
        <f ca="1"/>
        <v>129.05799999999999</v>
      </c>
      <c r="R906" s="29">
        <f t="shared" ca="1" si="119"/>
        <v>-2.8231670801608204E-3</v>
      </c>
      <c r="S906" s="30">
        <f t="shared" ca="1" si="120"/>
        <v>2.131060202450674E-3</v>
      </c>
      <c r="T906" s="30">
        <f t="shared" ca="1" si="121"/>
        <v>-1.4647137150466179E-2</v>
      </c>
      <c r="U906" s="30">
        <f t="shared" ca="1" si="122"/>
        <v>-2.3739811664161697E-3</v>
      </c>
      <c r="V906" s="30">
        <f t="shared" ca="1" si="123"/>
        <v>1.2919896640826873E-2</v>
      </c>
      <c r="W906" s="30">
        <f t="shared" ca="1" si="126"/>
        <v>-9.9100520751145438E-3</v>
      </c>
      <c r="X906" s="30">
        <f t="shared" ca="1" si="124"/>
        <v>-1.8164435946462835E-2</v>
      </c>
      <c r="Y906" s="31">
        <f t="shared" ca="1" si="125"/>
        <v>6.9125862122772193E-3</v>
      </c>
    </row>
    <row r="907" spans="2:25" x14ac:dyDescent="0.45">
      <c r="B907" vm="7247">
        <f ca="1"/>
        <v>45482</v>
      </c>
      <c r="C907" vm="7248">
        <f ca="1"/>
        <v>459.54</v>
      </c>
      <c r="D907" vm="7247">
        <f ca="1"/>
        <v>45482</v>
      </c>
      <c r="E907" vm="4255">
        <f ca="1"/>
        <v>18.8</v>
      </c>
      <c r="F907" vm="7247">
        <f ca="1"/>
        <v>45482</v>
      </c>
      <c r="G907" vm="4706">
        <f ca="1"/>
        <v>265.44</v>
      </c>
      <c r="H907" vm="7247">
        <f ca="1"/>
        <v>45482</v>
      </c>
      <c r="I907" vm="692">
        <f ca="1"/>
        <v>125.42</v>
      </c>
      <c r="J907" vm="7247">
        <f ca="1"/>
        <v>45482</v>
      </c>
      <c r="K907" vm="7249">
        <f ca="1"/>
        <v>38.79</v>
      </c>
      <c r="L907" vm="7247">
        <f ca="1"/>
        <v>45482</v>
      </c>
      <c r="M907" vm="7250">
        <f ca="1"/>
        <v>311.55</v>
      </c>
      <c r="N907" vm="7247">
        <f ca="1"/>
        <v>45482</v>
      </c>
      <c r="O907" vm="7251">
        <f ca="1"/>
        <v>41.2</v>
      </c>
      <c r="P907" vm="7247">
        <f ca="1"/>
        <v>45482</v>
      </c>
      <c r="Q907" vm="7252">
        <f ca="1"/>
        <v>130.17699999999999</v>
      </c>
      <c r="R907" s="29">
        <f t="shared" ca="1" si="119"/>
        <v>-1.4370281400137243E-2</v>
      </c>
      <c r="S907" s="30">
        <f t="shared" ca="1" si="120"/>
        <v>-5.3163211057937322E-4</v>
      </c>
      <c r="T907" s="30">
        <f t="shared" ca="1" si="121"/>
        <v>-3.6036036036035269E-3</v>
      </c>
      <c r="U907" s="30">
        <f t="shared" ca="1" si="122"/>
        <v>-5.1558657888473979E-3</v>
      </c>
      <c r="V907" s="30">
        <f t="shared" ca="1" si="123"/>
        <v>-1.0459183673469482E-2</v>
      </c>
      <c r="W907" s="30">
        <f t="shared" ca="1" si="126"/>
        <v>-6.8853399636606043E-3</v>
      </c>
      <c r="X907" s="30">
        <f t="shared" ca="1" si="124"/>
        <v>2.9211295034080953E-3</v>
      </c>
      <c r="Y907" s="31">
        <f t="shared" ca="1" si="125"/>
        <v>8.670520231213872E-3</v>
      </c>
    </row>
    <row r="908" spans="2:25" x14ac:dyDescent="0.45">
      <c r="B908" vm="7253">
        <f ca="1"/>
        <v>45483</v>
      </c>
      <c r="C908" vm="7254">
        <f ca="1"/>
        <v>466.25</v>
      </c>
      <c r="D908" vm="7253">
        <f ca="1"/>
        <v>45483</v>
      </c>
      <c r="E908" vm="4330">
        <f ca="1"/>
        <v>18.739999999999998</v>
      </c>
      <c r="F908" vm="7253">
        <f ca="1"/>
        <v>45483</v>
      </c>
      <c r="G908" vm="7255">
        <f ca="1"/>
        <v>263</v>
      </c>
      <c r="H908" vm="7253">
        <f ca="1"/>
        <v>45483</v>
      </c>
      <c r="I908" vm="7256">
        <f ca="1"/>
        <v>127.07</v>
      </c>
      <c r="J908" vm="7253">
        <f ca="1"/>
        <v>45483</v>
      </c>
      <c r="K908" vm="7257">
        <f ca="1"/>
        <v>38.18</v>
      </c>
      <c r="L908" vm="7253">
        <f ca="1"/>
        <v>45483</v>
      </c>
      <c r="M908" vm="7258">
        <f ca="1"/>
        <v>304.99</v>
      </c>
      <c r="N908" vm="7253">
        <f ca="1"/>
        <v>45483</v>
      </c>
      <c r="O908" vm="7259">
        <f ca="1"/>
        <v>41.12</v>
      </c>
      <c r="P908" vm="7253">
        <f ca="1"/>
        <v>45483</v>
      </c>
      <c r="Q908" vm="7260">
        <f ca="1"/>
        <v>130.572</v>
      </c>
      <c r="R908" s="29">
        <f t="shared" ca="1" si="119"/>
        <v>1.4601558079818904E-2</v>
      </c>
      <c r="S908" s="30">
        <f t="shared" ca="1" si="120"/>
        <v>-3.1914893617022485E-3</v>
      </c>
      <c r="T908" s="30">
        <f t="shared" ca="1" si="121"/>
        <v>-9.192284508740196E-3</v>
      </c>
      <c r="U908" s="30">
        <f t="shared" ca="1" si="122"/>
        <v>1.3155796523680366E-2</v>
      </c>
      <c r="V908" s="30">
        <f t="shared" ca="1" si="123"/>
        <v>-1.5725702500644482E-2</v>
      </c>
      <c r="W908" s="30">
        <f t="shared" ca="1" si="126"/>
        <v>-2.1056010271224529E-2</v>
      </c>
      <c r="X908" s="30">
        <f t="shared" ca="1" si="124"/>
        <v>-1.9417475728156649E-3</v>
      </c>
      <c r="Y908" s="31">
        <f t="shared" ca="1" si="125"/>
        <v>3.0343301812148864E-3</v>
      </c>
    </row>
    <row r="909" spans="2:25" x14ac:dyDescent="0.45">
      <c r="B909" vm="7261">
        <f ca="1"/>
        <v>45484</v>
      </c>
      <c r="C909" vm="7262">
        <f ca="1"/>
        <v>454.7</v>
      </c>
      <c r="D909" vm="7261">
        <f ca="1"/>
        <v>45484</v>
      </c>
      <c r="E909" vm="2999">
        <f ca="1"/>
        <v>18.86</v>
      </c>
      <c r="F909" vm="7261">
        <f ca="1"/>
        <v>45484</v>
      </c>
      <c r="G909" vm="7263">
        <f ca="1"/>
        <v>262.55</v>
      </c>
      <c r="H909" vm="7261">
        <f ca="1"/>
        <v>45484</v>
      </c>
      <c r="I909" vm="7264">
        <f ca="1"/>
        <v>130.82</v>
      </c>
      <c r="J909" vm="7261">
        <f ca="1"/>
        <v>45484</v>
      </c>
      <c r="K909" vm="7065">
        <f ca="1"/>
        <v>38.729999999999997</v>
      </c>
      <c r="L909" vm="7261">
        <f ca="1"/>
        <v>45484</v>
      </c>
      <c r="M909" vm="7265">
        <f ca="1"/>
        <v>300.98</v>
      </c>
      <c r="N909" vm="7261">
        <f ca="1"/>
        <v>45484</v>
      </c>
      <c r="O909" vm="7266">
        <f ca="1"/>
        <v>41.36</v>
      </c>
      <c r="P909" vm="7261">
        <f ca="1"/>
        <v>45484</v>
      </c>
      <c r="Q909" vm="7267">
        <f ca="1"/>
        <v>135.85599999999999</v>
      </c>
      <c r="R909" s="29">
        <f t="shared" ca="1" si="119"/>
        <v>-2.4772117962466512E-2</v>
      </c>
      <c r="S909" s="30">
        <f t="shared" ca="1" si="120"/>
        <v>6.4034151547492533E-3</v>
      </c>
      <c r="T909" s="30">
        <f t="shared" ca="1" si="121"/>
        <v>-1.7110266159695384E-3</v>
      </c>
      <c r="U909" s="30">
        <f t="shared" ca="1" si="122"/>
        <v>2.9511292988116788E-2</v>
      </c>
      <c r="V909" s="30">
        <f t="shared" ca="1" si="123"/>
        <v>1.440544787847033E-2</v>
      </c>
      <c r="W909" s="30">
        <f t="shared" ca="1" si="126"/>
        <v>-1.3147972064657827E-2</v>
      </c>
      <c r="X909" s="30">
        <f t="shared" ca="1" si="124"/>
        <v>5.83657587548643E-3</v>
      </c>
      <c r="Y909" s="31">
        <f t="shared" ca="1" si="125"/>
        <v>4.046809423153503E-2</v>
      </c>
    </row>
    <row r="910" spans="2:25" x14ac:dyDescent="0.45">
      <c r="B910" vm="7268">
        <f ca="1"/>
        <v>45485</v>
      </c>
      <c r="C910" vm="7269">
        <f ca="1"/>
        <v>453.55</v>
      </c>
      <c r="D910" vm="7268">
        <f ca="1"/>
        <v>45485</v>
      </c>
      <c r="E910" vm="3887">
        <f ca="1"/>
        <v>18.809999999999999</v>
      </c>
      <c r="F910" vm="7268">
        <f ca="1"/>
        <v>45485</v>
      </c>
      <c r="G910" vm="7270">
        <f ca="1"/>
        <v>265.74</v>
      </c>
      <c r="H910" vm="7268">
        <f ca="1"/>
        <v>45485</v>
      </c>
      <c r="I910" vm="7271">
        <f ca="1"/>
        <v>132.22999999999999</v>
      </c>
      <c r="J910" vm="7268">
        <f ca="1"/>
        <v>45485</v>
      </c>
      <c r="K910" vm="7272">
        <f ca="1"/>
        <v>39.299999999999997</v>
      </c>
      <c r="L910" vm="7268">
        <f ca="1"/>
        <v>45485</v>
      </c>
      <c r="M910" vm="7273">
        <f ca="1"/>
        <v>302.27</v>
      </c>
      <c r="N910" vm="7268">
        <f ca="1"/>
        <v>45485</v>
      </c>
      <c r="O910" vm="7274">
        <f ca="1"/>
        <v>40.64</v>
      </c>
      <c r="P910" vm="7268">
        <f ca="1"/>
        <v>45485</v>
      </c>
      <c r="Q910" vm="7275">
        <f ca="1"/>
        <v>139.67599999999999</v>
      </c>
      <c r="R910" s="29">
        <f t="shared" ca="1" si="119"/>
        <v>-2.5291400923685447E-3</v>
      </c>
      <c r="S910" s="30">
        <f t="shared" ca="1" si="120"/>
        <v>-2.6511134676564536E-3</v>
      </c>
      <c r="T910" s="30">
        <f t="shared" ca="1" si="121"/>
        <v>1.2150066653970663E-2</v>
      </c>
      <c r="U910" s="30">
        <f t="shared" ca="1" si="122"/>
        <v>1.0778168475768206E-2</v>
      </c>
      <c r="V910" s="30">
        <f t="shared" ca="1" si="123"/>
        <v>1.4717273431448498E-2</v>
      </c>
      <c r="W910" s="30">
        <f t="shared" ca="1" si="126"/>
        <v>4.2859990697055074E-3</v>
      </c>
      <c r="X910" s="30">
        <f t="shared" ca="1" si="124"/>
        <v>-1.7408123791102487E-2</v>
      </c>
      <c r="Y910" s="31">
        <f t="shared" ca="1" si="125"/>
        <v>2.8118007301848966E-2</v>
      </c>
    </row>
    <row r="911" spans="2:25" x14ac:dyDescent="0.45">
      <c r="B911" vm="7276">
        <f ca="1"/>
        <v>45488</v>
      </c>
      <c r="C911" vm="7277">
        <f ca="1"/>
        <v>453.96</v>
      </c>
      <c r="D911" vm="7276">
        <f ca="1"/>
        <v>45488</v>
      </c>
      <c r="E911" vm="3501">
        <f ca="1"/>
        <v>18.579999999999998</v>
      </c>
      <c r="F911" vm="7276">
        <f ca="1"/>
        <v>45488</v>
      </c>
      <c r="G911" vm="7278">
        <f ca="1"/>
        <v>268.45</v>
      </c>
      <c r="H911" vm="7276">
        <f ca="1"/>
        <v>45488</v>
      </c>
      <c r="I911" vm="7279">
        <f ca="1"/>
        <v>131.01</v>
      </c>
      <c r="J911" vm="7276">
        <f ca="1"/>
        <v>45488</v>
      </c>
      <c r="K911" vm="7280">
        <f ca="1"/>
        <v>38.56</v>
      </c>
      <c r="L911" vm="7276">
        <f ca="1"/>
        <v>45488</v>
      </c>
      <c r="M911" vm="7281">
        <f ca="1"/>
        <v>302.14999999999998</v>
      </c>
      <c r="N911" vm="7276">
        <f ca="1"/>
        <v>45488</v>
      </c>
      <c r="O911" vm="7282">
        <f ca="1"/>
        <v>41.24</v>
      </c>
      <c r="P911" vm="7276">
        <f ca="1"/>
        <v>45488</v>
      </c>
      <c r="Q911" vm="7283">
        <f ca="1"/>
        <v>161.12799999999999</v>
      </c>
      <c r="R911" s="29">
        <f t="shared" ca="1" si="119"/>
        <v>9.0397971557704365E-4</v>
      </c>
      <c r="S911" s="30">
        <f t="shared" ca="1" si="120"/>
        <v>-1.222753854332804E-2</v>
      </c>
      <c r="T911" s="30">
        <f t="shared" ca="1" si="121"/>
        <v>1.0197937833972978E-2</v>
      </c>
      <c r="U911" s="30">
        <f t="shared" ca="1" si="122"/>
        <v>-9.2263480299478104E-3</v>
      </c>
      <c r="V911" s="30">
        <f t="shared" ca="1" si="123"/>
        <v>-1.8829516539440073E-2</v>
      </c>
      <c r="W911" s="30">
        <f t="shared" ca="1" si="126"/>
        <v>-3.9699606312238909E-4</v>
      </c>
      <c r="X911" s="30">
        <f t="shared" ca="1" si="124"/>
        <v>1.476377952755909E-2</v>
      </c>
      <c r="Y911" s="31">
        <f t="shared" ca="1" si="125"/>
        <v>0.15358400870586214</v>
      </c>
    </row>
    <row r="912" spans="2:25" x14ac:dyDescent="0.45">
      <c r="B912" vm="7284">
        <f ca="1"/>
        <v>45489</v>
      </c>
      <c r="C912" vm="7285">
        <f ca="1"/>
        <v>449.52</v>
      </c>
      <c r="D912" vm="7284">
        <f ca="1"/>
        <v>45489</v>
      </c>
      <c r="E912" vm="69">
        <f ca="1"/>
        <v>18.850000000000001</v>
      </c>
      <c r="F912" vm="7284">
        <f ca="1"/>
        <v>45489</v>
      </c>
      <c r="G912" vm="7286">
        <f ca="1"/>
        <v>269.25</v>
      </c>
      <c r="H912" vm="7284">
        <f ca="1"/>
        <v>45489</v>
      </c>
      <c r="I912" vm="7287">
        <f ca="1"/>
        <v>136.06</v>
      </c>
      <c r="J912" vm="7284">
        <f ca="1"/>
        <v>45489</v>
      </c>
      <c r="K912" vm="2793">
        <f ca="1"/>
        <v>38.200000000000003</v>
      </c>
      <c r="L912" vm="7284">
        <f ca="1"/>
        <v>45489</v>
      </c>
      <c r="M912" vm="7288">
        <f ca="1"/>
        <v>298.5</v>
      </c>
      <c r="N912" vm="7284">
        <f ca="1"/>
        <v>45489</v>
      </c>
      <c r="O912" vm="7289">
        <f ca="1"/>
        <v>41.64</v>
      </c>
      <c r="P912" vm="7284">
        <f ca="1"/>
        <v>45489</v>
      </c>
      <c r="Q912" vm="7290">
        <f ca="1"/>
        <v>166.43</v>
      </c>
      <c r="R912" s="29">
        <f t="shared" ca="1" si="119"/>
        <v>-9.7805974094633836E-3</v>
      </c>
      <c r="S912" s="30">
        <f t="shared" ca="1" si="120"/>
        <v>1.4531754574811795E-2</v>
      </c>
      <c r="T912" s="30">
        <f t="shared" ca="1" si="121"/>
        <v>2.9800707766809886E-3</v>
      </c>
      <c r="U912" s="30">
        <f t="shared" ca="1" si="122"/>
        <v>3.8546675826272893E-2</v>
      </c>
      <c r="V912" s="30">
        <f t="shared" ca="1" si="123"/>
        <v>-9.3360995850622248E-3</v>
      </c>
      <c r="W912" s="30">
        <f t="shared" ca="1" si="126"/>
        <v>-1.2080092669203964E-2</v>
      </c>
      <c r="X912" s="30">
        <f t="shared" ca="1" si="124"/>
        <v>9.6993210475266375E-3</v>
      </c>
      <c r="Y912" s="31">
        <f t="shared" ca="1" si="125"/>
        <v>3.2905516111414658E-2</v>
      </c>
    </row>
    <row r="913" spans="2:25" x14ac:dyDescent="0.45">
      <c r="B913" vm="7291">
        <f ca="1"/>
        <v>45490</v>
      </c>
      <c r="C913" vm="7292">
        <f ca="1"/>
        <v>443.52</v>
      </c>
      <c r="D913" vm="7291">
        <f ca="1"/>
        <v>45490</v>
      </c>
      <c r="E913" vm="4439">
        <f ca="1"/>
        <v>19.16</v>
      </c>
      <c r="F913" vm="7291">
        <f ca="1"/>
        <v>45490</v>
      </c>
      <c r="G913" vm="7293">
        <f ca="1"/>
        <v>272.7</v>
      </c>
      <c r="H913" vm="7291">
        <f ca="1"/>
        <v>45490</v>
      </c>
      <c r="I913" vm="811">
        <f ca="1"/>
        <v>133.5</v>
      </c>
      <c r="J913" vm="7291">
        <f ca="1"/>
        <v>45490</v>
      </c>
      <c r="K913" vm="7294">
        <f ca="1"/>
        <v>38.14</v>
      </c>
      <c r="L913" vm="7291">
        <f ca="1"/>
        <v>45490</v>
      </c>
      <c r="M913" vm="7295">
        <f ca="1"/>
        <v>294.74</v>
      </c>
      <c r="N913" vm="7291">
        <f ca="1"/>
        <v>45490</v>
      </c>
      <c r="O913" vm="7296">
        <f ca="1"/>
        <v>43</v>
      </c>
      <c r="P913" vm="7291">
        <f ca="1"/>
        <v>45490</v>
      </c>
      <c r="Q913" vm="7297">
        <f ca="1"/>
        <v>159</v>
      </c>
      <c r="R913" s="29">
        <f t="shared" ca="1" si="119"/>
        <v>-1.3347570742124934E-2</v>
      </c>
      <c r="S913" s="30">
        <f t="shared" ca="1" si="120"/>
        <v>1.6445623342174996E-2</v>
      </c>
      <c r="T913" s="30">
        <f t="shared" ca="1" si="121"/>
        <v>1.2813370473537563E-2</v>
      </c>
      <c r="U913" s="30">
        <f t="shared" ca="1" si="122"/>
        <v>-1.8815228575628416E-2</v>
      </c>
      <c r="V913" s="30">
        <f t="shared" ca="1" si="123"/>
        <v>-1.5706806282723108E-3</v>
      </c>
      <c r="W913" s="30">
        <f t="shared" ca="1" si="126"/>
        <v>-1.2596314907872667E-2</v>
      </c>
      <c r="X913" s="30">
        <f t="shared" ca="1" si="124"/>
        <v>3.2660902977905845E-2</v>
      </c>
      <c r="Y913" s="31">
        <f t="shared" ca="1" si="125"/>
        <v>-4.4643393618938931E-2</v>
      </c>
    </row>
    <row r="914" spans="2:25" x14ac:dyDescent="0.45">
      <c r="B914" vm="7298">
        <f ca="1"/>
        <v>45491</v>
      </c>
      <c r="C914" vm="7299">
        <f ca="1"/>
        <v>440.37</v>
      </c>
      <c r="D914" vm="7298">
        <f ca="1"/>
        <v>45491</v>
      </c>
      <c r="E914" vm="4554">
        <f ca="1"/>
        <v>19.149999999999999</v>
      </c>
      <c r="F914" vm="7298">
        <f ca="1"/>
        <v>45491</v>
      </c>
      <c r="G914" vm="7300">
        <f ca="1"/>
        <v>269.14999999999998</v>
      </c>
      <c r="H914" vm="7298">
        <f ca="1"/>
        <v>45491</v>
      </c>
      <c r="I914" vm="787">
        <f ca="1"/>
        <v>131.97</v>
      </c>
      <c r="J914" vm="7298">
        <f ca="1"/>
        <v>45491</v>
      </c>
      <c r="K914" vm="7301">
        <f ca="1"/>
        <v>37.840000000000003</v>
      </c>
      <c r="L914" vm="7298">
        <f ca="1"/>
        <v>45491</v>
      </c>
      <c r="M914" vm="7302">
        <f ca="1"/>
        <v>290.16000000000003</v>
      </c>
      <c r="N914" vm="7298">
        <f ca="1"/>
        <v>45491</v>
      </c>
      <c r="O914" vm="7303">
        <f ca="1"/>
        <v>44.24</v>
      </c>
      <c r="P914" vm="7298">
        <f ca="1"/>
        <v>45491</v>
      </c>
      <c r="Q914" vm="7304">
        <f ca="1"/>
        <v>155.51599999999999</v>
      </c>
      <c r="R914" s="29">
        <f t="shared" ca="1" si="119"/>
        <v>-7.1022727272726767E-3</v>
      </c>
      <c r="S914" s="30">
        <f t="shared" ca="1" si="120"/>
        <v>-5.219206680585367E-4</v>
      </c>
      <c r="T914" s="30">
        <f t="shared" ca="1" si="121"/>
        <v>-1.3017968463513061E-2</v>
      </c>
      <c r="U914" s="30">
        <f t="shared" ca="1" si="122"/>
        <v>-1.1460674157303379E-2</v>
      </c>
      <c r="V914" s="30">
        <f t="shared" ca="1" si="123"/>
        <v>-7.8657577346616971E-3</v>
      </c>
      <c r="W914" s="30">
        <f t="shared" ca="1" si="126"/>
        <v>-1.5539119223722548E-2</v>
      </c>
      <c r="X914" s="30">
        <f t="shared" ca="1" si="124"/>
        <v>2.8837209302325629E-2</v>
      </c>
      <c r="Y914" s="31">
        <f t="shared" ca="1" si="125"/>
        <v>-2.1911949685534646E-2</v>
      </c>
    </row>
    <row r="915" spans="2:25" x14ac:dyDescent="0.45">
      <c r="B915" vm="7305">
        <f ca="1"/>
        <v>45492</v>
      </c>
      <c r="C915" vm="7306">
        <f ca="1"/>
        <v>437.11</v>
      </c>
      <c r="D915" vm="7305">
        <f ca="1"/>
        <v>45492</v>
      </c>
      <c r="E915" vm="3008">
        <f ca="1"/>
        <v>19.12</v>
      </c>
      <c r="F915" vm="7305">
        <f ca="1"/>
        <v>45492</v>
      </c>
      <c r="G915" vm="7307">
        <f ca="1"/>
        <v>265.45999999999998</v>
      </c>
      <c r="H915" vm="7305">
        <f ca="1"/>
        <v>45492</v>
      </c>
      <c r="I915" vm="7308">
        <f ca="1"/>
        <v>131.78</v>
      </c>
      <c r="J915" vm="7305">
        <f ca="1"/>
        <v>45492</v>
      </c>
      <c r="K915" vm="7257">
        <f ca="1"/>
        <v>38.18</v>
      </c>
      <c r="L915" vm="7305">
        <f ca="1"/>
        <v>45492</v>
      </c>
      <c r="M915" vm="7309">
        <f ca="1"/>
        <v>295.08999999999997</v>
      </c>
      <c r="N915" vm="7305">
        <f ca="1"/>
        <v>45492</v>
      </c>
      <c r="O915" vm="7059">
        <f ca="1"/>
        <v>46.12</v>
      </c>
      <c r="P915" vm="7305">
        <f ca="1"/>
        <v>45492</v>
      </c>
      <c r="Q915" vm="7310">
        <f ca="1"/>
        <v>177.85</v>
      </c>
      <c r="R915" s="29">
        <f t="shared" ca="1" si="119"/>
        <v>-7.4028657719644635E-3</v>
      </c>
      <c r="S915" s="30">
        <f t="shared" ca="1" si="120"/>
        <v>-1.5665796344646258E-3</v>
      </c>
      <c r="T915" s="30">
        <f t="shared" ca="1" si="121"/>
        <v>-1.3709827233884444E-2</v>
      </c>
      <c r="U915" s="30">
        <f t="shared" ca="1" si="122"/>
        <v>-1.4397211487459098E-3</v>
      </c>
      <c r="V915" s="30">
        <f t="shared" ca="1" si="123"/>
        <v>8.9852008456658642E-3</v>
      </c>
      <c r="W915" s="30">
        <f t="shared" ca="1" si="126"/>
        <v>1.6990625861593431E-2</v>
      </c>
      <c r="X915" s="30">
        <f t="shared" ca="1" si="124"/>
        <v>4.249547920433986E-2</v>
      </c>
      <c r="Y915" s="31">
        <f t="shared" ca="1" si="125"/>
        <v>0.14361223282491836</v>
      </c>
    </row>
    <row r="916" spans="2:25" x14ac:dyDescent="0.45">
      <c r="B916" vm="7311">
        <f ca="1"/>
        <v>45495</v>
      </c>
      <c r="C916" vm="7312">
        <f ca="1"/>
        <v>442.94</v>
      </c>
      <c r="D916" vm="7311">
        <f ca="1"/>
        <v>45495</v>
      </c>
      <c r="E916" vm="7313">
        <f ca="1"/>
        <v>18.55</v>
      </c>
      <c r="F916" vm="7311">
        <f ca="1"/>
        <v>45495</v>
      </c>
      <c r="G916" vm="7314">
        <f ca="1"/>
        <v>267.70999999999998</v>
      </c>
      <c r="H916" vm="7311">
        <f ca="1"/>
        <v>45495</v>
      </c>
      <c r="I916" vm="7315">
        <f ca="1"/>
        <v>133.41999999999999</v>
      </c>
      <c r="J916" vm="7311">
        <f ca="1"/>
        <v>45495</v>
      </c>
      <c r="K916" vm="7316">
        <f ca="1"/>
        <v>38.1</v>
      </c>
      <c r="L916" vm="7311">
        <f ca="1"/>
        <v>45495</v>
      </c>
      <c r="M916" vm="7317">
        <f ca="1"/>
        <v>295.45</v>
      </c>
      <c r="N916" vm="7311">
        <f ca="1"/>
        <v>45495</v>
      </c>
      <c r="O916" vm="7204">
        <f ca="1"/>
        <v>43.68</v>
      </c>
      <c r="P916" vm="7311">
        <f ca="1"/>
        <v>45495</v>
      </c>
      <c r="Q916" vm="7318">
        <f ca="1"/>
        <v>180.00899999999999</v>
      </c>
      <c r="R916" s="29">
        <f t="shared" ca="1" si="119"/>
        <v>1.3337603806822045E-2</v>
      </c>
      <c r="S916" s="30">
        <f t="shared" ca="1" si="120"/>
        <v>-2.981171548117156E-2</v>
      </c>
      <c r="T916" s="30">
        <f t="shared" ca="1" si="121"/>
        <v>8.4758532358924134E-3</v>
      </c>
      <c r="U916" s="30">
        <f t="shared" ca="1" si="122"/>
        <v>1.244498406434957E-2</v>
      </c>
      <c r="V916" s="30">
        <f t="shared" ca="1" si="123"/>
        <v>-2.0953378732320141E-3</v>
      </c>
      <c r="W916" s="30">
        <f t="shared" ca="1" si="126"/>
        <v>1.2199667897929908E-3</v>
      </c>
      <c r="X916" s="30">
        <f t="shared" ca="1" si="124"/>
        <v>-5.2905464006938373E-2</v>
      </c>
      <c r="Y916" s="31">
        <f t="shared" ca="1" si="125"/>
        <v>1.2139443351138554E-2</v>
      </c>
    </row>
    <row r="917" spans="2:25" x14ac:dyDescent="0.45">
      <c r="B917" vm="7319">
        <f ca="1"/>
        <v>45496</v>
      </c>
      <c r="C917" vm="7320">
        <f ca="1"/>
        <v>444.85</v>
      </c>
      <c r="D917" vm="7319">
        <f ca="1"/>
        <v>45496</v>
      </c>
      <c r="E917" vm="7321">
        <f ca="1"/>
        <v>18.21</v>
      </c>
      <c r="F917" vm="7319">
        <f ca="1"/>
        <v>45496</v>
      </c>
      <c r="G917" vm="3225">
        <f ca="1"/>
        <v>264.79000000000002</v>
      </c>
      <c r="H917" vm="7319">
        <f ca="1"/>
        <v>45496</v>
      </c>
      <c r="I917" vm="7322">
        <f ca="1"/>
        <v>130.65</v>
      </c>
      <c r="J917" vm="7319">
        <f ca="1"/>
        <v>45496</v>
      </c>
      <c r="K917" vm="7323">
        <f ca="1"/>
        <v>39.479999999999997</v>
      </c>
      <c r="L917" vm="7319">
        <f ca="1"/>
        <v>45496</v>
      </c>
      <c r="M917" vm="151">
        <f ca="1"/>
        <v>330.79</v>
      </c>
      <c r="N917" vm="7319">
        <f ca="1"/>
        <v>45496</v>
      </c>
      <c r="O917" vm="7324">
        <f ca="1"/>
        <v>43.32</v>
      </c>
      <c r="P917" vm="7319">
        <f ca="1"/>
        <v>45496</v>
      </c>
      <c r="Q917" vm="7325">
        <f ca="1"/>
        <v>172.17699999999999</v>
      </c>
      <c r="R917" s="29">
        <f t="shared" ca="1" si="119"/>
        <v>4.3120964464713621E-3</v>
      </c>
      <c r="S917" s="30">
        <f t="shared" ca="1" si="120"/>
        <v>-1.8328840970350396E-2</v>
      </c>
      <c r="T917" s="30">
        <f t="shared" ca="1" si="121"/>
        <v>-1.0907325090582941E-2</v>
      </c>
      <c r="U917" s="30">
        <f t="shared" ca="1" si="122"/>
        <v>-2.0761505021735738E-2</v>
      </c>
      <c r="V917" s="30">
        <f t="shared" ca="1" si="123"/>
        <v>3.6220472440944763E-2</v>
      </c>
      <c r="W917" s="30">
        <f t="shared" ca="1" si="126"/>
        <v>0.11961414790996795</v>
      </c>
      <c r="X917" s="30">
        <f t="shared" ca="1" si="124"/>
        <v>-8.2417582417582281E-3</v>
      </c>
      <c r="Y917" s="31">
        <f t="shared" ca="1" si="125"/>
        <v>-4.3508935664327862E-2</v>
      </c>
    </row>
    <row r="918" spans="2:25" x14ac:dyDescent="0.45">
      <c r="B918" vm="7326">
        <f ca="1"/>
        <v>45497</v>
      </c>
      <c r="C918" vm="7327">
        <f ca="1"/>
        <v>428.9</v>
      </c>
      <c r="D918" vm="7326">
        <f ca="1"/>
        <v>45497</v>
      </c>
      <c r="E918" vm="4439">
        <f ca="1"/>
        <v>19.16</v>
      </c>
      <c r="F918" vm="7326">
        <f ca="1"/>
        <v>45497</v>
      </c>
      <c r="G918" vm="7328">
        <f ca="1"/>
        <v>254.17</v>
      </c>
      <c r="H918" vm="7326">
        <f ca="1"/>
        <v>45497</v>
      </c>
      <c r="I918" vm="7329">
        <f ca="1"/>
        <v>134.16</v>
      </c>
      <c r="J918" vm="7326">
        <f ca="1"/>
        <v>45497</v>
      </c>
      <c r="K918" vm="7330">
        <f ca="1"/>
        <v>39.590000000000003</v>
      </c>
      <c r="L918" vm="7326">
        <f ca="1"/>
        <v>45497</v>
      </c>
      <c r="M918" vm="7331">
        <f ca="1"/>
        <v>336.52</v>
      </c>
      <c r="N918" vm="7326">
        <f ca="1"/>
        <v>45497</v>
      </c>
      <c r="O918" vm="7332">
        <f ca="1"/>
        <v>49.19</v>
      </c>
      <c r="P918" vm="7326">
        <f ca="1"/>
        <v>45497</v>
      </c>
      <c r="Q918" vm="7333">
        <f ca="1"/>
        <v>167.26900000000001</v>
      </c>
      <c r="R918" s="29">
        <f t="shared" ca="1" si="119"/>
        <v>-3.5854782510958853E-2</v>
      </c>
      <c r="S918" s="30">
        <f t="shared" ca="1" si="120"/>
        <v>5.2169137836353609E-2</v>
      </c>
      <c r="T918" s="30">
        <f t="shared" ca="1" si="121"/>
        <v>-4.01072548056952E-2</v>
      </c>
      <c r="U918" s="30">
        <f t="shared" ca="1" si="122"/>
        <v>2.6865671641790975E-2</v>
      </c>
      <c r="V918" s="30">
        <f t="shared" ca="1" si="123"/>
        <v>2.7862208713274202E-3</v>
      </c>
      <c r="W918" s="30">
        <f t="shared" ca="1" si="126"/>
        <v>1.7322168142930441E-2</v>
      </c>
      <c r="X918" s="30">
        <f t="shared" ca="1" si="124"/>
        <v>0.1355032317636195</v>
      </c>
      <c r="Y918" s="31">
        <f t="shared" ca="1" si="125"/>
        <v>-2.8505549521713046E-2</v>
      </c>
    </row>
    <row r="919" spans="2:25" x14ac:dyDescent="0.45">
      <c r="B919" vm="7334">
        <f ca="1"/>
        <v>45498</v>
      </c>
      <c r="C919" vm="2753">
        <f ca="1"/>
        <v>418.4</v>
      </c>
      <c r="D919" vm="7334">
        <f ca="1"/>
        <v>45498</v>
      </c>
      <c r="E919" vm="4176">
        <f ca="1"/>
        <v>19.190000000000001</v>
      </c>
      <c r="F919" vm="7334">
        <f ca="1"/>
        <v>45498</v>
      </c>
      <c r="G919" vm="3285">
        <f ca="1"/>
        <v>253.74</v>
      </c>
      <c r="H919" vm="7334">
        <f ca="1"/>
        <v>45498</v>
      </c>
      <c r="I919" vm="7335">
        <f ca="1"/>
        <v>134.97999999999999</v>
      </c>
      <c r="J919" vm="7334">
        <f ca="1"/>
        <v>45498</v>
      </c>
      <c r="K919" vm="7336">
        <f ca="1"/>
        <v>40.630000000000003</v>
      </c>
      <c r="L919" vm="7334">
        <f ca="1"/>
        <v>45498</v>
      </c>
      <c r="M919" vm="7337">
        <f ca="1"/>
        <v>328.95</v>
      </c>
      <c r="N919" vm="7334">
        <f ca="1"/>
        <v>45498</v>
      </c>
      <c r="O919" vm="6184">
        <f ca="1"/>
        <v>49.59</v>
      </c>
      <c r="P919" vm="7334">
        <f ca="1"/>
        <v>45498</v>
      </c>
      <c r="Q919" vm="7338">
        <f ca="1"/>
        <v>160.64699999999999</v>
      </c>
      <c r="R919" s="29">
        <f t="shared" ca="1" si="119"/>
        <v>-2.4481231056190256E-2</v>
      </c>
      <c r="S919" s="30">
        <f t="shared" ca="1" si="120"/>
        <v>1.5657620041754246E-3</v>
      </c>
      <c r="T919" s="30">
        <f t="shared" ca="1" si="121"/>
        <v>-1.6917810913954377E-3</v>
      </c>
      <c r="U919" s="30">
        <f t="shared" ca="1" si="122"/>
        <v>6.1121049493142012E-3</v>
      </c>
      <c r="V919" s="30">
        <f t="shared" ca="1" si="123"/>
        <v>2.6269259914119703E-2</v>
      </c>
      <c r="W919" s="30">
        <f t="shared" ca="1" si="126"/>
        <v>-2.249494829430641E-2</v>
      </c>
      <c r="X919" s="30">
        <f t="shared" ca="1" si="124"/>
        <v>8.131734092295298E-3</v>
      </c>
      <c r="Y919" s="31">
        <f t="shared" ca="1" si="125"/>
        <v>-3.9588925622799288E-2</v>
      </c>
    </row>
    <row r="920" spans="2:25" x14ac:dyDescent="0.45">
      <c r="B920" vm="7339">
        <f ca="1"/>
        <v>45499</v>
      </c>
      <c r="C920" vm="7340">
        <f ca="1"/>
        <v>425.27</v>
      </c>
      <c r="D920" vm="7339">
        <f ca="1"/>
        <v>45499</v>
      </c>
      <c r="E920" vm="3306">
        <f ca="1"/>
        <v>19.010000000000002</v>
      </c>
      <c r="F920" vm="7339">
        <f ca="1"/>
        <v>45499</v>
      </c>
      <c r="G920" vm="7341">
        <f ca="1"/>
        <v>259.45999999999998</v>
      </c>
      <c r="H920" vm="7339">
        <f ca="1"/>
        <v>45499</v>
      </c>
      <c r="I920" vm="7342">
        <f ca="1"/>
        <v>137.32</v>
      </c>
      <c r="J920" vm="7339">
        <f ca="1"/>
        <v>45499</v>
      </c>
      <c r="K920" vm="7343">
        <f ca="1"/>
        <v>40.75</v>
      </c>
      <c r="L920" vm="7339">
        <f ca="1"/>
        <v>45499</v>
      </c>
      <c r="M920" vm="5530">
        <f ca="1"/>
        <v>321.88</v>
      </c>
      <c r="N920" vm="7339">
        <f ca="1"/>
        <v>45499</v>
      </c>
      <c r="O920" vm="7344">
        <f ca="1"/>
        <v>46.78</v>
      </c>
      <c r="P920" vm="7339">
        <f ca="1"/>
        <v>45499</v>
      </c>
      <c r="Q920" vm="7345">
        <f ca="1"/>
        <v>175.27099999999999</v>
      </c>
      <c r="R920" s="29">
        <f t="shared" ca="1" si="119"/>
        <v>1.6419694072657757E-2</v>
      </c>
      <c r="S920" s="30">
        <f t="shared" ca="1" si="120"/>
        <v>-9.3798853569567325E-3</v>
      </c>
      <c r="T920" s="30">
        <f t="shared" ca="1" si="121"/>
        <v>2.2542760305824742E-2</v>
      </c>
      <c r="U920" s="30">
        <f t="shared" ca="1" si="122"/>
        <v>1.7335901615054109E-2</v>
      </c>
      <c r="V920" s="30">
        <f t="shared" ca="1" si="123"/>
        <v>2.9534826482893782E-3</v>
      </c>
      <c r="W920" s="30">
        <f t="shared" ca="1" si="126"/>
        <v>-2.1492628058975508E-2</v>
      </c>
      <c r="X920" s="30">
        <f t="shared" ca="1" si="124"/>
        <v>-5.6664650131074856E-2</v>
      </c>
      <c r="Y920" s="31">
        <f t="shared" ca="1" si="125"/>
        <v>9.1031889795638865E-2</v>
      </c>
    </row>
    <row r="921" spans="2:25" x14ac:dyDescent="0.45">
      <c r="B921" vm="7346">
        <f ca="1"/>
        <v>45502</v>
      </c>
      <c r="C921" vm="7347">
        <f ca="1"/>
        <v>426.73</v>
      </c>
      <c r="D921" vm="7346">
        <f ca="1"/>
        <v>45502</v>
      </c>
      <c r="E921" vm="4242">
        <f ca="1"/>
        <v>18.899999999999999</v>
      </c>
      <c r="F921" vm="7346">
        <f ca="1"/>
        <v>45502</v>
      </c>
      <c r="G921" vm="7348">
        <f ca="1"/>
        <v>261.60000000000002</v>
      </c>
      <c r="H921" vm="7346">
        <f ca="1"/>
        <v>45502</v>
      </c>
      <c r="I921" vm="7349">
        <f ca="1"/>
        <v>137.38</v>
      </c>
      <c r="J921" vm="7346">
        <f ca="1"/>
        <v>45502</v>
      </c>
      <c r="K921" vm="7350">
        <f ca="1"/>
        <v>40.92</v>
      </c>
      <c r="L921" vm="7346">
        <f ca="1"/>
        <v>45502</v>
      </c>
      <c r="M921" vm="7351">
        <f ca="1"/>
        <v>323.74</v>
      </c>
      <c r="N921" vm="7346">
        <f ca="1"/>
        <v>45502</v>
      </c>
      <c r="O921" vm="7352">
        <f ca="1"/>
        <v>45.91</v>
      </c>
      <c r="P921" vm="7346">
        <f ca="1"/>
        <v>45502</v>
      </c>
      <c r="Q921" vm="7353">
        <f ca="1"/>
        <v>168.48500000000001</v>
      </c>
      <c r="R921" s="29">
        <f t="shared" ca="1" si="119"/>
        <v>3.4331130811015038E-3</v>
      </c>
      <c r="S921" s="30">
        <f t="shared" ca="1" si="120"/>
        <v>-5.7864281956866376E-3</v>
      </c>
      <c r="T921" s="30">
        <f t="shared" ca="1" si="121"/>
        <v>8.2478994835429101E-3</v>
      </c>
      <c r="U921" s="30">
        <f t="shared" ca="1" si="122"/>
        <v>4.3693562481796007E-4</v>
      </c>
      <c r="V921" s="30">
        <f t="shared" ca="1" si="123"/>
        <v>4.1717791411043361E-3</v>
      </c>
      <c r="W921" s="30">
        <f t="shared" ca="1" si="126"/>
        <v>5.7785510127998435E-3</v>
      </c>
      <c r="X921" s="30">
        <f t="shared" ca="1" si="124"/>
        <v>-1.859769132107748E-2</v>
      </c>
      <c r="Y921" s="31">
        <f t="shared" ca="1" si="125"/>
        <v>-3.8717186528290322E-2</v>
      </c>
    </row>
    <row r="922" spans="2:25" x14ac:dyDescent="0.45">
      <c r="B922" vm="7354">
        <f ca="1"/>
        <v>45503</v>
      </c>
      <c r="C922" vm="7355">
        <f ca="1"/>
        <v>422.92</v>
      </c>
      <c r="D922" vm="7354">
        <f ca="1"/>
        <v>45503</v>
      </c>
      <c r="E922" vm="2452">
        <f ca="1"/>
        <v>18.98</v>
      </c>
      <c r="F922" vm="7354">
        <f ca="1"/>
        <v>45503</v>
      </c>
      <c r="G922" vm="4537">
        <f ca="1"/>
        <v>263.10000000000002</v>
      </c>
      <c r="H922" vm="7354">
        <f ca="1"/>
        <v>45503</v>
      </c>
      <c r="I922" vm="7356">
        <f ca="1"/>
        <v>139.49</v>
      </c>
      <c r="J922" vm="7354">
        <f ca="1"/>
        <v>45503</v>
      </c>
      <c r="K922" vm="7357">
        <f ca="1"/>
        <v>40.229999999999997</v>
      </c>
      <c r="L922" vm="7354">
        <f ca="1"/>
        <v>45503</v>
      </c>
      <c r="M922" vm="7358">
        <f ca="1"/>
        <v>330.35</v>
      </c>
      <c r="N922" vm="7354">
        <f ca="1"/>
        <v>45503</v>
      </c>
      <c r="O922" vm="7359">
        <f ca="1"/>
        <v>47.37</v>
      </c>
      <c r="P922" vm="7354">
        <f ca="1"/>
        <v>45503</v>
      </c>
      <c r="Q922" vm="7360">
        <f ca="1"/>
        <v>160.40700000000001</v>
      </c>
      <c r="R922" s="29">
        <f t="shared" ca="1" si="119"/>
        <v>-8.9283621962365015E-3</v>
      </c>
      <c r="S922" s="30">
        <f t="shared" ca="1" si="120"/>
        <v>4.2328042328043311E-3</v>
      </c>
      <c r="T922" s="30">
        <f t="shared" ca="1" si="121"/>
        <v>5.7339449541284398E-3</v>
      </c>
      <c r="U922" s="30">
        <f t="shared" ca="1" si="122"/>
        <v>1.535885864026797E-2</v>
      </c>
      <c r="V922" s="30">
        <f t="shared" ca="1" si="123"/>
        <v>-1.6862170087976656E-2</v>
      </c>
      <c r="W922" s="30">
        <f t="shared" ca="1" si="126"/>
        <v>2.041761907703717E-2</v>
      </c>
      <c r="X922" s="30">
        <f t="shared" ca="1" si="124"/>
        <v>3.1801350468307579E-2</v>
      </c>
      <c r="Y922" s="31">
        <f t="shared" ca="1" si="125"/>
        <v>-4.7944920912840916E-2</v>
      </c>
    </row>
    <row r="923" spans="2:25" x14ac:dyDescent="0.45">
      <c r="B923" vm="7361">
        <f ca="1"/>
        <v>45504</v>
      </c>
      <c r="C923" vm="7362">
        <f ca="1"/>
        <v>418.35</v>
      </c>
      <c r="D923" vm="7361">
        <f ca="1"/>
        <v>45504</v>
      </c>
      <c r="E923" vm="2435">
        <f ca="1"/>
        <v>19.25</v>
      </c>
      <c r="F923" vm="7361">
        <f ca="1"/>
        <v>45504</v>
      </c>
      <c r="G923" vm="7363">
        <f ca="1"/>
        <v>265.67</v>
      </c>
      <c r="H923" vm="7361">
        <f ca="1"/>
        <v>45504</v>
      </c>
      <c r="I923" vm="7364">
        <f ca="1"/>
        <v>141.4</v>
      </c>
      <c r="J923" vm="7361">
        <f ca="1"/>
        <v>45504</v>
      </c>
      <c r="K923" vm="7365">
        <f ca="1"/>
        <v>41.09</v>
      </c>
      <c r="L923" vm="7361">
        <f ca="1"/>
        <v>45504</v>
      </c>
      <c r="M923" vm="7366">
        <f ca="1"/>
        <v>343.94</v>
      </c>
      <c r="N923" vm="7361">
        <f ca="1"/>
        <v>45504</v>
      </c>
      <c r="O923" vm="7367">
        <f ca="1"/>
        <v>46.25</v>
      </c>
      <c r="P923" vm="7361">
        <f ca="1"/>
        <v>45504</v>
      </c>
      <c r="Q923" vm="7368">
        <f ca="1"/>
        <v>161.44399999999999</v>
      </c>
      <c r="R923" s="29">
        <f t="shared" ca="1" si="119"/>
        <v>-1.0805826160976055E-2</v>
      </c>
      <c r="S923" s="30">
        <f t="shared" ca="1" si="120"/>
        <v>1.4225500526870367E-2</v>
      </c>
      <c r="T923" s="30">
        <f t="shared" ca="1" si="121"/>
        <v>9.7681489927783846E-3</v>
      </c>
      <c r="U923" s="30">
        <f t="shared" ca="1" si="122"/>
        <v>1.3692737830668839E-2</v>
      </c>
      <c r="V923" s="30">
        <f t="shared" ca="1" si="123"/>
        <v>2.1377081779766507E-2</v>
      </c>
      <c r="W923" s="30">
        <f t="shared" ca="1" si="126"/>
        <v>4.1138186771605793E-2</v>
      </c>
      <c r="X923" s="30">
        <f t="shared" ca="1" si="124"/>
        <v>-2.3643656322566972E-2</v>
      </c>
      <c r="Y923" s="31">
        <f t="shared" ca="1" si="125"/>
        <v>6.4648051518947282E-3</v>
      </c>
    </row>
    <row r="924" spans="2:25" x14ac:dyDescent="0.45">
      <c r="B924" vm="7369">
        <f ca="1"/>
        <v>45505</v>
      </c>
      <c r="C924" vm="7370">
        <f ca="1"/>
        <v>417.11</v>
      </c>
      <c r="D924" vm="7369">
        <f ca="1"/>
        <v>45505</v>
      </c>
      <c r="E924" vm="51">
        <f ca="1"/>
        <v>19.47</v>
      </c>
      <c r="F924" vm="7369">
        <f ca="1"/>
        <v>45505</v>
      </c>
      <c r="G924" vm="7371">
        <f ca="1"/>
        <v>265.93</v>
      </c>
      <c r="H924" vm="7369">
        <f ca="1"/>
        <v>45505</v>
      </c>
      <c r="I924" vm="6582">
        <f ca="1"/>
        <v>142.86000000000001</v>
      </c>
      <c r="J924" vm="7369">
        <f ca="1"/>
        <v>45505</v>
      </c>
      <c r="K924" vm="7372">
        <f ca="1"/>
        <v>40.659999999999997</v>
      </c>
      <c r="L924" vm="7369">
        <f ca="1"/>
        <v>45505</v>
      </c>
      <c r="M924" vm="7373">
        <f ca="1"/>
        <v>336.5</v>
      </c>
      <c r="N924" vm="7369">
        <f ca="1"/>
        <v>45505</v>
      </c>
      <c r="O924" vm="7374">
        <f ca="1"/>
        <v>50.51</v>
      </c>
      <c r="P924" vm="7369">
        <f ca="1"/>
        <v>45505</v>
      </c>
      <c r="Q924" vm="7375">
        <f ca="1"/>
        <v>151.18100000000001</v>
      </c>
      <c r="R924" s="29">
        <f t="shared" ca="1" si="119"/>
        <v>-2.9640253376359725E-3</v>
      </c>
      <c r="S924" s="30">
        <f t="shared" ca="1" si="120"/>
        <v>1.142857142857137E-2</v>
      </c>
      <c r="T924" s="30">
        <f t="shared" ca="1" si="121"/>
        <v>9.7865773327809272E-4</v>
      </c>
      <c r="U924" s="30">
        <f t="shared" ca="1" si="122"/>
        <v>1.032531824611038E-2</v>
      </c>
      <c r="V924" s="30">
        <f t="shared" ca="1" si="123"/>
        <v>-1.0464833292772129E-2</v>
      </c>
      <c r="W924" s="30">
        <f t="shared" ca="1" si="126"/>
        <v>-2.1631679944176304E-2</v>
      </c>
      <c r="X924" s="30">
        <f t="shared" ca="1" si="124"/>
        <v>9.2108108108108058E-2</v>
      </c>
      <c r="Y924" s="31">
        <f t="shared" ca="1" si="125"/>
        <v>-6.3570030474963318E-2</v>
      </c>
    </row>
    <row r="925" spans="2:25" x14ac:dyDescent="0.45">
      <c r="B925" vm="7376">
        <f ca="1"/>
        <v>45506</v>
      </c>
      <c r="C925" vm="7377">
        <f ca="1"/>
        <v>408.49</v>
      </c>
      <c r="D925" vm="7376">
        <f ca="1"/>
        <v>45506</v>
      </c>
      <c r="E925" vm="7378">
        <f ca="1"/>
        <v>19.37</v>
      </c>
      <c r="F925" vm="7376">
        <f ca="1"/>
        <v>45506</v>
      </c>
      <c r="G925" vm="7379">
        <f ca="1"/>
        <v>266.58</v>
      </c>
      <c r="H925" vm="7376">
        <f ca="1"/>
        <v>45506</v>
      </c>
      <c r="I925" vm="7380">
        <f ca="1"/>
        <v>139.04</v>
      </c>
      <c r="J925" vm="7376">
        <f ca="1"/>
        <v>45506</v>
      </c>
      <c r="K925" vm="7381">
        <f ca="1"/>
        <v>40.29</v>
      </c>
      <c r="L925" vm="7376">
        <f ca="1"/>
        <v>45506</v>
      </c>
      <c r="M925" vm="7382">
        <f ca="1"/>
        <v>330.85</v>
      </c>
      <c r="N925" vm="7376">
        <f ca="1"/>
        <v>45506</v>
      </c>
      <c r="O925" vm="7383">
        <f ca="1"/>
        <v>62.68</v>
      </c>
      <c r="P925" vm="7376">
        <f ca="1"/>
        <v>45506</v>
      </c>
      <c r="Q925" vm="7384">
        <f ca="1"/>
        <v>144.79900000000001</v>
      </c>
      <c r="R925" s="29">
        <f t="shared" ca="1" si="119"/>
        <v>-2.0666011363908811E-2</v>
      </c>
      <c r="S925" s="30">
        <f t="shared" ca="1" si="120"/>
        <v>-5.1361068310219757E-3</v>
      </c>
      <c r="T925" s="30">
        <f t="shared" ca="1" si="121"/>
        <v>2.4442522468317873E-3</v>
      </c>
      <c r="U925" s="30">
        <f t="shared" ca="1" si="122"/>
        <v>-2.6739465210695933E-2</v>
      </c>
      <c r="V925" s="30">
        <f t="shared" ca="1" si="123"/>
        <v>-9.0998524348253184E-3</v>
      </c>
      <c r="W925" s="30">
        <f t="shared" ca="1" si="126"/>
        <v>-1.6790490341753277E-2</v>
      </c>
      <c r="X925" s="30">
        <f t="shared" ca="1" si="124"/>
        <v>0.24094238764601072</v>
      </c>
      <c r="Y925" s="31">
        <f t="shared" ca="1" si="125"/>
        <v>-4.2214299415931925E-2</v>
      </c>
    </row>
    <row r="926" spans="2:25" x14ac:dyDescent="0.45">
      <c r="B926" vm="7385">
        <f ca="1"/>
        <v>45509</v>
      </c>
      <c r="C926" vm="7386">
        <f ca="1"/>
        <v>395.15</v>
      </c>
      <c r="D926" vm="7385">
        <f ca="1"/>
        <v>45509</v>
      </c>
      <c r="E926" vm="317">
        <f ca="1"/>
        <v>18.91</v>
      </c>
      <c r="F926" vm="7385">
        <f ca="1"/>
        <v>45509</v>
      </c>
      <c r="G926" vm="7387">
        <f ca="1"/>
        <v>256.44</v>
      </c>
      <c r="H926" vm="7385">
        <f ca="1"/>
        <v>45509</v>
      </c>
      <c r="I926" vm="7388">
        <f ca="1"/>
        <v>134.69999999999999</v>
      </c>
      <c r="J926" vm="7385">
        <f ca="1"/>
        <v>45509</v>
      </c>
      <c r="K926" vm="7389">
        <f ca="1"/>
        <v>38.81</v>
      </c>
      <c r="L926" vm="7385">
        <f ca="1"/>
        <v>45509</v>
      </c>
      <c r="M926" vm="7390">
        <f ca="1"/>
        <v>324.02999999999997</v>
      </c>
      <c r="N926" vm="7385">
        <f ca="1"/>
        <v>45509</v>
      </c>
      <c r="O926" vm="7391">
        <f ca="1"/>
        <v>87.26</v>
      </c>
      <c r="P926" vm="7385">
        <f ca="1"/>
        <v>45509</v>
      </c>
      <c r="Q926" vm="909">
        <f ca="1"/>
        <v>130.9</v>
      </c>
      <c r="R926" s="29">
        <f t="shared" ca="1" si="119"/>
        <v>-3.2656858185022966E-2</v>
      </c>
      <c r="S926" s="30">
        <f t="shared" ca="1" si="120"/>
        <v>-2.3748064016520434E-2</v>
      </c>
      <c r="T926" s="30">
        <f t="shared" ca="1" si="121"/>
        <v>-3.8037362142696325E-2</v>
      </c>
      <c r="U926" s="30">
        <f t="shared" ca="1" si="122"/>
        <v>-3.1214039125431556E-2</v>
      </c>
      <c r="V926" s="30">
        <f t="shared" ca="1" si="123"/>
        <v>-3.6733680814097718E-2</v>
      </c>
      <c r="W926" s="30">
        <f t="shared" ca="1" si="126"/>
        <v>-2.0613571104730392E-2</v>
      </c>
      <c r="X926" s="30">
        <f t="shared" ca="1" si="124"/>
        <v>0.39215060625398862</v>
      </c>
      <c r="Y926" s="31">
        <f t="shared" ca="1" si="125"/>
        <v>-9.5988231962927925E-2</v>
      </c>
    </row>
    <row r="927" spans="2:25" x14ac:dyDescent="0.45">
      <c r="B927" vm="7392">
        <f ca="1"/>
        <v>45510</v>
      </c>
      <c r="C927" vm="7393">
        <f ca="1"/>
        <v>399.61</v>
      </c>
      <c r="D927" vm="7392">
        <f ca="1"/>
        <v>45510</v>
      </c>
      <c r="E927" vm="4176">
        <f ca="1"/>
        <v>19.190000000000001</v>
      </c>
      <c r="F927" vm="7392">
        <f ca="1"/>
        <v>45510</v>
      </c>
      <c r="G927" vm="817">
        <f ca="1"/>
        <v>258.26</v>
      </c>
      <c r="H927" vm="7392">
        <f ca="1"/>
        <v>45510</v>
      </c>
      <c r="I927" vm="7394">
        <f ca="1"/>
        <v>136.26</v>
      </c>
      <c r="J927" vm="7392">
        <f ca="1"/>
        <v>45510</v>
      </c>
      <c r="K927" vm="7395">
        <f ca="1"/>
        <v>39.86</v>
      </c>
      <c r="L927" vm="7392">
        <f ca="1"/>
        <v>45510</v>
      </c>
      <c r="M927" vm="7396">
        <f ca="1"/>
        <v>327.3</v>
      </c>
      <c r="N927" vm="7392">
        <f ca="1"/>
        <v>45510</v>
      </c>
      <c r="O927" vm="7397">
        <f ca="1"/>
        <v>70.47</v>
      </c>
      <c r="P927" vm="7392">
        <f ca="1"/>
        <v>45510</v>
      </c>
      <c r="Q927" vm="7398">
        <f ca="1"/>
        <v>136.92099999999999</v>
      </c>
      <c r="R927" s="29">
        <f t="shared" ca="1" si="119"/>
        <v>1.1286853093761956E-2</v>
      </c>
      <c r="S927" s="30">
        <f t="shared" ca="1" si="120"/>
        <v>1.4806980433633059E-2</v>
      </c>
      <c r="T927" s="30">
        <f t="shared" ca="1" si="121"/>
        <v>7.0971767274995833E-3</v>
      </c>
      <c r="U927" s="30">
        <f t="shared" ca="1" si="122"/>
        <v>1.1581291759465496E-2</v>
      </c>
      <c r="V927" s="30">
        <f t="shared" ca="1" si="123"/>
        <v>2.7054882762174621E-2</v>
      </c>
      <c r="W927" s="30">
        <f t="shared" ca="1" si="126"/>
        <v>1.0091658179798287E-2</v>
      </c>
      <c r="X927" s="30">
        <f t="shared" ca="1" si="124"/>
        <v>-0.19241347696539085</v>
      </c>
      <c r="Y927" s="31">
        <f t="shared" ca="1" si="125"/>
        <v>4.5996944232238247E-2</v>
      </c>
    </row>
    <row r="928" spans="2:25" x14ac:dyDescent="0.45">
      <c r="B928" vm="7399">
        <f ca="1"/>
        <v>45511</v>
      </c>
      <c r="C928" vm="7400">
        <f ca="1"/>
        <v>398.43</v>
      </c>
      <c r="D928" vm="7399">
        <f ca="1"/>
        <v>45511</v>
      </c>
      <c r="E928" vm="2435">
        <f ca="1"/>
        <v>19.25</v>
      </c>
      <c r="F928" vm="7399">
        <f ca="1"/>
        <v>45511</v>
      </c>
      <c r="G928" vm="6141">
        <f ca="1"/>
        <v>256.52</v>
      </c>
      <c r="H928" vm="7399">
        <f ca="1"/>
        <v>45511</v>
      </c>
      <c r="I928" vm="7401">
        <f ca="1"/>
        <v>133.96</v>
      </c>
      <c r="J928" vm="7399">
        <f ca="1"/>
        <v>45511</v>
      </c>
      <c r="K928" vm="7402">
        <f ca="1"/>
        <v>41.03</v>
      </c>
      <c r="L928" vm="7399">
        <f ca="1"/>
        <v>45511</v>
      </c>
      <c r="M928" vm="7403">
        <f ca="1"/>
        <v>323.33999999999997</v>
      </c>
      <c r="N928" vm="7399">
        <f ca="1"/>
        <v>45511</v>
      </c>
      <c r="O928" vm="7404">
        <f ca="1"/>
        <v>68.954999999999998</v>
      </c>
      <c r="P928" vm="7399">
        <f ca="1"/>
        <v>45511</v>
      </c>
      <c r="Q928" vm="7405">
        <f ca="1"/>
        <v>124.685</v>
      </c>
      <c r="R928" s="29">
        <f t="shared" ca="1" si="119"/>
        <v>-2.9528790570806708E-3</v>
      </c>
      <c r="S928" s="30">
        <f t="shared" ca="1" si="120"/>
        <v>3.1266284523188493E-3</v>
      </c>
      <c r="T928" s="30">
        <f t="shared" ca="1" si="121"/>
        <v>-6.7373964222102109E-3</v>
      </c>
      <c r="U928" s="30">
        <f t="shared" ca="1" si="122"/>
        <v>-1.6879495082929571E-2</v>
      </c>
      <c r="V928" s="30">
        <f t="shared" ca="1" si="123"/>
        <v>2.9352734570998538E-2</v>
      </c>
      <c r="W928" s="30">
        <f t="shared" ca="1" si="126"/>
        <v>-1.2098991750687554E-2</v>
      </c>
      <c r="X928" s="30">
        <f t="shared" ca="1" si="124"/>
        <v>-2.1498510004257138E-2</v>
      </c>
      <c r="Y928" s="31">
        <f t="shared" ca="1" si="125"/>
        <v>-8.9365400486411811E-2</v>
      </c>
    </row>
    <row r="929" spans="2:25" x14ac:dyDescent="0.45">
      <c r="B929" vm="7406">
        <f ca="1"/>
        <v>45512</v>
      </c>
      <c r="C929" vm="7407">
        <f ca="1"/>
        <v>402.69</v>
      </c>
      <c r="D929" vm="7406">
        <f ca="1"/>
        <v>45512</v>
      </c>
      <c r="E929" vm="7408">
        <f ca="1"/>
        <v>19.399999999999999</v>
      </c>
      <c r="F929" vm="7406">
        <f ca="1"/>
        <v>45512</v>
      </c>
      <c r="G929" vm="7409">
        <f ca="1"/>
        <v>259.83</v>
      </c>
      <c r="H929" vm="7406">
        <f ca="1"/>
        <v>45512</v>
      </c>
      <c r="I929" vm="7410">
        <f ca="1"/>
        <v>136.76</v>
      </c>
      <c r="J929" vm="7406">
        <f ca="1"/>
        <v>45512</v>
      </c>
      <c r="K929" vm="7411">
        <f ca="1"/>
        <v>41.81</v>
      </c>
      <c r="L929" vm="7406">
        <f ca="1"/>
        <v>45512</v>
      </c>
      <c r="M929" vm="7412">
        <f ca="1"/>
        <v>338.32</v>
      </c>
      <c r="N929" vm="7406">
        <f ca="1"/>
        <v>45512</v>
      </c>
      <c r="O929" vm="7413">
        <f ca="1"/>
        <v>63.47</v>
      </c>
      <c r="P929" vm="7406">
        <f ca="1"/>
        <v>45512</v>
      </c>
      <c r="Q929" vm="7414">
        <f ca="1"/>
        <v>135.99</v>
      </c>
      <c r="R929" s="29">
        <f t="shared" ca="1" si="119"/>
        <v>1.0691965966418169E-2</v>
      </c>
      <c r="S929" s="30">
        <f t="shared" ca="1" si="120"/>
        <v>7.7922077922077185E-3</v>
      </c>
      <c r="T929" s="30">
        <f t="shared" ca="1" si="121"/>
        <v>1.2903477311710598E-2</v>
      </c>
      <c r="U929" s="30">
        <f t="shared" ca="1" si="122"/>
        <v>2.0901761719916263E-2</v>
      </c>
      <c r="V929" s="30">
        <f t="shared" ca="1" si="123"/>
        <v>1.9010480136485524E-2</v>
      </c>
      <c r="W929" s="30">
        <f t="shared" ca="1" si="126"/>
        <v>4.6328941671305808E-2</v>
      </c>
      <c r="X929" s="30">
        <f t="shared" ca="1" si="124"/>
        <v>-7.9544630556159804E-2</v>
      </c>
      <c r="Y929" s="31">
        <f t="shared" ca="1" si="125"/>
        <v>9.0668484581144543E-2</v>
      </c>
    </row>
    <row r="930" spans="2:25" x14ac:dyDescent="0.45">
      <c r="B930" vm="7415">
        <f ca="1"/>
        <v>45513</v>
      </c>
      <c r="C930" vm="7416">
        <f ca="1"/>
        <v>406.02</v>
      </c>
      <c r="D930" vm="7415">
        <f ca="1"/>
        <v>45513</v>
      </c>
      <c r="E930" vm="2931">
        <f ca="1"/>
        <v>19.489999999999998</v>
      </c>
      <c r="F930" vm="7415">
        <f ca="1"/>
        <v>45513</v>
      </c>
      <c r="G930" vm="7417">
        <f ca="1"/>
        <v>259.76</v>
      </c>
      <c r="H930" vm="7415">
        <f ca="1"/>
        <v>45513</v>
      </c>
      <c r="I930" vm="7418">
        <f ca="1"/>
        <v>136.9</v>
      </c>
      <c r="J930" vm="7415">
        <f ca="1"/>
        <v>45513</v>
      </c>
      <c r="K930" vm="7419">
        <f ca="1"/>
        <v>41.37</v>
      </c>
      <c r="L930" vm="7415">
        <f ca="1"/>
        <v>45513</v>
      </c>
      <c r="M930" vm="7420">
        <f ca="1"/>
        <v>339.9</v>
      </c>
      <c r="N930" vm="7415">
        <f ca="1"/>
        <v>45513</v>
      </c>
      <c r="O930" vm="7421">
        <f ca="1"/>
        <v>55.78</v>
      </c>
      <c r="P930" vm="7415">
        <f ca="1"/>
        <v>45513</v>
      </c>
      <c r="Q930" vm="7422">
        <f ca="1"/>
        <v>135.37</v>
      </c>
      <c r="R930" s="29">
        <f t="shared" ca="1" si="119"/>
        <v>8.2693883632570572E-3</v>
      </c>
      <c r="S930" s="30">
        <f t="shared" ca="1" si="120"/>
        <v>4.6391752577319518E-3</v>
      </c>
      <c r="T930" s="30">
        <f t="shared" ca="1" si="121"/>
        <v>-2.6940691990914514E-4</v>
      </c>
      <c r="U930" s="30">
        <f t="shared" ca="1" si="122"/>
        <v>1.0236911377596869E-3</v>
      </c>
      <c r="V930" s="30">
        <f t="shared" ca="1" si="123"/>
        <v>-1.0523798134417719E-2</v>
      </c>
      <c r="W930" s="30">
        <f t="shared" ca="1" si="126"/>
        <v>4.6701347836367469E-3</v>
      </c>
      <c r="X930" s="30">
        <f t="shared" ca="1" si="124"/>
        <v>-0.12115960296202927</v>
      </c>
      <c r="Y930" s="31">
        <f t="shared" ca="1" si="125"/>
        <v>-4.5591587616736857E-3</v>
      </c>
    </row>
    <row r="931" spans="2:25" x14ac:dyDescent="0.45">
      <c r="B931" vm="7423">
        <f ca="1"/>
        <v>45516</v>
      </c>
      <c r="C931" vm="7424">
        <f ca="1"/>
        <v>406.81</v>
      </c>
      <c r="D931" vm="7423">
        <f ca="1"/>
        <v>45516</v>
      </c>
      <c r="E931" vm="2940">
        <f ca="1"/>
        <v>19.43</v>
      </c>
      <c r="F931" vm="7423">
        <f ca="1"/>
        <v>45516</v>
      </c>
      <c r="G931" vm="1143">
        <f ca="1"/>
        <v>259.89</v>
      </c>
      <c r="H931" vm="7423">
        <f ca="1"/>
        <v>45516</v>
      </c>
      <c r="I931" vm="7425">
        <f ca="1"/>
        <v>135.6</v>
      </c>
      <c r="J931" vm="7423">
        <f ca="1"/>
        <v>45516</v>
      </c>
      <c r="K931" vm="6755">
        <f ca="1"/>
        <v>41.1</v>
      </c>
      <c r="L931" vm="7423">
        <f ca="1"/>
        <v>45516</v>
      </c>
      <c r="M931" vm="7426">
        <f ca="1"/>
        <v>340.36</v>
      </c>
      <c r="N931" vm="7423">
        <f ca="1"/>
        <v>45516</v>
      </c>
      <c r="O931" vm="6905">
        <f ca="1"/>
        <v>54.76</v>
      </c>
      <c r="P931" vm="7423">
        <f ca="1"/>
        <v>45516</v>
      </c>
      <c r="Q931" vm="7427">
        <f ca="1"/>
        <v>131.46</v>
      </c>
      <c r="R931" s="29">
        <f t="shared" ca="1" si="119"/>
        <v>1.9457169597557275E-3</v>
      </c>
      <c r="S931" s="30">
        <f t="shared" ca="1" si="120"/>
        <v>-3.0785017957926488E-3</v>
      </c>
      <c r="T931" s="30">
        <f t="shared" ca="1" si="121"/>
        <v>5.0046196489065078E-4</v>
      </c>
      <c r="U931" s="30">
        <f t="shared" ca="1" si="122"/>
        <v>-9.4959824689555238E-3</v>
      </c>
      <c r="V931" s="30">
        <f t="shared" ca="1" si="123"/>
        <v>-6.52646845540237E-3</v>
      </c>
      <c r="W931" s="30">
        <f t="shared" ca="1" si="126"/>
        <v>1.3533392174169944E-3</v>
      </c>
      <c r="X931" s="30">
        <f t="shared" ca="1" si="124"/>
        <v>-1.8286124058802495E-2</v>
      </c>
      <c r="Y931" s="31">
        <f t="shared" ca="1" si="125"/>
        <v>-2.8883799955677008E-2</v>
      </c>
    </row>
    <row r="932" spans="2:25" x14ac:dyDescent="0.45">
      <c r="B932" vm="7428">
        <f ca="1"/>
        <v>45517</v>
      </c>
      <c r="C932" vm="7429">
        <f ca="1"/>
        <v>414.01</v>
      </c>
      <c r="D932" vm="7428">
        <f ca="1"/>
        <v>45517</v>
      </c>
      <c r="E932" vm="2958">
        <f ca="1"/>
        <v>19.52</v>
      </c>
      <c r="F932" vm="7428">
        <f ca="1"/>
        <v>45517</v>
      </c>
      <c r="G932" vm="7430">
        <f ca="1"/>
        <v>260.13</v>
      </c>
      <c r="H932" vm="7428">
        <f ca="1"/>
        <v>45517</v>
      </c>
      <c r="I932" vm="7431">
        <f ca="1"/>
        <v>137.41999999999999</v>
      </c>
      <c r="J932" vm="7428">
        <f ca="1"/>
        <v>45517</v>
      </c>
      <c r="K932" vm="7432">
        <f ca="1"/>
        <v>41.89</v>
      </c>
      <c r="L932" vm="7428">
        <f ca="1"/>
        <v>45517</v>
      </c>
      <c r="M932" vm="7433">
        <f ca="1"/>
        <v>334.74</v>
      </c>
      <c r="N932" vm="7428">
        <f ca="1"/>
        <v>45517</v>
      </c>
      <c r="O932" vm="7434">
        <f ca="1"/>
        <v>50.42</v>
      </c>
      <c r="P932" vm="7428">
        <f ca="1"/>
        <v>45517</v>
      </c>
      <c r="Q932" vm="7435">
        <f ca="1"/>
        <v>135.38</v>
      </c>
      <c r="R932" s="29">
        <f t="shared" ca="1" si="119"/>
        <v>1.7698679973451953E-2</v>
      </c>
      <c r="S932" s="30">
        <f t="shared" ca="1" si="120"/>
        <v>4.6320123520329319E-3</v>
      </c>
      <c r="T932" s="30">
        <f t="shared" ca="1" si="121"/>
        <v>9.234676209165767E-4</v>
      </c>
      <c r="U932" s="30">
        <f t="shared" ca="1" si="122"/>
        <v>1.3421828908554522E-2</v>
      </c>
      <c r="V932" s="30">
        <f t="shared" ca="1" si="123"/>
        <v>1.9221411192214089E-2</v>
      </c>
      <c r="W932" s="30">
        <f t="shared" ca="1" si="126"/>
        <v>-1.6511928546245166E-2</v>
      </c>
      <c r="X932" s="30">
        <f t="shared" ca="1" si="124"/>
        <v>-7.9254930606281887E-2</v>
      </c>
      <c r="Y932" s="31">
        <f t="shared" ca="1" si="125"/>
        <v>2.9818956336528125E-2</v>
      </c>
    </row>
    <row r="933" spans="2:25" x14ac:dyDescent="0.45">
      <c r="B933" vm="7436">
        <f ca="1"/>
        <v>45518</v>
      </c>
      <c r="C933" vm="7437">
        <f ca="1"/>
        <v>416.86</v>
      </c>
      <c r="D933" vm="7436">
        <f ca="1"/>
        <v>45518</v>
      </c>
      <c r="E933" vm="2891">
        <f ca="1"/>
        <v>19.63</v>
      </c>
      <c r="F933" vm="7436">
        <f ca="1"/>
        <v>45518</v>
      </c>
      <c r="G933" vm="7438">
        <f ca="1"/>
        <v>261.14</v>
      </c>
      <c r="H933" vm="7436">
        <f ca="1"/>
        <v>45518</v>
      </c>
      <c r="I933" vm="7439">
        <f ca="1"/>
        <v>136.03</v>
      </c>
      <c r="J933" vm="7436">
        <f ca="1"/>
        <v>45518</v>
      </c>
      <c r="K933" vm="7440">
        <f ca="1"/>
        <v>42.28</v>
      </c>
      <c r="L933" vm="7436">
        <f ca="1"/>
        <v>45518</v>
      </c>
      <c r="M933" vm="7441">
        <f ca="1"/>
        <v>334.35</v>
      </c>
      <c r="N933" vm="7436">
        <f ca="1"/>
        <v>45518</v>
      </c>
      <c r="O933" vm="7442">
        <f ca="1"/>
        <v>47.14</v>
      </c>
      <c r="P933" vm="7436">
        <f ca="1"/>
        <v>45518</v>
      </c>
      <c r="Q933" vm="4911">
        <f ca="1"/>
        <v>130.37</v>
      </c>
      <c r="R933" s="29">
        <f t="shared" ca="1" si="119"/>
        <v>6.8838916934374113E-3</v>
      </c>
      <c r="S933" s="30">
        <f t="shared" ca="1" si="120"/>
        <v>5.635245901639315E-3</v>
      </c>
      <c r="T933" s="30">
        <f t="shared" ca="1" si="121"/>
        <v>3.882674047591554E-3</v>
      </c>
      <c r="U933" s="30">
        <f t="shared" ca="1" si="122"/>
        <v>-1.0114975986028136E-2</v>
      </c>
      <c r="V933" s="30">
        <f t="shared" ca="1" si="123"/>
        <v>9.3100978753879338E-3</v>
      </c>
      <c r="W933" s="30">
        <f t="shared" ca="1" si="126"/>
        <v>-1.1650833482702585E-3</v>
      </c>
      <c r="X933" s="30">
        <f t="shared" ca="1" si="124"/>
        <v>-6.5053550178500619E-2</v>
      </c>
      <c r="Y933" s="31">
        <f t="shared" ca="1" si="125"/>
        <v>-3.7006943418525569E-2</v>
      </c>
    </row>
    <row r="934" spans="2:25" x14ac:dyDescent="0.45">
      <c r="B934" vm="7443">
        <f ca="1"/>
        <v>45519</v>
      </c>
      <c r="C934" vm="7444">
        <f ca="1"/>
        <v>421.03</v>
      </c>
      <c r="D934" vm="7443">
        <f ca="1"/>
        <v>45519</v>
      </c>
      <c r="E934" vm="4138">
        <f ca="1"/>
        <v>19.09</v>
      </c>
      <c r="F934" vm="7443">
        <f ca="1"/>
        <v>45519</v>
      </c>
      <c r="G934" vm="7445">
        <f ca="1"/>
        <v>266.8</v>
      </c>
      <c r="H934" vm="7443">
        <f ca="1"/>
        <v>45519</v>
      </c>
      <c r="I934" vm="7446">
        <f ca="1"/>
        <v>139.88999999999999</v>
      </c>
      <c r="J934" vm="7443">
        <f ca="1"/>
        <v>45519</v>
      </c>
      <c r="K934" vm="7447">
        <f ca="1"/>
        <v>41.73</v>
      </c>
      <c r="L934" vm="7443">
        <f ca="1"/>
        <v>45519</v>
      </c>
      <c r="M934" vm="7448">
        <f ca="1"/>
        <v>335.59</v>
      </c>
      <c r="N934" vm="7443">
        <f ca="1"/>
        <v>45519</v>
      </c>
      <c r="O934" vm="7449">
        <f ca="1"/>
        <v>45.335000000000001</v>
      </c>
      <c r="P934" vm="7443">
        <f ca="1"/>
        <v>45519</v>
      </c>
      <c r="Q934" vm="2648">
        <f ca="1"/>
        <v>131.93</v>
      </c>
      <c r="R934" s="29">
        <f t="shared" ca="1" si="119"/>
        <v>1.000335844168296E-2</v>
      </c>
      <c r="S934" s="30">
        <f t="shared" ca="1" si="120"/>
        <v>-2.7508914926133426E-2</v>
      </c>
      <c r="T934" s="30">
        <f t="shared" ca="1" si="121"/>
        <v>2.1674197748334324E-2</v>
      </c>
      <c r="U934" s="30">
        <f t="shared" ca="1" si="122"/>
        <v>2.8376093508784717E-2</v>
      </c>
      <c r="V934" s="30">
        <f t="shared" ca="1" si="123"/>
        <v>-1.3008514664143904E-2</v>
      </c>
      <c r="W934" s="30">
        <f t="shared" ca="1" si="126"/>
        <v>3.7086885000746288E-3</v>
      </c>
      <c r="X934" s="30">
        <f t="shared" ca="1" si="124"/>
        <v>-3.82901994060246E-2</v>
      </c>
      <c r="Y934" s="31">
        <f t="shared" ca="1" si="125"/>
        <v>1.19659430850656E-2</v>
      </c>
    </row>
    <row r="935" spans="2:25" x14ac:dyDescent="0.45">
      <c r="B935" vm="7450">
        <f ca="1"/>
        <v>45520</v>
      </c>
      <c r="C935" vm="7451">
        <f ca="1"/>
        <v>418.47</v>
      </c>
      <c r="D935" vm="7450">
        <f ca="1"/>
        <v>45520</v>
      </c>
      <c r="E935" vm="7452">
        <f ca="1"/>
        <v>19.34</v>
      </c>
      <c r="F935" vm="7450">
        <f ca="1"/>
        <v>45520</v>
      </c>
      <c r="G935" vm="7453">
        <f ca="1"/>
        <v>267.38</v>
      </c>
      <c r="H935" vm="7450">
        <f ca="1"/>
        <v>45520</v>
      </c>
      <c r="I935" vm="7454">
        <f ca="1"/>
        <v>140.04</v>
      </c>
      <c r="J935" vm="7450">
        <f ca="1"/>
        <v>45520</v>
      </c>
      <c r="K935" vm="7455">
        <f ca="1"/>
        <v>41.79</v>
      </c>
      <c r="L935" vm="7450">
        <f ca="1"/>
        <v>45520</v>
      </c>
      <c r="M935" vm="7456">
        <f ca="1"/>
        <v>337.38</v>
      </c>
      <c r="N935" vm="7450">
        <f ca="1"/>
        <v>45520</v>
      </c>
      <c r="O935" vm="7457">
        <f ca="1"/>
        <v>45.23</v>
      </c>
      <c r="P935" vm="7450">
        <f ca="1"/>
        <v>45520</v>
      </c>
      <c r="Q935" vm="7458">
        <f ca="1"/>
        <v>133.04</v>
      </c>
      <c r="R935" s="29">
        <f t="shared" ca="1" si="119"/>
        <v>-6.0803268175663146E-3</v>
      </c>
      <c r="S935" s="30">
        <f t="shared" ca="1" si="120"/>
        <v>1.3095861707700367E-2</v>
      </c>
      <c r="T935" s="30">
        <f t="shared" ca="1" si="121"/>
        <v>2.173913043478201E-3</v>
      </c>
      <c r="U935" s="30">
        <f t="shared" ca="1" si="122"/>
        <v>1.0722710701265687E-3</v>
      </c>
      <c r="V935" s="30">
        <f t="shared" ca="1" si="123"/>
        <v>1.4378145219267259E-3</v>
      </c>
      <c r="W935" s="30">
        <f t="shared" ca="1" si="126"/>
        <v>5.3338895676272252E-3</v>
      </c>
      <c r="X935" s="30">
        <f t="shared" ca="1" si="124"/>
        <v>-2.3160913201721403E-3</v>
      </c>
      <c r="Y935" s="31">
        <f t="shared" ca="1" si="125"/>
        <v>8.4135526415522258E-3</v>
      </c>
    </row>
    <row r="936" spans="2:25" x14ac:dyDescent="0.45">
      <c r="B936" vm="7459">
        <f ca="1"/>
        <v>45523</v>
      </c>
      <c r="C936" vm="7460">
        <f ca="1"/>
        <v>421.53</v>
      </c>
      <c r="D936" vm="7459">
        <f ca="1"/>
        <v>45523</v>
      </c>
      <c r="E936" vm="2931">
        <f ca="1"/>
        <v>19.489999999999998</v>
      </c>
      <c r="F936" vm="7459">
        <f ca="1"/>
        <v>45523</v>
      </c>
      <c r="G936" vm="7461">
        <f ca="1"/>
        <v>266.47000000000003</v>
      </c>
      <c r="H936" vm="7459">
        <f ca="1"/>
        <v>45523</v>
      </c>
      <c r="I936" vm="7462">
        <f ca="1"/>
        <v>140.51</v>
      </c>
      <c r="J936" vm="7459">
        <f ca="1"/>
        <v>45523</v>
      </c>
      <c r="K936" vm="7272">
        <f ca="1"/>
        <v>39.299999999999997</v>
      </c>
      <c r="L936" vm="7459">
        <f ca="1"/>
        <v>45523</v>
      </c>
      <c r="M936" vm="7463">
        <f ca="1"/>
        <v>344.69</v>
      </c>
      <c r="N936" vm="7459">
        <f ca="1"/>
        <v>45523</v>
      </c>
      <c r="O936" vm="7464">
        <f ca="1"/>
        <v>44.43</v>
      </c>
      <c r="P936" vm="7459">
        <f ca="1"/>
        <v>45523</v>
      </c>
      <c r="Q936" vm="7465">
        <f ca="1"/>
        <v>135.35</v>
      </c>
      <c r="R936" s="29">
        <f t="shared" ca="1" si="119"/>
        <v>7.3123521399382158E-3</v>
      </c>
      <c r="S936" s="30">
        <f t="shared" ca="1" si="120"/>
        <v>7.7559462254394298E-3</v>
      </c>
      <c r="T936" s="30">
        <f t="shared" ca="1" si="121"/>
        <v>-3.4033959159247818E-3</v>
      </c>
      <c r="U936" s="30">
        <f t="shared" ca="1" si="122"/>
        <v>3.3561839474435798E-3</v>
      </c>
      <c r="V936" s="30">
        <f t="shared" ca="1" si="123"/>
        <v>-5.9583632447954102E-2</v>
      </c>
      <c r="W936" s="30">
        <f t="shared" ca="1" si="126"/>
        <v>2.1666963068350236E-2</v>
      </c>
      <c r="X936" s="30">
        <f t="shared" ca="1" si="124"/>
        <v>-1.7687375635640001E-2</v>
      </c>
      <c r="Y936" s="31">
        <f t="shared" ca="1" si="125"/>
        <v>1.7363199037883362E-2</v>
      </c>
    </row>
    <row r="937" spans="2:25" x14ac:dyDescent="0.45">
      <c r="B937" vm="7466">
        <f ca="1"/>
        <v>45524</v>
      </c>
      <c r="C937" vm="1809">
        <f ca="1"/>
        <v>424.8</v>
      </c>
      <c r="D937" vm="7466">
        <f ca="1"/>
        <v>45524</v>
      </c>
      <c r="E937" vm="2931">
        <f ca="1"/>
        <v>19.489999999999998</v>
      </c>
      <c r="F937" vm="7466">
        <f ca="1"/>
        <v>45524</v>
      </c>
      <c r="G937" vm="7467">
        <f ca="1"/>
        <v>268.04000000000002</v>
      </c>
      <c r="H937" vm="7466">
        <f ca="1"/>
        <v>45524</v>
      </c>
      <c r="I937" vm="7468">
        <f ca="1"/>
        <v>139.75</v>
      </c>
      <c r="J937" vm="7466">
        <f ca="1"/>
        <v>45524</v>
      </c>
      <c r="K937" vm="7469">
        <f ca="1"/>
        <v>37.950000000000003</v>
      </c>
      <c r="L937" vm="7466">
        <f ca="1"/>
        <v>45524</v>
      </c>
      <c r="M937" vm="7470">
        <f ca="1"/>
        <v>346.28</v>
      </c>
      <c r="N937" vm="7466">
        <f ca="1"/>
        <v>45524</v>
      </c>
      <c r="O937" vm="6521">
        <f ca="1"/>
        <v>46.17</v>
      </c>
      <c r="P937" vm="7466">
        <f ca="1"/>
        <v>45524</v>
      </c>
      <c r="Q937" vm="7471">
        <f ca="1"/>
        <v>133.69</v>
      </c>
      <c r="R937" s="29">
        <f t="shared" ca="1" si="119"/>
        <v>7.7574549854103831E-3</v>
      </c>
      <c r="S937" s="30">
        <f t="shared" ca="1" si="120"/>
        <v>0</v>
      </c>
      <c r="T937" s="30">
        <f t="shared" ca="1" si="121"/>
        <v>5.8918452358614213E-3</v>
      </c>
      <c r="U937" s="30">
        <f t="shared" ca="1" si="122"/>
        <v>-5.4088676962493129E-3</v>
      </c>
      <c r="V937" s="30">
        <f t="shared" ca="1" si="123"/>
        <v>-3.4351145038167795E-2</v>
      </c>
      <c r="W937" s="30">
        <f t="shared" ca="1" si="126"/>
        <v>4.612840523368752E-3</v>
      </c>
      <c r="X937" s="30">
        <f t="shared" ca="1" si="124"/>
        <v>3.9162727886563178E-2</v>
      </c>
      <c r="Y937" s="31">
        <f t="shared" ca="1" si="125"/>
        <v>-1.2264499445881025E-2</v>
      </c>
    </row>
    <row r="938" spans="2:25" x14ac:dyDescent="0.45">
      <c r="B938" vm="7472">
        <f ca="1"/>
        <v>45525</v>
      </c>
      <c r="C938" vm="7473">
        <f ca="1"/>
        <v>424.14</v>
      </c>
      <c r="D938" vm="7472">
        <f ca="1"/>
        <v>45525</v>
      </c>
      <c r="E938" vm="2478">
        <f ca="1"/>
        <v>19.54</v>
      </c>
      <c r="F938" vm="7472">
        <f ca="1"/>
        <v>45525</v>
      </c>
      <c r="G938" vm="7474">
        <f ca="1"/>
        <v>268.2</v>
      </c>
      <c r="H938" vm="7472">
        <f ca="1"/>
        <v>45525</v>
      </c>
      <c r="I938" vm="7475">
        <f ca="1"/>
        <v>139.99</v>
      </c>
      <c r="J938" vm="7472">
        <f ca="1"/>
        <v>45525</v>
      </c>
      <c r="K938" vm="7476">
        <f ca="1"/>
        <v>38.950000000000003</v>
      </c>
      <c r="L938" vm="7472">
        <f ca="1"/>
        <v>45525</v>
      </c>
      <c r="M938" vm="7477">
        <f ca="1"/>
        <v>343.69</v>
      </c>
      <c r="N938" vm="7472">
        <f ca="1"/>
        <v>45525</v>
      </c>
      <c r="O938" vm="7478">
        <f ca="1"/>
        <v>46.89</v>
      </c>
      <c r="P938" vm="7472">
        <f ca="1"/>
        <v>45525</v>
      </c>
      <c r="Q938" vm="7479">
        <f ca="1"/>
        <v>141.41999999999999</v>
      </c>
      <c r="R938" s="29">
        <f t="shared" ca="1" si="119"/>
        <v>-1.5536723163842396E-3</v>
      </c>
      <c r="S938" s="30">
        <f t="shared" ca="1" si="120"/>
        <v>2.565418163160632E-3</v>
      </c>
      <c r="T938" s="30">
        <f t="shared" ca="1" si="121"/>
        <v>5.9692583196525948E-4</v>
      </c>
      <c r="U938" s="30">
        <f t="shared" ca="1" si="122"/>
        <v>1.7173524150268988E-3</v>
      </c>
      <c r="V938" s="30">
        <f t="shared" ca="1" si="123"/>
        <v>2.6350461133069828E-2</v>
      </c>
      <c r="W938" s="30">
        <f t="shared" ca="1" si="126"/>
        <v>-7.4794963613260225E-3</v>
      </c>
      <c r="X938" s="30">
        <f t="shared" ca="1" si="124"/>
        <v>1.5594541910331359E-2</v>
      </c>
      <c r="Y938" s="31">
        <f t="shared" ca="1" si="125"/>
        <v>5.7820330615603183E-2</v>
      </c>
    </row>
    <row r="939" spans="2:25" x14ac:dyDescent="0.45">
      <c r="B939" vm="7480">
        <f ca="1"/>
        <v>45526</v>
      </c>
      <c r="C939" vm="7481">
        <f ca="1"/>
        <v>415.55</v>
      </c>
      <c r="D939" vm="7480">
        <f ca="1"/>
        <v>45526</v>
      </c>
      <c r="E939" vm="2966">
        <f ca="1"/>
        <v>19.510000000000002</v>
      </c>
      <c r="F939" vm="7480">
        <f ca="1"/>
        <v>45526</v>
      </c>
      <c r="G939" vm="6389">
        <f ca="1"/>
        <v>267.94</v>
      </c>
      <c r="H939" vm="7480">
        <f ca="1"/>
        <v>45526</v>
      </c>
      <c r="I939" vm="6809">
        <f ca="1"/>
        <v>140.22</v>
      </c>
      <c r="J939" vm="7480">
        <f ca="1"/>
        <v>45526</v>
      </c>
      <c r="K939" vm="7482">
        <f ca="1"/>
        <v>38.15</v>
      </c>
      <c r="L939" vm="7480">
        <f ca="1"/>
        <v>45526</v>
      </c>
      <c r="M939" vm="7483">
        <f ca="1"/>
        <v>342.2</v>
      </c>
      <c r="N939" vm="7480">
        <f ca="1"/>
        <v>45526</v>
      </c>
      <c r="O939" vm="7484">
        <f ca="1"/>
        <v>48.865000000000002</v>
      </c>
      <c r="P939" vm="7480">
        <f ca="1"/>
        <v>45526</v>
      </c>
      <c r="Q939" vm="7485">
        <f ca="1"/>
        <v>133.81</v>
      </c>
      <c r="R939" s="29">
        <f t="shared" ca="1" si="119"/>
        <v>-2.0252746734568717E-2</v>
      </c>
      <c r="S939" s="30">
        <f t="shared" ca="1" si="120"/>
        <v>-1.5353121801431721E-3</v>
      </c>
      <c r="T939" s="30">
        <f t="shared" ca="1" si="121"/>
        <v>-9.6942580164053292E-4</v>
      </c>
      <c r="U939" s="30">
        <f t="shared" ca="1" si="122"/>
        <v>1.6429744981783681E-3</v>
      </c>
      <c r="V939" s="30">
        <f t="shared" ca="1" si="123"/>
        <v>-2.0539152759948762E-2</v>
      </c>
      <c r="W939" s="30">
        <f t="shared" ca="1" si="126"/>
        <v>-4.3353021618319099E-3</v>
      </c>
      <c r="X939" s="30">
        <f t="shared" ca="1" si="124"/>
        <v>4.2119854979739843E-2</v>
      </c>
      <c r="Y939" s="31">
        <f t="shared" ca="1" si="125"/>
        <v>-5.3811342101541405E-2</v>
      </c>
    </row>
    <row r="940" spans="2:25" x14ac:dyDescent="0.45">
      <c r="B940" vm="7486">
        <f ca="1"/>
        <v>45527</v>
      </c>
      <c r="C940" vm="7487">
        <f ca="1"/>
        <v>416.79</v>
      </c>
      <c r="D940" vm="7486">
        <f ca="1"/>
        <v>45527</v>
      </c>
      <c r="E940" vm="7488">
        <f ca="1"/>
        <v>19.73</v>
      </c>
      <c r="F940" vm="7486">
        <f ca="1"/>
        <v>45527</v>
      </c>
      <c r="G940" vm="7489">
        <f ca="1"/>
        <v>267.44</v>
      </c>
      <c r="H940" vm="7486">
        <f ca="1"/>
        <v>45527</v>
      </c>
      <c r="I940" vm="7490">
        <f ca="1"/>
        <v>140.87</v>
      </c>
      <c r="J940" vm="7486">
        <f ca="1"/>
        <v>45527</v>
      </c>
      <c r="K940" vm="7491">
        <f ca="1"/>
        <v>37.14</v>
      </c>
      <c r="L940" vm="7486">
        <f ca="1"/>
        <v>45527</v>
      </c>
      <c r="M940" vm="7492">
        <f ca="1"/>
        <v>342.49</v>
      </c>
      <c r="N940" vm="7486">
        <f ca="1"/>
        <v>45527</v>
      </c>
      <c r="O940" vm="7493">
        <f ca="1"/>
        <v>45.94</v>
      </c>
      <c r="P940" vm="7486">
        <f ca="1"/>
        <v>45527</v>
      </c>
      <c r="Q940" vm="7494">
        <f ca="1"/>
        <v>150.01</v>
      </c>
      <c r="R940" s="29">
        <f t="shared" ca="1" si="119"/>
        <v>2.9839971122608811E-3</v>
      </c>
      <c r="S940" s="30">
        <f t="shared" ca="1" si="120"/>
        <v>1.1276268580215215E-2</v>
      </c>
      <c r="T940" s="30">
        <f t="shared" ca="1" si="121"/>
        <v>-1.8660894230051505E-3</v>
      </c>
      <c r="U940" s="30">
        <f t="shared" ca="1" si="122"/>
        <v>4.635572671516229E-3</v>
      </c>
      <c r="V940" s="30">
        <f t="shared" ca="1" si="123"/>
        <v>-2.6474442988204405E-2</v>
      </c>
      <c r="W940" s="30">
        <f t="shared" ca="1" si="126"/>
        <v>8.4745762711870389E-4</v>
      </c>
      <c r="X940" s="30">
        <f t="shared" ca="1" si="124"/>
        <v>-5.9858794638289248E-2</v>
      </c>
      <c r="Y940" s="31">
        <f t="shared" ca="1" si="125"/>
        <v>0.12106718481428883</v>
      </c>
    </row>
    <row r="941" spans="2:25" x14ac:dyDescent="0.45">
      <c r="B941" vm="7495">
        <f ca="1"/>
        <v>45530</v>
      </c>
      <c r="C941" vm="7496">
        <f ca="1"/>
        <v>413.49</v>
      </c>
      <c r="D941" vm="7495">
        <f ca="1"/>
        <v>45530</v>
      </c>
      <c r="E941" vm="3242">
        <f ca="1"/>
        <v>19.760000000000002</v>
      </c>
      <c r="F941" vm="7495">
        <f ca="1"/>
        <v>45530</v>
      </c>
      <c r="G941" vm="7497">
        <f ca="1"/>
        <v>268.20999999999998</v>
      </c>
      <c r="H941" vm="7495">
        <f ca="1"/>
        <v>45530</v>
      </c>
      <c r="I941" vm="7498">
        <f ca="1"/>
        <v>140.49</v>
      </c>
      <c r="J941" vm="7495">
        <f ca="1"/>
        <v>45530</v>
      </c>
      <c r="K941" vm="7499">
        <f ca="1"/>
        <v>37.82</v>
      </c>
      <c r="L941" vm="7495">
        <f ca="1"/>
        <v>45530</v>
      </c>
      <c r="M941" vm="2050">
        <f ca="1"/>
        <v>336.07</v>
      </c>
      <c r="N941" vm="7495">
        <f ca="1"/>
        <v>45530</v>
      </c>
      <c r="O941" vm="7500">
        <f ca="1"/>
        <v>45.9</v>
      </c>
      <c r="P941" vm="7495">
        <f ca="1"/>
        <v>45530</v>
      </c>
      <c r="Q941" vm="7501">
        <f ca="1"/>
        <v>146.9</v>
      </c>
      <c r="R941" s="29">
        <f t="shared" ca="1" si="119"/>
        <v>-7.9176563737134078E-3</v>
      </c>
      <c r="S941" s="30">
        <f t="shared" ca="1" si="120"/>
        <v>1.5205271160669608E-3</v>
      </c>
      <c r="T941" s="30">
        <f t="shared" ca="1" si="121"/>
        <v>2.8791504636553312E-3</v>
      </c>
      <c r="U941" s="30">
        <f t="shared" ca="1" si="122"/>
        <v>-2.6975225385106514E-3</v>
      </c>
      <c r="V941" s="30">
        <f t="shared" ca="1" si="123"/>
        <v>1.8309100700053843E-2</v>
      </c>
      <c r="W941" s="30">
        <f t="shared" ca="1" si="126"/>
        <v>-1.8745072848842349E-2</v>
      </c>
      <c r="X941" s="30">
        <f t="shared" ca="1" si="124"/>
        <v>-8.7070091423594148E-4</v>
      </c>
      <c r="Y941" s="31">
        <f t="shared" ca="1" si="125"/>
        <v>-2.0731951203253021E-2</v>
      </c>
    </row>
    <row r="942" spans="2:25" x14ac:dyDescent="0.45">
      <c r="B942" vm="7502">
        <f ca="1"/>
        <v>45531</v>
      </c>
      <c r="C942" vm="7503">
        <f ca="1"/>
        <v>413.84</v>
      </c>
      <c r="D942" vm="7502">
        <f ca="1"/>
        <v>45531</v>
      </c>
      <c r="E942" vm="3934">
        <f ca="1"/>
        <v>19.649999999999999</v>
      </c>
      <c r="F942" vm="7502">
        <f ca="1"/>
        <v>45531</v>
      </c>
      <c r="G942" vm="7504">
        <f ca="1"/>
        <v>270.72000000000003</v>
      </c>
      <c r="H942" vm="7502">
        <f ca="1"/>
        <v>45531</v>
      </c>
      <c r="I942" vm="7505">
        <f ca="1"/>
        <v>141.1</v>
      </c>
      <c r="J942" vm="7502">
        <f ca="1"/>
        <v>45531</v>
      </c>
      <c r="K942" vm="7506">
        <f ca="1"/>
        <v>37.979999999999997</v>
      </c>
      <c r="L942" vm="7502">
        <f ca="1"/>
        <v>45531</v>
      </c>
      <c r="M942" vm="7507">
        <f ca="1"/>
        <v>339.47</v>
      </c>
      <c r="N942" vm="7502">
        <f ca="1"/>
        <v>45531</v>
      </c>
      <c r="O942" vm="7508">
        <f ca="1"/>
        <v>44.99</v>
      </c>
      <c r="P942" vm="7502">
        <f ca="1"/>
        <v>45531</v>
      </c>
      <c r="Q942" vm="7509">
        <f ca="1"/>
        <v>140.01</v>
      </c>
      <c r="R942" s="29">
        <f t="shared" ca="1" si="119"/>
        <v>8.4645336041975832E-4</v>
      </c>
      <c r="S942" s="30">
        <f t="shared" ca="1" si="120"/>
        <v>-5.5668016194333489E-3</v>
      </c>
      <c r="T942" s="30">
        <f t="shared" ca="1" si="121"/>
        <v>9.3583386152643368E-3</v>
      </c>
      <c r="U942" s="30">
        <f t="shared" ca="1" si="122"/>
        <v>4.3419460459818149E-3</v>
      </c>
      <c r="V942" s="30">
        <f t="shared" ca="1" si="123"/>
        <v>4.2305658381807665E-3</v>
      </c>
      <c r="W942" s="30">
        <f t="shared" ca="1" si="126"/>
        <v>1.0116939923230381E-2</v>
      </c>
      <c r="X942" s="30">
        <f t="shared" ca="1" si="124"/>
        <v>-1.9825708061002104E-2</v>
      </c>
      <c r="Y942" s="31">
        <f t="shared" ca="1" si="125"/>
        <v>-4.6902654867256734E-2</v>
      </c>
    </row>
    <row r="943" spans="2:25" x14ac:dyDescent="0.45">
      <c r="B943" vm="7510">
        <f ca="1"/>
        <v>45532</v>
      </c>
      <c r="C943" vm="7511">
        <f ca="1"/>
        <v>410.6</v>
      </c>
      <c r="D943" vm="7510">
        <f ca="1"/>
        <v>45532</v>
      </c>
      <c r="E943" vm="4872">
        <f ca="1"/>
        <v>19.82</v>
      </c>
      <c r="F943" vm="7510">
        <f ca="1"/>
        <v>45532</v>
      </c>
      <c r="G943" vm="7512">
        <f ca="1"/>
        <v>269.19</v>
      </c>
      <c r="H943" vm="7510">
        <f ca="1"/>
        <v>45532</v>
      </c>
      <c r="I943" vm="7513">
        <f ca="1"/>
        <v>141.06</v>
      </c>
      <c r="J943" vm="7510">
        <f ca="1"/>
        <v>45532</v>
      </c>
      <c r="K943" vm="7514">
        <f ca="1"/>
        <v>37.39</v>
      </c>
      <c r="L943" vm="7510">
        <f ca="1"/>
        <v>45532</v>
      </c>
      <c r="M943" vm="7515">
        <f ca="1"/>
        <v>337.56</v>
      </c>
      <c r="N943" vm="7510">
        <f ca="1"/>
        <v>45532</v>
      </c>
      <c r="O943" vm="7516">
        <f ca="1"/>
        <v>47.58</v>
      </c>
      <c r="P943" vm="7510">
        <f ca="1"/>
        <v>45532</v>
      </c>
      <c r="Q943" vm="2468">
        <f ca="1"/>
        <v>132.09</v>
      </c>
      <c r="R943" s="29">
        <f t="shared" ca="1" si="119"/>
        <v>-7.829112700560489E-3</v>
      </c>
      <c r="S943" s="30">
        <f t="shared" ca="1" si="120"/>
        <v>8.6513994910942353E-3</v>
      </c>
      <c r="T943" s="30">
        <f t="shared" ca="1" si="121"/>
        <v>-5.6515957446809598E-3</v>
      </c>
      <c r="U943" s="30">
        <f t="shared" ca="1" si="122"/>
        <v>-2.8348688873133977E-4</v>
      </c>
      <c r="V943" s="30">
        <f t="shared" ca="1" si="123"/>
        <v>-1.5534491837809278E-2</v>
      </c>
      <c r="W943" s="30">
        <f t="shared" ca="1" si="126"/>
        <v>-5.6264176510443485E-3</v>
      </c>
      <c r="X943" s="30">
        <f t="shared" ca="1" si="124"/>
        <v>5.7568348521893672E-2</v>
      </c>
      <c r="Y943" s="31">
        <f t="shared" ca="1" si="125"/>
        <v>-5.656738804371108E-2</v>
      </c>
    </row>
    <row r="944" spans="2:25" x14ac:dyDescent="0.45">
      <c r="B944" vm="7517">
        <f ca="1"/>
        <v>45533</v>
      </c>
      <c r="C944" vm="7518">
        <f ca="1"/>
        <v>413.12</v>
      </c>
      <c r="D944" vm="7517">
        <f ca="1"/>
        <v>45533</v>
      </c>
      <c r="E944" vm="3242">
        <f ca="1"/>
        <v>19.760000000000002</v>
      </c>
      <c r="F944" vm="7517">
        <f ca="1"/>
        <v>45533</v>
      </c>
      <c r="G944" vm="7519">
        <f ca="1"/>
        <v>274.32</v>
      </c>
      <c r="H944" vm="7517">
        <f ca="1"/>
        <v>45533</v>
      </c>
      <c r="I944" vm="5012">
        <f ca="1"/>
        <v>142.53</v>
      </c>
      <c r="J944" vm="7517">
        <f ca="1"/>
        <v>45533</v>
      </c>
      <c r="K944" vm="7280">
        <f ca="1"/>
        <v>38.56</v>
      </c>
      <c r="L944" vm="7517">
        <f ca="1"/>
        <v>45533</v>
      </c>
      <c r="M944" vm="7520">
        <f ca="1"/>
        <v>340.73</v>
      </c>
      <c r="N944" vm="7517">
        <f ca="1"/>
        <v>45533</v>
      </c>
      <c r="O944" vm="7521">
        <f ca="1"/>
        <v>45.884999999999998</v>
      </c>
      <c r="P944" vm="7517">
        <f ca="1"/>
        <v>45533</v>
      </c>
      <c r="Q944" vm="7522">
        <f ca="1"/>
        <v>132.56</v>
      </c>
      <c r="R944" s="29">
        <f t="shared" ca="1" si="119"/>
        <v>6.1373599610325905E-3</v>
      </c>
      <c r="S944" s="30">
        <f t="shared" ca="1" si="120"/>
        <v>-3.0272452068616914E-3</v>
      </c>
      <c r="T944" s="30">
        <f t="shared" ca="1" si="121"/>
        <v>1.9057171514543614E-2</v>
      </c>
      <c r="U944" s="30">
        <f t="shared" ca="1" si="122"/>
        <v>1.0421097405359413E-2</v>
      </c>
      <c r="V944" s="30">
        <f t="shared" ca="1" si="123"/>
        <v>3.1291789248462203E-2</v>
      </c>
      <c r="W944" s="30">
        <f t="shared" ca="1" si="126"/>
        <v>9.3909230951535021E-3</v>
      </c>
      <c r="X944" s="30">
        <f t="shared" ca="1" si="124"/>
        <v>-3.5624211853720056E-2</v>
      </c>
      <c r="Y944" s="31">
        <f t="shared" ca="1" si="125"/>
        <v>3.5581800287682553E-3</v>
      </c>
    </row>
    <row r="945" spans="2:25" x14ac:dyDescent="0.45">
      <c r="B945" vm="7523">
        <f ca="1"/>
        <v>45534</v>
      </c>
      <c r="C945" vm="7524">
        <f ca="1"/>
        <v>417.14</v>
      </c>
      <c r="D945" vm="7523">
        <f ca="1"/>
        <v>45534</v>
      </c>
      <c r="E945" vm="7525">
        <f ca="1"/>
        <v>19.899999999999999</v>
      </c>
      <c r="F945" vm="7523">
        <f ca="1"/>
        <v>45534</v>
      </c>
      <c r="G945" vm="7526">
        <f ca="1"/>
        <v>276.37</v>
      </c>
      <c r="H945" vm="7523">
        <f ca="1"/>
        <v>45534</v>
      </c>
      <c r="I945" vm="7527">
        <f ca="1"/>
        <v>142.91999999999999</v>
      </c>
      <c r="J945" vm="7523">
        <f ca="1"/>
        <v>45534</v>
      </c>
      <c r="K945" vm="7528">
        <f ca="1"/>
        <v>37.909999999999997</v>
      </c>
      <c r="L945" vm="7523">
        <f ca="1"/>
        <v>45534</v>
      </c>
      <c r="M945" vm="3898">
        <f ca="1"/>
        <v>342.88</v>
      </c>
      <c r="N945" vm="7523">
        <f ca="1"/>
        <v>45534</v>
      </c>
      <c r="O945" vm="7529">
        <f ca="1"/>
        <v>44.5</v>
      </c>
      <c r="P945" vm="7523">
        <f ca="1"/>
        <v>45534</v>
      </c>
      <c r="Q945" vm="7530">
        <f ca="1"/>
        <v>132.41999999999999</v>
      </c>
      <c r="R945" s="29">
        <f t="shared" ca="1" si="119"/>
        <v>9.7308288148721476E-3</v>
      </c>
      <c r="S945" s="30">
        <f t="shared" ca="1" si="120"/>
        <v>7.085020242914828E-3</v>
      </c>
      <c r="T945" s="30">
        <f t="shared" ca="1" si="121"/>
        <v>7.4730242053077118E-3</v>
      </c>
      <c r="U945" s="30">
        <f t="shared" ca="1" si="122"/>
        <v>2.7362660492526933E-3</v>
      </c>
      <c r="V945" s="30">
        <f t="shared" ca="1" si="123"/>
        <v>-1.685684647302919E-2</v>
      </c>
      <c r="W945" s="30">
        <f t="shared" ca="1" si="126"/>
        <v>6.3099815102866707E-3</v>
      </c>
      <c r="X945" s="30">
        <f t="shared" ca="1" si="124"/>
        <v>-3.0184156042279569E-2</v>
      </c>
      <c r="Y945" s="31">
        <f t="shared" ca="1" si="125"/>
        <v>-1.0561255280628755E-3</v>
      </c>
    </row>
    <row r="946" spans="2:25" x14ac:dyDescent="0.45">
      <c r="B946" vm="7531">
        <f ca="1"/>
        <v>45538</v>
      </c>
      <c r="C946" vm="1608">
        <f ca="1"/>
        <v>409.44</v>
      </c>
      <c r="D946" vm="7531">
        <f ca="1"/>
        <v>45538</v>
      </c>
      <c r="E946" vm="3753">
        <f ca="1"/>
        <v>20.43</v>
      </c>
      <c r="F946" vm="7531">
        <f ca="1"/>
        <v>45538</v>
      </c>
      <c r="G946" vm="6951">
        <f ca="1"/>
        <v>278.54000000000002</v>
      </c>
      <c r="H946" vm="7531">
        <f ca="1"/>
        <v>45538</v>
      </c>
      <c r="I946" vm="7532">
        <f ca="1"/>
        <v>138.96</v>
      </c>
      <c r="J946" vm="7531">
        <f ca="1"/>
        <v>45538</v>
      </c>
      <c r="K946" vm="7533">
        <f ca="1"/>
        <v>35.6</v>
      </c>
      <c r="L946" vm="7531">
        <f ca="1"/>
        <v>45538</v>
      </c>
      <c r="M946" vm="5227">
        <f ca="1"/>
        <v>328.6</v>
      </c>
      <c r="N946" vm="7531">
        <f ca="1"/>
        <v>45538</v>
      </c>
      <c r="O946" vm="7534">
        <f ca="1"/>
        <v>53.54</v>
      </c>
      <c r="P946" vm="7531">
        <f ca="1"/>
        <v>45538</v>
      </c>
      <c r="Q946" vm="4549">
        <f ca="1"/>
        <v>122.32</v>
      </c>
      <c r="R946" s="29">
        <f t="shared" ca="1" si="119"/>
        <v>-1.8459030541305051E-2</v>
      </c>
      <c r="S946" s="30">
        <f t="shared" ca="1" si="120"/>
        <v>2.6633165829145787E-2</v>
      </c>
      <c r="T946" s="30">
        <f t="shared" ca="1" si="121"/>
        <v>7.8517928863480694E-3</v>
      </c>
      <c r="U946" s="30">
        <f t="shared" ca="1" si="122"/>
        <v>-2.7707808564231596E-2</v>
      </c>
      <c r="V946" s="30">
        <f t="shared" ca="1" si="123"/>
        <v>-6.0933790556581255E-2</v>
      </c>
      <c r="W946" s="30">
        <f t="shared" ca="1" si="126"/>
        <v>-4.1647223518432024E-2</v>
      </c>
      <c r="X946" s="30">
        <f t="shared" ca="1" si="124"/>
        <v>0.20314606741573032</v>
      </c>
      <c r="Y946" s="31">
        <f t="shared" ca="1" si="125"/>
        <v>-7.6272466394804381E-2</v>
      </c>
    </row>
    <row r="947" spans="2:25" x14ac:dyDescent="0.45">
      <c r="B947" vm="7535">
        <f ca="1"/>
        <v>45539</v>
      </c>
      <c r="C947" vm="7536">
        <f ca="1"/>
        <v>408.9</v>
      </c>
      <c r="D947" vm="7535">
        <f ca="1"/>
        <v>45539</v>
      </c>
      <c r="E947" vm="3099">
        <f ca="1"/>
        <v>20.57</v>
      </c>
      <c r="F947" vm="7535">
        <f ca="1"/>
        <v>45539</v>
      </c>
      <c r="G947" vm="7537">
        <f ca="1"/>
        <v>280.49</v>
      </c>
      <c r="H947" vm="7535">
        <f ca="1"/>
        <v>45539</v>
      </c>
      <c r="I947" vm="7538">
        <f ca="1"/>
        <v>138.16</v>
      </c>
      <c r="J947" vm="7535">
        <f ca="1"/>
        <v>45539</v>
      </c>
      <c r="K947" vm="7539">
        <f ca="1"/>
        <v>29.38</v>
      </c>
      <c r="L947" vm="7535">
        <f ca="1"/>
        <v>45539</v>
      </c>
      <c r="M947" vm="7540">
        <f ca="1"/>
        <v>329.25</v>
      </c>
      <c r="N947" vm="7535">
        <f ca="1"/>
        <v>45539</v>
      </c>
      <c r="O947" vm="7541">
        <f ca="1"/>
        <v>54.97</v>
      </c>
      <c r="P947" vm="7535">
        <f ca="1"/>
        <v>45539</v>
      </c>
      <c r="Q947" vm="7542">
        <f ca="1"/>
        <v>124.85</v>
      </c>
      <c r="R947" s="29">
        <f t="shared" ca="1" si="119"/>
        <v>-1.3188745603751966E-3</v>
      </c>
      <c r="S947" s="30">
        <f t="shared" ca="1" si="120"/>
        <v>6.852667645619215E-3</v>
      </c>
      <c r="T947" s="30">
        <f t="shared" ca="1" si="121"/>
        <v>7.0007898326990324E-3</v>
      </c>
      <c r="U947" s="30">
        <f t="shared" ca="1" si="122"/>
        <v>-5.7570523891768231E-3</v>
      </c>
      <c r="V947" s="30">
        <f t="shared" ca="1" si="123"/>
        <v>-0.17471910112359557</v>
      </c>
      <c r="W947" s="30">
        <f t="shared" ca="1" si="126"/>
        <v>1.9780888618380317E-3</v>
      </c>
      <c r="X947" s="30">
        <f t="shared" ca="1" si="124"/>
        <v>2.6709002614867385E-2</v>
      </c>
      <c r="Y947" s="31">
        <f t="shared" ca="1" si="125"/>
        <v>2.0683453237410082E-2</v>
      </c>
    </row>
    <row r="948" spans="2:25" x14ac:dyDescent="0.45">
      <c r="B948" vm="7543">
        <f ca="1"/>
        <v>45540</v>
      </c>
      <c r="C948" vm="7544">
        <f ca="1"/>
        <v>408.39</v>
      </c>
      <c r="D948" vm="7543">
        <f ca="1"/>
        <v>45540</v>
      </c>
      <c r="E948" vm="7545">
        <f ca="1"/>
        <v>20.65</v>
      </c>
      <c r="F948" vm="7543">
        <f ca="1"/>
        <v>45540</v>
      </c>
      <c r="G948" vm="7546">
        <f ca="1"/>
        <v>278.62</v>
      </c>
      <c r="H948" vm="7543">
        <f ca="1"/>
        <v>45540</v>
      </c>
      <c r="I948" vm="4844">
        <f ca="1"/>
        <v>138.36000000000001</v>
      </c>
      <c r="J948" vm="7543">
        <f ca="1"/>
        <v>45540</v>
      </c>
      <c r="K948" vm="7547">
        <f ca="1"/>
        <v>29.97</v>
      </c>
      <c r="L948" vm="7543">
        <f ca="1"/>
        <v>45540</v>
      </c>
      <c r="M948" vm="7548">
        <f ca="1"/>
        <v>328.63</v>
      </c>
      <c r="N948" vm="7543">
        <f ca="1"/>
        <v>45540</v>
      </c>
      <c r="O948" vm="7549">
        <f ca="1"/>
        <v>52.24</v>
      </c>
      <c r="P948" vm="7543">
        <f ca="1"/>
        <v>45540</v>
      </c>
      <c r="Q948" vm="3010">
        <f ca="1"/>
        <v>119.57</v>
      </c>
      <c r="R948" s="29">
        <f t="shared" ca="1" si="119"/>
        <v>-1.247248716067476E-3</v>
      </c>
      <c r="S948" s="30">
        <f t="shared" ca="1" si="120"/>
        <v>3.8891589693727901E-3</v>
      </c>
      <c r="T948" s="30">
        <f t="shared" ca="1" si="121"/>
        <v>-6.6669043459660045E-3</v>
      </c>
      <c r="U948" s="30">
        <f t="shared" ca="1" si="122"/>
        <v>1.4475969889983864E-3</v>
      </c>
      <c r="V948" s="30">
        <f t="shared" ca="1" si="123"/>
        <v>2.008168822328114E-2</v>
      </c>
      <c r="W948" s="30">
        <f t="shared" ca="1" si="126"/>
        <v>-1.8830675778284116E-3</v>
      </c>
      <c r="X948" s="30">
        <f t="shared" ca="1" si="124"/>
        <v>-4.9663452792432179E-2</v>
      </c>
      <c r="Y948" s="31">
        <f t="shared" ca="1" si="125"/>
        <v>-4.2290748898678426E-2</v>
      </c>
    </row>
    <row r="949" spans="2:25" x14ac:dyDescent="0.45">
      <c r="B949" vm="7550">
        <f ca="1"/>
        <v>45541</v>
      </c>
      <c r="C949" vm="7551">
        <f ca="1"/>
        <v>401.7</v>
      </c>
      <c r="D949" vm="7550">
        <f ca="1"/>
        <v>45541</v>
      </c>
      <c r="E949" vm="7552">
        <f ca="1"/>
        <v>20.97</v>
      </c>
      <c r="F949" vm="7550">
        <f ca="1"/>
        <v>45541</v>
      </c>
      <c r="G949" vm="7553">
        <f ca="1"/>
        <v>279.37</v>
      </c>
      <c r="H949" vm="7550">
        <f ca="1"/>
        <v>45541</v>
      </c>
      <c r="I949" vm="1070">
        <f ca="1"/>
        <v>137.19999999999999</v>
      </c>
      <c r="J949" vm="7550">
        <f ca="1"/>
        <v>45541</v>
      </c>
      <c r="K949" vm="7554">
        <f ca="1"/>
        <v>31.27</v>
      </c>
      <c r="L949" vm="7550">
        <f ca="1"/>
        <v>45541</v>
      </c>
      <c r="M949" vm="7555">
        <f ca="1"/>
        <v>322.77</v>
      </c>
      <c r="N949" vm="7550">
        <f ca="1"/>
        <v>45541</v>
      </c>
      <c r="O949" vm="7556">
        <f ca="1"/>
        <v>56.11</v>
      </c>
      <c r="P949" vm="7550">
        <f ca="1"/>
        <v>45541</v>
      </c>
      <c r="Q949" vm="7557">
        <f ca="1"/>
        <v>114.3</v>
      </c>
      <c r="R949" s="29">
        <f t="shared" ca="1" si="119"/>
        <v>-1.6381400132226543E-2</v>
      </c>
      <c r="S949" s="30">
        <f t="shared" ca="1" si="120"/>
        <v>1.5496368038740936E-2</v>
      </c>
      <c r="T949" s="30">
        <f t="shared" ca="1" si="121"/>
        <v>2.6918383461345201E-3</v>
      </c>
      <c r="U949" s="30">
        <f t="shared" ca="1" si="122"/>
        <v>-8.3839259901707496E-3</v>
      </c>
      <c r="V949" s="30">
        <f t="shared" ca="1" si="123"/>
        <v>4.3376710043376739E-2</v>
      </c>
      <c r="W949" s="30">
        <f t="shared" ca="1" si="126"/>
        <v>-1.7831603931473126E-2</v>
      </c>
      <c r="X949" s="30">
        <f t="shared" ca="1" si="124"/>
        <v>7.4081163859111746E-2</v>
      </c>
      <c r="Y949" s="31">
        <f t="shared" ca="1" si="125"/>
        <v>-4.4074600652337509E-2</v>
      </c>
    </row>
    <row r="950" spans="2:25" x14ac:dyDescent="0.45">
      <c r="B950" vm="7558">
        <f ca="1"/>
        <v>45544</v>
      </c>
      <c r="C950" vm="7559">
        <f ca="1"/>
        <v>405.72</v>
      </c>
      <c r="D950" vm="7558">
        <f ca="1"/>
        <v>45544</v>
      </c>
      <c r="E950" vm="1348">
        <f ca="1"/>
        <v>21.5</v>
      </c>
      <c r="F950" vm="7558">
        <f ca="1"/>
        <v>45544</v>
      </c>
      <c r="G950" vm="7560">
        <f ca="1"/>
        <v>285.61</v>
      </c>
      <c r="H950" vm="7558">
        <f ca="1"/>
        <v>45544</v>
      </c>
      <c r="I950" vm="4813">
        <f ca="1"/>
        <v>138.09</v>
      </c>
      <c r="J950" vm="7558">
        <f ca="1"/>
        <v>45544</v>
      </c>
      <c r="K950" vm="7561">
        <f ca="1"/>
        <v>32.82</v>
      </c>
      <c r="L950" vm="7558">
        <f ca="1"/>
        <v>45544</v>
      </c>
      <c r="M950" vm="7562">
        <f ca="1"/>
        <v>324.07</v>
      </c>
      <c r="N950" vm="7558">
        <f ca="1"/>
        <v>45544</v>
      </c>
      <c r="O950" vm="7563">
        <f ca="1"/>
        <v>52.45</v>
      </c>
      <c r="P950" vm="7558">
        <f ca="1"/>
        <v>45544</v>
      </c>
      <c r="Q950" vm="7564">
        <f ca="1"/>
        <v>124.82</v>
      </c>
      <c r="R950" s="29">
        <f t="shared" ca="1" si="119"/>
        <v>1.0007468259895541E-2</v>
      </c>
      <c r="S950" s="30">
        <f t="shared" ca="1" si="120"/>
        <v>2.5274201239866532E-2</v>
      </c>
      <c r="T950" s="30">
        <f t="shared" ca="1" si="121"/>
        <v>2.2335970218706407E-2</v>
      </c>
      <c r="U950" s="30">
        <f t="shared" ca="1" si="122"/>
        <v>6.4868804664724115E-3</v>
      </c>
      <c r="V950" s="30">
        <f t="shared" ca="1" si="123"/>
        <v>4.9568276303166001E-2</v>
      </c>
      <c r="W950" s="30">
        <f t="shared" ca="1" si="126"/>
        <v>4.0276357777984679E-3</v>
      </c>
      <c r="X950" s="30">
        <f t="shared" ca="1" si="124"/>
        <v>-6.5229014435929364E-2</v>
      </c>
      <c r="Y950" s="31">
        <f t="shared" ca="1" si="125"/>
        <v>9.2038495188101449E-2</v>
      </c>
    </row>
    <row r="951" spans="2:25" x14ac:dyDescent="0.45">
      <c r="B951" vm="7565">
        <f ca="1"/>
        <v>45545</v>
      </c>
      <c r="C951" vm="7566">
        <f ca="1"/>
        <v>414.2</v>
      </c>
      <c r="D951" vm="7565">
        <f ca="1"/>
        <v>45545</v>
      </c>
      <c r="E951" vm="3700">
        <f ca="1"/>
        <v>21.71</v>
      </c>
      <c r="F951" vm="7565">
        <f ca="1"/>
        <v>45545</v>
      </c>
      <c r="G951" vm="7567">
        <f ca="1"/>
        <v>285.33999999999997</v>
      </c>
      <c r="H951" vm="7565">
        <f ca="1"/>
        <v>45545</v>
      </c>
      <c r="I951" vm="4048">
        <f ca="1"/>
        <v>138.03</v>
      </c>
      <c r="J951" vm="7565">
        <f ca="1"/>
        <v>45545</v>
      </c>
      <c r="K951" vm="7568">
        <f ca="1"/>
        <v>31.22</v>
      </c>
      <c r="L951" vm="7565">
        <f ca="1"/>
        <v>45545</v>
      </c>
      <c r="M951" vm="5545">
        <f ca="1"/>
        <v>327</v>
      </c>
      <c r="N951" vm="7565">
        <f ca="1"/>
        <v>45545</v>
      </c>
      <c r="O951" vm="7569">
        <f ca="1"/>
        <v>51.52</v>
      </c>
      <c r="P951" vm="7565">
        <f ca="1"/>
        <v>45545</v>
      </c>
      <c r="Q951" vm="7570">
        <f ca="1"/>
        <v>129.63999999999999</v>
      </c>
      <c r="R951" s="29">
        <f t="shared" ca="1" si="119"/>
        <v>2.0901114068815837E-2</v>
      </c>
      <c r="S951" s="30">
        <f t="shared" ca="1" si="120"/>
        <v>9.7674418604651557E-3</v>
      </c>
      <c r="T951" s="30">
        <f t="shared" ca="1" si="121"/>
        <v>-9.453450509437297E-4</v>
      </c>
      <c r="U951" s="30">
        <f t="shared" ca="1" si="122"/>
        <v>-4.3449923962634711E-4</v>
      </c>
      <c r="V951" s="30">
        <f t="shared" ca="1" si="123"/>
        <v>-4.8750761730652084E-2</v>
      </c>
      <c r="W951" s="30">
        <f t="shared" ca="1" si="126"/>
        <v>9.041256518653399E-3</v>
      </c>
      <c r="X951" s="30">
        <f t="shared" ca="1" si="124"/>
        <v>-1.7731172545281212E-2</v>
      </c>
      <c r="Y951" s="31">
        <f t="shared" ca="1" si="125"/>
        <v>3.8615606473321532E-2</v>
      </c>
    </row>
    <row r="952" spans="2:25" x14ac:dyDescent="0.45">
      <c r="B952" vm="7571">
        <f ca="1"/>
        <v>45546</v>
      </c>
      <c r="C952" vm="7572">
        <f ca="1"/>
        <v>423.04</v>
      </c>
      <c r="D952" vm="7571">
        <f ca="1"/>
        <v>45546</v>
      </c>
      <c r="E952" vm="1858">
        <f ca="1"/>
        <v>21.45</v>
      </c>
      <c r="F952" vm="7571">
        <f ca="1"/>
        <v>45546</v>
      </c>
      <c r="G952" vm="7573">
        <f ca="1"/>
        <v>283.95999999999998</v>
      </c>
      <c r="H952" vm="7571">
        <f ca="1"/>
        <v>45546</v>
      </c>
      <c r="I952" vm="7574">
        <f ca="1"/>
        <v>138.69999999999999</v>
      </c>
      <c r="J952" vm="7571">
        <f ca="1"/>
        <v>45546</v>
      </c>
      <c r="K952" vm="7575">
        <f ca="1"/>
        <v>33.39</v>
      </c>
      <c r="L952" vm="7571">
        <f ca="1"/>
        <v>45546</v>
      </c>
      <c r="M952" vm="7576">
        <f ca="1"/>
        <v>336.66</v>
      </c>
      <c r="N952" vm="7571">
        <f ca="1"/>
        <v>45546</v>
      </c>
      <c r="O952" vm="7577">
        <f ca="1"/>
        <v>49.33</v>
      </c>
      <c r="P952" vm="7571">
        <f ca="1"/>
        <v>45546</v>
      </c>
      <c r="Q952" vm="7578">
        <f ca="1"/>
        <v>129.28</v>
      </c>
      <c r="R952" s="29">
        <f t="shared" ca="1" si="119"/>
        <v>2.13423466924192E-2</v>
      </c>
      <c r="S952" s="30">
        <f t="shared" ca="1" si="120"/>
        <v>-1.1976047904191689E-2</v>
      </c>
      <c r="T952" s="30">
        <f t="shared" ca="1" si="121"/>
        <v>-4.8363355996355068E-3</v>
      </c>
      <c r="U952" s="30">
        <f t="shared" ca="1" si="122"/>
        <v>4.8540172426283232E-3</v>
      </c>
      <c r="V952" s="30">
        <f t="shared" ca="1" si="123"/>
        <v>6.9506726457399165E-2</v>
      </c>
      <c r="W952" s="30">
        <f t="shared" ca="1" si="126"/>
        <v>2.95412844036698E-2</v>
      </c>
      <c r="X952" s="30">
        <f t="shared" ca="1" si="124"/>
        <v>-4.250776397515537E-2</v>
      </c>
      <c r="Y952" s="31">
        <f t="shared" ca="1" si="125"/>
        <v>-2.7769207034864644E-3</v>
      </c>
    </row>
    <row r="953" spans="2:25" x14ac:dyDescent="0.45">
      <c r="B953" vm="7579">
        <f ca="1"/>
        <v>45547</v>
      </c>
      <c r="C953" vm="7021">
        <f ca="1"/>
        <v>427</v>
      </c>
      <c r="D953" vm="7579">
        <f ca="1"/>
        <v>45547</v>
      </c>
      <c r="E953" vm="4982">
        <f ca="1"/>
        <v>21.59</v>
      </c>
      <c r="F953" vm="7579">
        <f ca="1"/>
        <v>45547</v>
      </c>
      <c r="G953" vm="7580">
        <f ca="1"/>
        <v>285.37</v>
      </c>
      <c r="H953" vm="7579">
        <f ca="1"/>
        <v>45547</v>
      </c>
      <c r="I953" vm="4950">
        <f ca="1"/>
        <v>136.38999999999999</v>
      </c>
      <c r="J953" vm="7579">
        <f ca="1"/>
        <v>45547</v>
      </c>
      <c r="K953" vm="7581">
        <f ca="1"/>
        <v>34.74</v>
      </c>
      <c r="L953" vm="7579">
        <f ca="1"/>
        <v>45547</v>
      </c>
      <c r="M953" vm="7582">
        <f ca="1"/>
        <v>337.51</v>
      </c>
      <c r="N953" vm="7579">
        <f ca="1"/>
        <v>45547</v>
      </c>
      <c r="O953" vm="7583">
        <f ca="1"/>
        <v>48.94</v>
      </c>
      <c r="P953" vm="7579">
        <f ca="1"/>
        <v>45547</v>
      </c>
      <c r="Q953" vm="7584">
        <f ca="1"/>
        <v>130.77000000000001</v>
      </c>
      <c r="R953" s="29">
        <f t="shared" ca="1" si="119"/>
        <v>9.3608169440241567E-3</v>
      </c>
      <c r="S953" s="30">
        <f t="shared" ca="1" si="120"/>
        <v>6.5268065268065537E-3</v>
      </c>
      <c r="T953" s="30">
        <f t="shared" ca="1" si="121"/>
        <v>4.9654880969151466E-3</v>
      </c>
      <c r="U953" s="30">
        <f t="shared" ca="1" si="122"/>
        <v>-1.6654650324441259E-2</v>
      </c>
      <c r="V953" s="30">
        <f t="shared" ca="1" si="123"/>
        <v>4.0431266846361225E-2</v>
      </c>
      <c r="W953" s="30">
        <f t="shared" ca="1" si="126"/>
        <v>2.5248024713359647E-3</v>
      </c>
      <c r="X953" s="30">
        <f t="shared" ca="1" si="124"/>
        <v>-7.9059395905128841E-3</v>
      </c>
      <c r="Y953" s="31">
        <f t="shared" ca="1" si="125"/>
        <v>1.1525371287128784E-2</v>
      </c>
    </row>
    <row r="954" spans="2:25" x14ac:dyDescent="0.45">
      <c r="B954" vm="7585">
        <f ca="1"/>
        <v>45548</v>
      </c>
      <c r="C954" vm="7586">
        <f ca="1"/>
        <v>430.59</v>
      </c>
      <c r="D954" vm="7585">
        <f ca="1"/>
        <v>45548</v>
      </c>
      <c r="E954" vm="7587">
        <f ca="1"/>
        <v>21.64</v>
      </c>
      <c r="F954" vm="7585">
        <f ca="1"/>
        <v>45548</v>
      </c>
      <c r="G954" vm="6668">
        <f ca="1"/>
        <v>287.35000000000002</v>
      </c>
      <c r="H954" vm="7585">
        <f ca="1"/>
        <v>45548</v>
      </c>
      <c r="I954" vm="7588">
        <f ca="1"/>
        <v>137.31</v>
      </c>
      <c r="J954" vm="7585">
        <f ca="1"/>
        <v>45548</v>
      </c>
      <c r="K954" vm="7589">
        <f ca="1"/>
        <v>36.07</v>
      </c>
      <c r="L954" vm="7585">
        <f ca="1"/>
        <v>45548</v>
      </c>
      <c r="M954" vm="7590">
        <f ca="1"/>
        <v>337.9</v>
      </c>
      <c r="N954" vm="7585">
        <f ca="1"/>
        <v>45548</v>
      </c>
      <c r="O954" vm="7591">
        <f ca="1"/>
        <v>48.79</v>
      </c>
      <c r="P954" vm="7585">
        <f ca="1"/>
        <v>45548</v>
      </c>
      <c r="Q954" vm="7592">
        <f ca="1"/>
        <v>141.47</v>
      </c>
      <c r="R954" s="29">
        <f t="shared" ca="1" si="119"/>
        <v>8.4074941451990053E-3</v>
      </c>
      <c r="S954" s="30">
        <f t="shared" ca="1" si="120"/>
        <v>2.3158869847151788E-3</v>
      </c>
      <c r="T954" s="30">
        <f t="shared" ca="1" si="121"/>
        <v>6.9383607246732946E-3</v>
      </c>
      <c r="U954" s="30">
        <f t="shared" ca="1" si="122"/>
        <v>6.7453625632378916E-3</v>
      </c>
      <c r="V954" s="30">
        <f t="shared" ca="1" si="123"/>
        <v>3.8284398388025283E-2</v>
      </c>
      <c r="W954" s="30">
        <f t="shared" ca="1" si="126"/>
        <v>1.1555213178868371E-3</v>
      </c>
      <c r="X954" s="30">
        <f t="shared" ca="1" si="124"/>
        <v>-3.064977523498132E-3</v>
      </c>
      <c r="Y954" s="31">
        <f t="shared" ca="1" si="125"/>
        <v>8.1823048099716966E-2</v>
      </c>
    </row>
    <row r="955" spans="2:25" x14ac:dyDescent="0.45">
      <c r="B955" vm="7593">
        <f ca="1"/>
        <v>45551</v>
      </c>
      <c r="C955" vm="7594">
        <f ca="1"/>
        <v>431.34</v>
      </c>
      <c r="D955" vm="7593">
        <f ca="1"/>
        <v>45551</v>
      </c>
      <c r="E955" vm="838">
        <f ca="1"/>
        <v>22.27</v>
      </c>
      <c r="F955" vm="7593">
        <f ca="1"/>
        <v>45551</v>
      </c>
      <c r="G955" vm="7595">
        <f ca="1"/>
        <v>290.48</v>
      </c>
      <c r="H955" vm="7593">
        <f ca="1"/>
        <v>45551</v>
      </c>
      <c r="I955" vm="7596">
        <f ca="1"/>
        <v>138.31</v>
      </c>
      <c r="J955" vm="7593">
        <f ca="1"/>
        <v>45551</v>
      </c>
      <c r="K955" vm="7597">
        <f ca="1"/>
        <v>36.369999999999997</v>
      </c>
      <c r="L955" vm="7593">
        <f ca="1"/>
        <v>45551</v>
      </c>
      <c r="M955" vm="7598">
        <f ca="1"/>
        <v>338.83</v>
      </c>
      <c r="N955" vm="7593">
        <f ca="1"/>
        <v>45551</v>
      </c>
      <c r="O955" vm="7599">
        <f ca="1"/>
        <v>49.24</v>
      </c>
      <c r="P955" vm="7593">
        <f ca="1"/>
        <v>45551</v>
      </c>
      <c r="Q955" vm="837">
        <f ca="1"/>
        <v>134.53</v>
      </c>
      <c r="R955" s="29">
        <f t="shared" ca="1" si="119"/>
        <v>1.7417961401797535E-3</v>
      </c>
      <c r="S955" s="30">
        <f t="shared" ca="1" si="120"/>
        <v>2.9112754158964832E-2</v>
      </c>
      <c r="T955" s="30">
        <f t="shared" ca="1" si="121"/>
        <v>1.0892639638072021E-2</v>
      </c>
      <c r="U955" s="30">
        <f t="shared" ca="1" si="122"/>
        <v>7.2827907654213096E-3</v>
      </c>
      <c r="V955" s="30">
        <f t="shared" ca="1" si="123"/>
        <v>8.3171610756860876E-3</v>
      </c>
      <c r="W955" s="30">
        <f t="shared" ca="1" si="126"/>
        <v>2.7522935779816719E-3</v>
      </c>
      <c r="X955" s="30">
        <f t="shared" ca="1" si="124"/>
        <v>9.2232014757122945E-3</v>
      </c>
      <c r="Y955" s="31">
        <f t="shared" ca="1" si="125"/>
        <v>-4.9056337032586397E-2</v>
      </c>
    </row>
    <row r="956" spans="2:25" x14ac:dyDescent="0.45">
      <c r="B956" vm="7600">
        <f ca="1"/>
        <v>45552</v>
      </c>
      <c r="C956" vm="7601">
        <f ca="1"/>
        <v>435.15</v>
      </c>
      <c r="D956" vm="7600">
        <f ca="1"/>
        <v>45552</v>
      </c>
      <c r="E956" vm="7602">
        <f ca="1"/>
        <v>21.78</v>
      </c>
      <c r="F956" vm="7600">
        <f ca="1"/>
        <v>45552</v>
      </c>
      <c r="G956" vm="7603">
        <f ca="1"/>
        <v>291.56</v>
      </c>
      <c r="H956" vm="7600">
        <f ca="1"/>
        <v>45552</v>
      </c>
      <c r="I956" vm="4012">
        <f ca="1"/>
        <v>138.35</v>
      </c>
      <c r="J956" vm="7600">
        <f ca="1"/>
        <v>45552</v>
      </c>
      <c r="K956" vm="2818">
        <f ca="1"/>
        <v>36.229999999999997</v>
      </c>
      <c r="L956" vm="7600">
        <f ca="1"/>
        <v>45552</v>
      </c>
      <c r="M956" vm="7604">
        <f ca="1"/>
        <v>342.15</v>
      </c>
      <c r="N956" vm="7600">
        <f ca="1"/>
        <v>45552</v>
      </c>
      <c r="O956" vm="7605">
        <f ca="1"/>
        <v>50.3</v>
      </c>
      <c r="P956" vm="7600">
        <f ca="1"/>
        <v>45552</v>
      </c>
      <c r="Q956" vm="771">
        <f ca="1"/>
        <v>131.27000000000001</v>
      </c>
      <c r="R956" s="29">
        <f t="shared" ca="1" si="119"/>
        <v>8.8329392126860543E-3</v>
      </c>
      <c r="S956" s="30">
        <f t="shared" ca="1" si="120"/>
        <v>-2.2002694207453904E-2</v>
      </c>
      <c r="T956" s="30">
        <f t="shared" ca="1" si="121"/>
        <v>3.7179840264389423E-3</v>
      </c>
      <c r="U956" s="30">
        <f t="shared" ca="1" si="122"/>
        <v>2.8920540814107471E-4</v>
      </c>
      <c r="V956" s="30">
        <f t="shared" ca="1" si="123"/>
        <v>-3.8493263678856357E-3</v>
      </c>
      <c r="W956" s="30">
        <f t="shared" ca="1" si="126"/>
        <v>9.7984239884307562E-3</v>
      </c>
      <c r="X956" s="30">
        <f t="shared" ca="1" si="124"/>
        <v>2.1527213647441007E-2</v>
      </c>
      <c r="Y956" s="31">
        <f t="shared" ca="1" si="125"/>
        <v>-2.4232513194083035E-2</v>
      </c>
    </row>
    <row r="957" spans="2:25" x14ac:dyDescent="0.45">
      <c r="B957" vm="7606">
        <f ca="1"/>
        <v>45553</v>
      </c>
      <c r="C957" vm="7607">
        <f ca="1"/>
        <v>430.81</v>
      </c>
      <c r="D957" vm="7606">
        <f ca="1"/>
        <v>45553</v>
      </c>
      <c r="E957" vm="7608">
        <f ca="1"/>
        <v>21.73</v>
      </c>
      <c r="F957" vm="7606">
        <f ca="1"/>
        <v>45553</v>
      </c>
      <c r="G957" vm="7609">
        <f ca="1"/>
        <v>288.48</v>
      </c>
      <c r="H957" vm="7606">
        <f ca="1"/>
        <v>45553</v>
      </c>
      <c r="I957" vm="7610">
        <f ca="1"/>
        <v>139.01</v>
      </c>
      <c r="J957" vm="7606">
        <f ca="1"/>
        <v>45553</v>
      </c>
      <c r="K957" vm="2860">
        <f ca="1"/>
        <v>36.78</v>
      </c>
      <c r="L957" vm="7606">
        <f ca="1"/>
        <v>45553</v>
      </c>
      <c r="M957" vm="7611">
        <f ca="1"/>
        <v>343.97</v>
      </c>
      <c r="N957" vm="7606">
        <f ca="1"/>
        <v>45553</v>
      </c>
      <c r="O957" vm="7612">
        <f ca="1"/>
        <v>49.88</v>
      </c>
      <c r="P957" vm="7606">
        <f ca="1"/>
        <v>45553</v>
      </c>
      <c r="Q957" vm="2710">
        <f ca="1"/>
        <v>132.66999999999999</v>
      </c>
      <c r="R957" s="29">
        <f t="shared" ca="1" si="119"/>
        <v>-9.973572331379927E-3</v>
      </c>
      <c r="S957" s="30">
        <f t="shared" ca="1" si="120"/>
        <v>-2.2956841138659645E-3</v>
      </c>
      <c r="T957" s="30">
        <f t="shared" ca="1" si="121"/>
        <v>-1.0563863355741474E-2</v>
      </c>
      <c r="U957" s="30">
        <f t="shared" ca="1" si="122"/>
        <v>4.7705095771593542E-3</v>
      </c>
      <c r="V957" s="30">
        <f t="shared" ca="1" si="123"/>
        <v>1.5180789401048974E-2</v>
      </c>
      <c r="W957" s="30">
        <f t="shared" ca="1" si="126"/>
        <v>5.3193043986557069E-3</v>
      </c>
      <c r="X957" s="30">
        <f t="shared" ca="1" si="124"/>
        <v>-8.3499005964213641E-3</v>
      </c>
      <c r="Y957" s="31">
        <f t="shared" ca="1" si="125"/>
        <v>1.0665041517482876E-2</v>
      </c>
    </row>
    <row r="958" spans="2:25" x14ac:dyDescent="0.45">
      <c r="B958" vm="7613">
        <f ca="1"/>
        <v>45554</v>
      </c>
      <c r="C958" vm="7614">
        <f ca="1"/>
        <v>438.69</v>
      </c>
      <c r="D958" vm="7613">
        <f ca="1"/>
        <v>45554</v>
      </c>
      <c r="E958" vm="4995">
        <f ca="1"/>
        <v>21.36</v>
      </c>
      <c r="F958" vm="7613">
        <f ca="1"/>
        <v>45554</v>
      </c>
      <c r="G958" vm="7615">
        <f ca="1"/>
        <v>285.24</v>
      </c>
      <c r="H958" vm="7613">
        <f ca="1"/>
        <v>45554</v>
      </c>
      <c r="I958" vm="7616">
        <f ca="1"/>
        <v>141.94999999999999</v>
      </c>
      <c r="J958" vm="7613">
        <f ca="1"/>
        <v>45554</v>
      </c>
      <c r="K958" vm="7617">
        <f ca="1"/>
        <v>38.08</v>
      </c>
      <c r="L958" vm="7613">
        <f ca="1"/>
        <v>45554</v>
      </c>
      <c r="M958" vm="7618">
        <f ca="1"/>
        <v>360.22</v>
      </c>
      <c r="N958" vm="7613">
        <f ca="1"/>
        <v>45554</v>
      </c>
      <c r="O958" vm="7046">
        <f ca="1"/>
        <v>47.72</v>
      </c>
      <c r="P958" vm="7613">
        <f ca="1"/>
        <v>45554</v>
      </c>
      <c r="Q958" vm="7619">
        <f ca="1"/>
        <v>144.66</v>
      </c>
      <c r="R958" s="29">
        <f t="shared" ca="1" si="119"/>
        <v>1.8291126018430387E-2</v>
      </c>
      <c r="S958" s="30">
        <f t="shared" ca="1" si="120"/>
        <v>-1.7027151403589551E-2</v>
      </c>
      <c r="T958" s="30">
        <f t="shared" ca="1" si="121"/>
        <v>-1.1231281198003359E-2</v>
      </c>
      <c r="U958" s="30">
        <f t="shared" ca="1" si="122"/>
        <v>2.114955758578518E-2</v>
      </c>
      <c r="V958" s="30">
        <f t="shared" ca="1" si="123"/>
        <v>3.534529635671553E-2</v>
      </c>
      <c r="W958" s="30">
        <f t="shared" ca="1" si="126"/>
        <v>4.7242492077797481E-2</v>
      </c>
      <c r="X958" s="30">
        <f t="shared" ca="1" si="124"/>
        <v>-4.3303929430633589E-2</v>
      </c>
      <c r="Y958" s="31">
        <f t="shared" ca="1" si="125"/>
        <v>9.0374613703173359E-2</v>
      </c>
    </row>
    <row r="959" spans="2:25" x14ac:dyDescent="0.45">
      <c r="B959" vm="7620">
        <f ca="1"/>
        <v>45555</v>
      </c>
      <c r="C959" vm="7621">
        <f ca="1"/>
        <v>435.27</v>
      </c>
      <c r="D959" vm="7620">
        <f ca="1"/>
        <v>45555</v>
      </c>
      <c r="E959" vm="7622">
        <f ca="1"/>
        <v>21.54</v>
      </c>
      <c r="F959" vm="7620">
        <f ca="1"/>
        <v>45555</v>
      </c>
      <c r="G959" vm="7623">
        <f ca="1"/>
        <v>284.77</v>
      </c>
      <c r="H959" vm="7620">
        <f ca="1"/>
        <v>45555</v>
      </c>
      <c r="I959" vm="7624">
        <f ca="1"/>
        <v>140.09</v>
      </c>
      <c r="J959" vm="7620">
        <f ca="1"/>
        <v>45555</v>
      </c>
      <c r="K959" vm="7625">
        <f ca="1"/>
        <v>38.96</v>
      </c>
      <c r="L959" vm="7620">
        <f ca="1"/>
        <v>45555</v>
      </c>
      <c r="M959" vm="7626">
        <f ca="1"/>
        <v>365.17</v>
      </c>
      <c r="N959" vm="7620">
        <f ca="1"/>
        <v>45555</v>
      </c>
      <c r="O959" vm="7627">
        <f ca="1"/>
        <v>47.43</v>
      </c>
      <c r="P959" vm="7620">
        <f ca="1"/>
        <v>45555</v>
      </c>
      <c r="Q959" vm="2761">
        <f ca="1"/>
        <v>144.78</v>
      </c>
      <c r="R959" s="29">
        <f t="shared" ca="1" si="119"/>
        <v>-7.7959379060384693E-3</v>
      </c>
      <c r="S959" s="30">
        <f t="shared" ca="1" si="120"/>
        <v>8.4269662921348191E-3</v>
      </c>
      <c r="T959" s="30">
        <f t="shared" ca="1" si="121"/>
        <v>-1.6477352404993242E-3</v>
      </c>
      <c r="U959" s="30">
        <f t="shared" ca="1" si="122"/>
        <v>-1.3103205353997784E-2</v>
      </c>
      <c r="V959" s="30">
        <f t="shared" ca="1" si="123"/>
        <v>2.3109243697479059E-2</v>
      </c>
      <c r="W959" s="30">
        <f t="shared" ca="1" si="126"/>
        <v>1.3741602354116896E-2</v>
      </c>
      <c r="X959" s="30">
        <f t="shared" ca="1" si="124"/>
        <v>-6.0771165129924381E-3</v>
      </c>
      <c r="Y959" s="31">
        <f t="shared" ca="1" si="125"/>
        <v>8.2953131480716547E-4</v>
      </c>
    </row>
    <row r="960" spans="2:25" x14ac:dyDescent="0.45">
      <c r="B960" vm="7628">
        <f ca="1"/>
        <v>45558</v>
      </c>
      <c r="C960" vm="7629">
        <f ca="1"/>
        <v>433.51</v>
      </c>
      <c r="D960" vm="7628">
        <f ca="1"/>
        <v>45558</v>
      </c>
      <c r="E960" vm="1733">
        <f ca="1"/>
        <v>21.49</v>
      </c>
      <c r="F960" vm="7628">
        <f ca="1"/>
        <v>45558</v>
      </c>
      <c r="G960" vm="7630">
        <f ca="1"/>
        <v>288.63</v>
      </c>
      <c r="H960" vm="7628">
        <f ca="1"/>
        <v>45558</v>
      </c>
      <c r="I960" vm="6191">
        <f ca="1"/>
        <v>139.79</v>
      </c>
      <c r="J960" vm="7628">
        <f ca="1"/>
        <v>45558</v>
      </c>
      <c r="K960" vm="7631">
        <f ca="1"/>
        <v>38.61</v>
      </c>
      <c r="L960" vm="7628">
        <f ca="1"/>
        <v>45558</v>
      </c>
      <c r="M960" vm="7632">
        <f ca="1"/>
        <v>369.01</v>
      </c>
      <c r="N960" vm="7628">
        <f ca="1"/>
        <v>45558</v>
      </c>
      <c r="O960" vm="6314">
        <f ca="1"/>
        <v>47.73</v>
      </c>
      <c r="P960" vm="7628">
        <f ca="1"/>
        <v>45558</v>
      </c>
      <c r="Q960" vm="5859">
        <f ca="1"/>
        <v>149.97</v>
      </c>
      <c r="R960" s="29">
        <f t="shared" ca="1" si="119"/>
        <v>-4.0434672731867365E-3</v>
      </c>
      <c r="S960" s="30">
        <f t="shared" ca="1" si="120"/>
        <v>-2.3212627669452514E-3</v>
      </c>
      <c r="T960" s="30">
        <f t="shared" ca="1" si="121"/>
        <v>1.3554798609404129E-2</v>
      </c>
      <c r="U960" s="30">
        <f t="shared" ca="1" si="122"/>
        <v>-2.1414804768364005E-3</v>
      </c>
      <c r="V960" s="30">
        <f t="shared" ca="1" si="123"/>
        <v>-8.9835728952772434E-3</v>
      </c>
      <c r="W960" s="30">
        <f t="shared" ca="1" si="126"/>
        <v>1.0515650245091258E-2</v>
      </c>
      <c r="X960" s="30">
        <f t="shared" ca="1" si="124"/>
        <v>6.325110689437005E-3</v>
      </c>
      <c r="Y960" s="31">
        <f t="shared" ca="1" si="125"/>
        <v>3.584749274761706E-2</v>
      </c>
    </row>
    <row r="961" spans="2:25" x14ac:dyDescent="0.45">
      <c r="B961" vm="7633">
        <f ca="1"/>
        <v>45559</v>
      </c>
      <c r="C961" vm="7041">
        <f ca="1"/>
        <v>429.17</v>
      </c>
      <c r="D961" vm="7633">
        <f ca="1"/>
        <v>45559</v>
      </c>
      <c r="E961" vm="4982">
        <f ca="1"/>
        <v>21.59</v>
      </c>
      <c r="F961" vm="7633">
        <f ca="1"/>
        <v>45559</v>
      </c>
      <c r="G961" vm="7634">
        <f ca="1"/>
        <v>272.77999999999997</v>
      </c>
      <c r="H961" vm="7633">
        <f ca="1"/>
        <v>45559</v>
      </c>
      <c r="I961" vm="7635">
        <f ca="1"/>
        <v>141.87</v>
      </c>
      <c r="J961" vm="7633">
        <f ca="1"/>
        <v>45559</v>
      </c>
      <c r="K961" vm="7202">
        <f ca="1"/>
        <v>37.799999999999997</v>
      </c>
      <c r="L961" vm="7633">
        <f ca="1"/>
        <v>45559</v>
      </c>
      <c r="M961" vm="7636">
        <f ca="1"/>
        <v>380.36</v>
      </c>
      <c r="N961" vm="7633">
        <f ca="1"/>
        <v>45559</v>
      </c>
      <c r="O961" vm="6592">
        <f ca="1"/>
        <v>47.76</v>
      </c>
      <c r="P961" vm="7633">
        <f ca="1"/>
        <v>45559</v>
      </c>
      <c r="Q961" vm="7637">
        <f ca="1"/>
        <v>153.88</v>
      </c>
      <c r="R961" s="29">
        <f t="shared" ca="1" si="119"/>
        <v>-1.0011303084127184E-2</v>
      </c>
      <c r="S961" s="30">
        <f t="shared" ca="1" si="120"/>
        <v>4.6533271288972276E-3</v>
      </c>
      <c r="T961" s="30">
        <f t="shared" ca="1" si="121"/>
        <v>-5.4914596542286052E-2</v>
      </c>
      <c r="U961" s="30">
        <f t="shared" ca="1" si="122"/>
        <v>1.4879462050218275E-2</v>
      </c>
      <c r="V961" s="30">
        <f t="shared" ca="1" si="123"/>
        <v>-2.0979020979021039E-2</v>
      </c>
      <c r="W961" s="30">
        <f t="shared" ca="1" si="126"/>
        <v>3.0757974038644002E-2</v>
      </c>
      <c r="X961" s="30">
        <f t="shared" ca="1" si="124"/>
        <v>6.2853551225646636E-4</v>
      </c>
      <c r="Y961" s="31">
        <f t="shared" ca="1" si="125"/>
        <v>2.6071881042875219E-2</v>
      </c>
    </row>
    <row r="962" spans="2:25" x14ac:dyDescent="0.45">
      <c r="B962" vm="7638">
        <f ca="1"/>
        <v>45560</v>
      </c>
      <c r="C962" vm="7639">
        <f ca="1"/>
        <v>432.11</v>
      </c>
      <c r="D962" vm="7638">
        <f ca="1"/>
        <v>45560</v>
      </c>
      <c r="E962" vm="7640">
        <f ca="1"/>
        <v>21.56</v>
      </c>
      <c r="F962" vm="7638">
        <f ca="1"/>
        <v>45560</v>
      </c>
      <c r="G962" vm="7641">
        <f ca="1"/>
        <v>269.63</v>
      </c>
      <c r="H962" vm="7638">
        <f ca="1"/>
        <v>45560</v>
      </c>
      <c r="I962" vm="7642">
        <f ca="1"/>
        <v>139.44</v>
      </c>
      <c r="J962" vm="7638">
        <f ca="1"/>
        <v>45560</v>
      </c>
      <c r="K962" vm="6952">
        <f ca="1"/>
        <v>38.22</v>
      </c>
      <c r="L962" vm="7638">
        <f ca="1"/>
        <v>45560</v>
      </c>
      <c r="M962" vm="7643">
        <f ca="1"/>
        <v>383.96</v>
      </c>
      <c r="N962" vm="7638">
        <f ca="1"/>
        <v>45560</v>
      </c>
      <c r="O962" vm="7644">
        <f ca="1"/>
        <v>48.41</v>
      </c>
      <c r="P962" vm="7638">
        <f ca="1"/>
        <v>45560</v>
      </c>
      <c r="Q962" vm="7645">
        <f ca="1"/>
        <v>151.94</v>
      </c>
      <c r="R962" s="29">
        <f t="shared" ca="1" si="119"/>
        <v>6.85043222965258E-3</v>
      </c>
      <c r="S962" s="30">
        <f t="shared" ca="1" si="120"/>
        <v>-1.3895321908291402E-3</v>
      </c>
      <c r="T962" s="30">
        <f t="shared" ca="1" si="121"/>
        <v>-1.1547767431629804E-2</v>
      </c>
      <c r="U962" s="30">
        <f t="shared" ca="1" si="122"/>
        <v>-1.7128356946500365E-2</v>
      </c>
      <c r="V962" s="30">
        <f t="shared" ca="1" si="123"/>
        <v>1.1111111111111157E-2</v>
      </c>
      <c r="W962" s="30">
        <f t="shared" ca="1" si="126"/>
        <v>9.4647176359237712E-3</v>
      </c>
      <c r="X962" s="30">
        <f t="shared" ca="1" si="124"/>
        <v>1.3609715242881043E-2</v>
      </c>
      <c r="Y962" s="31">
        <f t="shared" ca="1" si="125"/>
        <v>-1.2607226410189744E-2</v>
      </c>
    </row>
    <row r="963" spans="2:25" x14ac:dyDescent="0.45">
      <c r="B963" vm="7646">
        <f ca="1"/>
        <v>45561</v>
      </c>
      <c r="C963" vm="7647">
        <f ca="1"/>
        <v>431.31</v>
      </c>
      <c r="D963" vm="7646">
        <f ca="1"/>
        <v>45561</v>
      </c>
      <c r="E963" vm="3965">
        <f ca="1"/>
        <v>21.65</v>
      </c>
      <c r="F963" vm="7646">
        <f ca="1"/>
        <v>45561</v>
      </c>
      <c r="G963" vm="7648">
        <f ca="1"/>
        <v>271.69</v>
      </c>
      <c r="H963" vm="7646">
        <f ca="1"/>
        <v>45561</v>
      </c>
      <c r="I963" vm="7649">
        <f ca="1"/>
        <v>146.74</v>
      </c>
      <c r="J963" vm="7646">
        <f ca="1"/>
        <v>45561</v>
      </c>
      <c r="K963" vm="7650">
        <f ca="1"/>
        <v>36.119999999999997</v>
      </c>
      <c r="L963" vm="7646">
        <f ca="1"/>
        <v>45561</v>
      </c>
      <c r="M963" vm="7651">
        <f ca="1"/>
        <v>379.16</v>
      </c>
      <c r="N963" vm="7646">
        <f ca="1"/>
        <v>45561</v>
      </c>
      <c r="O963" vm="7652">
        <f ca="1"/>
        <v>48.48</v>
      </c>
      <c r="P963" vm="7646">
        <f ca="1"/>
        <v>45561</v>
      </c>
      <c r="Q963" vm="7653">
        <f ca="1"/>
        <v>165.98</v>
      </c>
      <c r="R963" s="29">
        <f t="shared" ca="1" si="119"/>
        <v>-1.8513804355372737E-3</v>
      </c>
      <c r="S963" s="30">
        <f t="shared" ca="1" si="120"/>
        <v>4.1743970315398825E-3</v>
      </c>
      <c r="T963" s="30">
        <f t="shared" ca="1" si="121"/>
        <v>7.640099395467872E-3</v>
      </c>
      <c r="U963" s="30">
        <f t="shared" ca="1" si="122"/>
        <v>5.2352266207687979E-2</v>
      </c>
      <c r="V963" s="30">
        <f t="shared" ca="1" si="123"/>
        <v>-5.4945054945054986E-2</v>
      </c>
      <c r="W963" s="30">
        <f t="shared" ca="1" si="126"/>
        <v>-1.2501302218981027E-2</v>
      </c>
      <c r="X963" s="30">
        <f t="shared" ca="1" si="124"/>
        <v>1.4459822350754035E-3</v>
      </c>
      <c r="Y963" s="31">
        <f t="shared" ca="1" si="125"/>
        <v>9.2404896669738001E-2</v>
      </c>
    </row>
    <row r="964" spans="2:25" x14ac:dyDescent="0.45">
      <c r="B964" vm="7654">
        <f ca="1"/>
        <v>45562</v>
      </c>
      <c r="C964" vm="7655">
        <f ca="1"/>
        <v>428.02</v>
      </c>
      <c r="D964" vm="7654">
        <f ca="1"/>
        <v>45562</v>
      </c>
      <c r="E964" vm="1798">
        <f ca="1"/>
        <v>21.9</v>
      </c>
      <c r="F964" vm="7654">
        <f ca="1"/>
        <v>45562</v>
      </c>
      <c r="G964" vm="7656">
        <f ca="1"/>
        <v>275.17</v>
      </c>
      <c r="H964" vm="7654">
        <f ca="1"/>
        <v>45562</v>
      </c>
      <c r="I964" vm="7657">
        <f ca="1"/>
        <v>148.06</v>
      </c>
      <c r="J964" vm="7654">
        <f ca="1"/>
        <v>45562</v>
      </c>
      <c r="K964" vm="7658">
        <f ca="1"/>
        <v>35.619999999999997</v>
      </c>
      <c r="L964" vm="7654">
        <f ca="1"/>
        <v>45562</v>
      </c>
      <c r="M964" vm="7659">
        <f ca="1"/>
        <v>369.2</v>
      </c>
      <c r="N964" vm="7654">
        <f ca="1"/>
        <v>45562</v>
      </c>
      <c r="O964" vm="7660">
        <f ca="1"/>
        <v>50.73</v>
      </c>
      <c r="P964" vm="7654">
        <f ca="1"/>
        <v>45562</v>
      </c>
      <c r="Q964" vm="7661">
        <f ca="1"/>
        <v>176.22</v>
      </c>
      <c r="R964" s="29">
        <f t="shared" ca="1" si="119"/>
        <v>-7.6279242308316996E-3</v>
      </c>
      <c r="S964" s="30">
        <f t="shared" ca="1" si="120"/>
        <v>1.1547344110854504E-2</v>
      </c>
      <c r="T964" s="30">
        <f t="shared" ca="1" si="121"/>
        <v>1.2808715815819566E-2</v>
      </c>
      <c r="U964" s="30">
        <f t="shared" ca="1" si="122"/>
        <v>8.9955022488755147E-3</v>
      </c>
      <c r="V964" s="30">
        <f t="shared" ca="1" si="123"/>
        <v>-1.3842746400885937E-2</v>
      </c>
      <c r="W964" s="30">
        <f t="shared" ca="1" si="126"/>
        <v>-2.6268593733516289E-2</v>
      </c>
      <c r="X964" s="30">
        <f t="shared" ca="1" si="124"/>
        <v>4.641089108910891E-2</v>
      </c>
      <c r="Y964" s="31">
        <f t="shared" ca="1" si="125"/>
        <v>6.1694180021689415E-2</v>
      </c>
    </row>
    <row r="965" spans="2:25" x14ac:dyDescent="0.45">
      <c r="B965" vm="7662">
        <f ca="1"/>
        <v>45565</v>
      </c>
      <c r="C965" vm="7663">
        <f ca="1"/>
        <v>430.3</v>
      </c>
      <c r="D965" vm="7662">
        <f ca="1"/>
        <v>45565</v>
      </c>
      <c r="E965" vm="7664">
        <f ca="1"/>
        <v>22</v>
      </c>
      <c r="F965" vm="7662">
        <f ca="1"/>
        <v>45565</v>
      </c>
      <c r="G965" vm="7665">
        <f ca="1"/>
        <v>274.95</v>
      </c>
      <c r="H965" vm="7662">
        <f ca="1"/>
        <v>45565</v>
      </c>
      <c r="I965" vm="7666">
        <f ca="1"/>
        <v>148.47999999999999</v>
      </c>
      <c r="J965" vm="7662">
        <f ca="1"/>
        <v>45565</v>
      </c>
      <c r="K965" vm="7667">
        <f ca="1"/>
        <v>35.33</v>
      </c>
      <c r="L965" vm="7662">
        <f ca="1"/>
        <v>45565</v>
      </c>
      <c r="M965" vm="7668">
        <f ca="1"/>
        <v>368.53</v>
      </c>
      <c r="N965" vm="7662">
        <f ca="1"/>
        <v>45565</v>
      </c>
      <c r="O965" vm="7669">
        <f ca="1"/>
        <v>49.6</v>
      </c>
      <c r="P965" vm="7662">
        <f ca="1"/>
        <v>45565</v>
      </c>
      <c r="Q965" vm="7670">
        <f ca="1"/>
        <v>168.6</v>
      </c>
      <c r="R965" s="29">
        <f t="shared" ref="R965:R1028" ca="1" si="127">(C965-C964)/C964</f>
        <v>5.3268538853325307E-3</v>
      </c>
      <c r="S965" s="30">
        <f t="shared" ref="S965:S1028" ca="1" si="128">(E965-E964)/E964</f>
        <v>4.5662100456621653E-3</v>
      </c>
      <c r="T965" s="30">
        <f t="shared" ref="T965:T1028" ca="1" si="129">(G965-G964)/G964</f>
        <v>-7.9950576007568875E-4</v>
      </c>
      <c r="U965" s="30">
        <f t="shared" ref="U965:U1028" ca="1" si="130">(I965-I964)/I964</f>
        <v>2.8366878292583244E-3</v>
      </c>
      <c r="V965" s="30">
        <f t="shared" ref="V965:V1028" ca="1" si="131">(K965-K964)/K964</f>
        <v>-8.1414935429533729E-3</v>
      </c>
      <c r="W965" s="30">
        <f t="shared" ca="1" si="126"/>
        <v>-1.8147345612134775E-3</v>
      </c>
      <c r="X965" s="30">
        <f t="shared" ref="X965:X1028" ca="1" si="132">(O965-O964)/O964</f>
        <v>-2.2274788093829993E-2</v>
      </c>
      <c r="Y965" s="31">
        <f t="shared" ref="Y965:Y1028" ca="1" si="133">(Q965-Q964)/Q964</f>
        <v>-4.3241402791964617E-2</v>
      </c>
    </row>
    <row r="966" spans="2:25" x14ac:dyDescent="0.45">
      <c r="B966" vm="7671">
        <f ca="1"/>
        <v>45566</v>
      </c>
      <c r="C966" vm="7672">
        <f ca="1"/>
        <v>420.69</v>
      </c>
      <c r="D966" vm="7671">
        <f ca="1"/>
        <v>45566</v>
      </c>
      <c r="E966" vm="4056">
        <f ca="1"/>
        <v>22.13</v>
      </c>
      <c r="F966" vm="7671">
        <f ca="1"/>
        <v>45566</v>
      </c>
      <c r="G966" vm="4043">
        <f ca="1"/>
        <v>277.60000000000002</v>
      </c>
      <c r="H966" vm="7671">
        <f ca="1"/>
        <v>45566</v>
      </c>
      <c r="I966" vm="7673">
        <f ca="1"/>
        <v>146.56</v>
      </c>
      <c r="J966" vm="7671">
        <f ca="1"/>
        <v>45566</v>
      </c>
      <c r="K966" vm="7674">
        <f ca="1"/>
        <v>35</v>
      </c>
      <c r="L966" vm="7671">
        <f ca="1"/>
        <v>45566</v>
      </c>
      <c r="M966" vm="7675">
        <f ca="1"/>
        <v>375.4</v>
      </c>
      <c r="N966" vm="7671">
        <f ca="1"/>
        <v>45566</v>
      </c>
      <c r="O966" vm="7676">
        <f ca="1"/>
        <v>53.43</v>
      </c>
      <c r="P966" vm="7671">
        <f ca="1"/>
        <v>45566</v>
      </c>
      <c r="Q966" vm="7677">
        <f ca="1"/>
        <v>162.69</v>
      </c>
      <c r="R966" s="29">
        <f t="shared" ca="1" si="127"/>
        <v>-2.2333255867999103E-2</v>
      </c>
      <c r="S966" s="30">
        <f t="shared" ca="1" si="128"/>
        <v>5.9090909090908639E-3</v>
      </c>
      <c r="T966" s="30">
        <f t="shared" ca="1" si="129"/>
        <v>9.6381160210948693E-3</v>
      </c>
      <c r="U966" s="30">
        <f t="shared" ca="1" si="130"/>
        <v>-1.2931034482758537E-2</v>
      </c>
      <c r="V966" s="30">
        <f t="shared" ca="1" si="131"/>
        <v>-9.3405038211151516E-3</v>
      </c>
      <c r="W966" s="30">
        <f t="shared" ref="W966:W1029" ca="1" si="134">(M966-M965)/M965</f>
        <v>1.8641630260765759E-2</v>
      </c>
      <c r="X966" s="30">
        <f t="shared" ca="1" si="132"/>
        <v>7.7217741935483836E-2</v>
      </c>
      <c r="Y966" s="31">
        <f t="shared" ca="1" si="133"/>
        <v>-3.5053380782918128E-2</v>
      </c>
    </row>
    <row r="967" spans="2:25" x14ac:dyDescent="0.45">
      <c r="B967" vm="7678">
        <f ca="1"/>
        <v>45567</v>
      </c>
      <c r="C967" vm="7679">
        <f ca="1"/>
        <v>417.13</v>
      </c>
      <c r="D967" vm="7678">
        <f ca="1"/>
        <v>45567</v>
      </c>
      <c r="E967" vm="7680">
        <f ca="1"/>
        <v>22.19</v>
      </c>
      <c r="F967" vm="7678">
        <f ca="1"/>
        <v>45567</v>
      </c>
      <c r="G967" vm="7681">
        <f ca="1"/>
        <v>277</v>
      </c>
      <c r="H967" vm="7678">
        <f ca="1"/>
        <v>45567</v>
      </c>
      <c r="I967" vm="7155">
        <f ca="1"/>
        <v>146.54</v>
      </c>
      <c r="J967" vm="7678">
        <f ca="1"/>
        <v>45567</v>
      </c>
      <c r="K967" vm="7682">
        <f ca="1"/>
        <v>34.6</v>
      </c>
      <c r="L967" vm="7678">
        <f ca="1"/>
        <v>45567</v>
      </c>
      <c r="M967" vm="7683">
        <f ca="1"/>
        <v>374.75</v>
      </c>
      <c r="N967" vm="7678">
        <f ca="1"/>
        <v>45567</v>
      </c>
      <c r="O967" vm="7684">
        <f ca="1"/>
        <v>52.71</v>
      </c>
      <c r="P967" vm="7678">
        <f ca="1"/>
        <v>45567</v>
      </c>
      <c r="Q967" vm="7685">
        <f ca="1"/>
        <v>164.64</v>
      </c>
      <c r="R967" s="29">
        <f t="shared" ca="1" si="127"/>
        <v>-8.462288145665459E-3</v>
      </c>
      <c r="S967" s="30">
        <f t="shared" ca="1" si="128"/>
        <v>2.7112516945324121E-3</v>
      </c>
      <c r="T967" s="30">
        <f t="shared" ca="1" si="129"/>
        <v>-2.1613832853026754E-3</v>
      </c>
      <c r="U967" s="30">
        <f t="shared" ca="1" si="130"/>
        <v>-1.3646288209613968E-4</v>
      </c>
      <c r="V967" s="30">
        <f t="shared" ca="1" si="131"/>
        <v>-1.1428571428571389E-2</v>
      </c>
      <c r="W967" s="30">
        <f t="shared" ca="1" si="134"/>
        <v>-1.7314864144911488E-3</v>
      </c>
      <c r="X967" s="30">
        <f t="shared" ca="1" si="132"/>
        <v>-1.3475575519371119E-2</v>
      </c>
      <c r="Y967" s="31">
        <f t="shared" ca="1" si="133"/>
        <v>1.198598561681719E-2</v>
      </c>
    </row>
    <row r="968" spans="2:25" x14ac:dyDescent="0.45">
      <c r="B968" vm="7686">
        <f ca="1"/>
        <v>45568</v>
      </c>
      <c r="C968" vm="7687">
        <f ca="1"/>
        <v>416.54</v>
      </c>
      <c r="D968" vm="7686">
        <f ca="1"/>
        <v>45568</v>
      </c>
      <c r="E968" vm="7688">
        <f ca="1"/>
        <v>22.05</v>
      </c>
      <c r="F968" vm="7686">
        <f ca="1"/>
        <v>45568</v>
      </c>
      <c r="G968" vm="7689">
        <f ca="1"/>
        <v>276.86</v>
      </c>
      <c r="H968" vm="7686">
        <f ca="1"/>
        <v>45568</v>
      </c>
      <c r="I968" vm="7690">
        <f ca="1"/>
        <v>144.55000000000001</v>
      </c>
      <c r="J968" vm="7686">
        <f ca="1"/>
        <v>45568</v>
      </c>
      <c r="K968" vm="7691">
        <f ca="1"/>
        <v>34.93</v>
      </c>
      <c r="L968" vm="7686">
        <f ca="1"/>
        <v>45568</v>
      </c>
      <c r="M968" vm="7692">
        <f ca="1"/>
        <v>372.6</v>
      </c>
      <c r="N968" vm="7686">
        <f ca="1"/>
        <v>45568</v>
      </c>
      <c r="O968" vm="7693">
        <f ca="1"/>
        <v>55.09</v>
      </c>
      <c r="P968" vm="7686">
        <f ca="1"/>
        <v>45568</v>
      </c>
      <c r="Q968" vm="7694">
        <f ca="1"/>
        <v>163.41</v>
      </c>
      <c r="R968" s="29">
        <f t="shared" ca="1" si="127"/>
        <v>-1.4144271570013544E-3</v>
      </c>
      <c r="S968" s="30">
        <f t="shared" ca="1" si="128"/>
        <v>-6.3091482649842521E-3</v>
      </c>
      <c r="T968" s="30">
        <f t="shared" ca="1" si="129"/>
        <v>-5.0541516245482439E-4</v>
      </c>
      <c r="U968" s="30">
        <f t="shared" ca="1" si="130"/>
        <v>-1.357990992220541E-2</v>
      </c>
      <c r="V968" s="30">
        <f t="shared" ca="1" si="131"/>
        <v>9.5375722543352102E-3</v>
      </c>
      <c r="W968" s="30">
        <f t="shared" ca="1" si="134"/>
        <v>-5.7371581054035418E-3</v>
      </c>
      <c r="X968" s="30">
        <f t="shared" ca="1" si="132"/>
        <v>4.5152722443559147E-2</v>
      </c>
      <c r="Y968" s="31">
        <f t="shared" ca="1" si="133"/>
        <v>-7.4708454810495008E-3</v>
      </c>
    </row>
    <row r="969" spans="2:25" x14ac:dyDescent="0.45">
      <c r="B969" vm="7695">
        <f ca="1"/>
        <v>45569</v>
      </c>
      <c r="C969" vm="7696">
        <f ca="1"/>
        <v>416.06</v>
      </c>
      <c r="D969" vm="7695">
        <f ca="1"/>
        <v>45569</v>
      </c>
      <c r="E969" vm="7697">
        <f ca="1"/>
        <v>21.91</v>
      </c>
      <c r="F969" vm="7695">
        <f ca="1"/>
        <v>45569</v>
      </c>
      <c r="G969" vm="7698">
        <f ca="1"/>
        <v>277.93</v>
      </c>
      <c r="H969" vm="7695">
        <f ca="1"/>
        <v>45569</v>
      </c>
      <c r="I969" vm="7699">
        <f ca="1"/>
        <v>144.97</v>
      </c>
      <c r="J969" vm="7695">
        <f ca="1"/>
        <v>45569</v>
      </c>
      <c r="K969" vm="7700">
        <f ca="1"/>
        <v>35.47</v>
      </c>
      <c r="L969" vm="7695">
        <f ca="1"/>
        <v>45569</v>
      </c>
      <c r="M969" vm="7701">
        <f ca="1"/>
        <v>371.45</v>
      </c>
      <c r="N969" vm="7695">
        <f ca="1"/>
        <v>45569</v>
      </c>
      <c r="O969" vm="7702">
        <f ca="1"/>
        <v>53</v>
      </c>
      <c r="P969" vm="7695">
        <f ca="1"/>
        <v>45569</v>
      </c>
      <c r="Q969" vm="7703">
        <f ca="1"/>
        <v>176.51</v>
      </c>
      <c r="R969" s="29">
        <f t="shared" ca="1" si="127"/>
        <v>-1.1523503144956503E-3</v>
      </c>
      <c r="S969" s="30">
        <f t="shared" ca="1" si="128"/>
        <v>-6.3492063492063744E-3</v>
      </c>
      <c r="T969" s="30">
        <f t="shared" ca="1" si="129"/>
        <v>3.8647691974282783E-3</v>
      </c>
      <c r="U969" s="30">
        <f t="shared" ca="1" si="130"/>
        <v>2.9055690072638356E-3</v>
      </c>
      <c r="V969" s="30">
        <f t="shared" ca="1" si="131"/>
        <v>1.5459490409390184E-2</v>
      </c>
      <c r="W969" s="30">
        <f t="shared" ca="1" si="134"/>
        <v>-3.0864197530865111E-3</v>
      </c>
      <c r="X969" s="30">
        <f t="shared" ca="1" si="132"/>
        <v>-3.793791976765299E-2</v>
      </c>
      <c r="Y969" s="31">
        <f t="shared" ca="1" si="133"/>
        <v>8.0166452481488251E-2</v>
      </c>
    </row>
    <row r="970" spans="2:25" x14ac:dyDescent="0.45">
      <c r="B970" vm="7704">
        <f ca="1"/>
        <v>45572</v>
      </c>
      <c r="C970" vm="7705">
        <f ca="1"/>
        <v>409.54</v>
      </c>
      <c r="D970" vm="7704">
        <f ca="1"/>
        <v>45572</v>
      </c>
      <c r="E970" vm="7602">
        <f ca="1"/>
        <v>21.78</v>
      </c>
      <c r="F970" vm="7704">
        <f ca="1"/>
        <v>45572</v>
      </c>
      <c r="G970" vm="7706">
        <f ca="1"/>
        <v>273.79000000000002</v>
      </c>
      <c r="H970" vm="7704">
        <f ca="1"/>
        <v>45572</v>
      </c>
      <c r="I970" vm="7707">
        <f ca="1"/>
        <v>143.88999999999999</v>
      </c>
      <c r="J970" vm="7704">
        <f ca="1"/>
        <v>45572</v>
      </c>
      <c r="K970" vm="7708">
        <f ca="1"/>
        <v>35.39</v>
      </c>
      <c r="L970" vm="7704">
        <f ca="1"/>
        <v>45572</v>
      </c>
      <c r="M970" vm="7709">
        <f ca="1"/>
        <v>362.95</v>
      </c>
      <c r="N970" vm="7704">
        <f ca="1"/>
        <v>45572</v>
      </c>
      <c r="O970" vm="7710">
        <f ca="1"/>
        <v>57.72</v>
      </c>
      <c r="P970" vm="7704">
        <f ca="1"/>
        <v>45572</v>
      </c>
      <c r="Q970" vm="7711">
        <f ca="1"/>
        <v>186.09</v>
      </c>
      <c r="R970" s="29">
        <f t="shared" ca="1" si="127"/>
        <v>-1.5670816709128448E-2</v>
      </c>
      <c r="S970" s="30">
        <f t="shared" ca="1" si="128"/>
        <v>-5.9333637608397537E-3</v>
      </c>
      <c r="T970" s="30">
        <f t="shared" ca="1" si="129"/>
        <v>-1.4895837081279409E-2</v>
      </c>
      <c r="U970" s="30">
        <f t="shared" ca="1" si="130"/>
        <v>-7.4498172035594437E-3</v>
      </c>
      <c r="V970" s="30">
        <f t="shared" ca="1" si="131"/>
        <v>-2.255427121511088E-3</v>
      </c>
      <c r="W970" s="30">
        <f t="shared" ca="1" si="134"/>
        <v>-2.2883295194508008E-2</v>
      </c>
      <c r="X970" s="30">
        <f t="shared" ca="1" si="132"/>
        <v>8.9056603773584889E-2</v>
      </c>
      <c r="Y970" s="31">
        <f t="shared" ca="1" si="133"/>
        <v>5.427454535153823E-2</v>
      </c>
    </row>
    <row r="971" spans="2:25" x14ac:dyDescent="0.45">
      <c r="B971" vm="7712">
        <f ca="1"/>
        <v>45573</v>
      </c>
      <c r="C971" vm="7713">
        <f ca="1"/>
        <v>414.71</v>
      </c>
      <c r="D971" vm="7712">
        <f ca="1"/>
        <v>45573</v>
      </c>
      <c r="E971" vm="1773">
        <f ca="1"/>
        <v>21.86</v>
      </c>
      <c r="F971" vm="7712">
        <f ca="1"/>
        <v>45573</v>
      </c>
      <c r="G971" vm="7714">
        <f ca="1"/>
        <v>274.95999999999998</v>
      </c>
      <c r="H971" vm="7712">
        <f ca="1"/>
        <v>45573</v>
      </c>
      <c r="I971" vm="7715">
        <f ca="1"/>
        <v>144.61000000000001</v>
      </c>
      <c r="J971" vm="7712">
        <f ca="1"/>
        <v>45573</v>
      </c>
      <c r="K971" vm="7716">
        <f ca="1"/>
        <v>35.26</v>
      </c>
      <c r="L971" vm="7712">
        <f ca="1"/>
        <v>45573</v>
      </c>
      <c r="M971" vm="7717">
        <f ca="1"/>
        <v>370.38</v>
      </c>
      <c r="N971" vm="7712">
        <f ca="1"/>
        <v>45573</v>
      </c>
      <c r="O971" vm="7718">
        <f ca="1"/>
        <v>55.39</v>
      </c>
      <c r="P971" vm="7712">
        <f ca="1"/>
        <v>45573</v>
      </c>
      <c r="Q971" vm="7719">
        <f ca="1"/>
        <v>192.2</v>
      </c>
      <c r="R971" s="29">
        <f t="shared" ca="1" si="127"/>
        <v>1.2623919519460758E-2</v>
      </c>
      <c r="S971" s="30">
        <f t="shared" ca="1" si="128"/>
        <v>3.6730945821854127E-3</v>
      </c>
      <c r="T971" s="30">
        <f t="shared" ca="1" si="129"/>
        <v>4.2733481865661962E-3</v>
      </c>
      <c r="U971" s="30">
        <f t="shared" ca="1" si="130"/>
        <v>5.0038223643062568E-3</v>
      </c>
      <c r="V971" s="30">
        <f t="shared" ca="1" si="131"/>
        <v>-3.6733540548178172E-3</v>
      </c>
      <c r="W971" s="30">
        <f t="shared" ca="1" si="134"/>
        <v>2.0471139275382303E-2</v>
      </c>
      <c r="X971" s="30">
        <f t="shared" ca="1" si="132"/>
        <v>-4.0367290367290337E-2</v>
      </c>
      <c r="Y971" s="31">
        <f t="shared" ca="1" si="133"/>
        <v>3.2833575151808188E-2</v>
      </c>
    </row>
    <row r="972" spans="2:25" x14ac:dyDescent="0.45">
      <c r="B972" vm="7720">
        <f ca="1"/>
        <v>45574</v>
      </c>
      <c r="C972" vm="7721">
        <f ca="1"/>
        <v>417.46</v>
      </c>
      <c r="D972" vm="7720">
        <f ca="1"/>
        <v>45574</v>
      </c>
      <c r="E972" vm="7722">
        <f ca="1"/>
        <v>21.93</v>
      </c>
      <c r="F972" vm="7720">
        <f ca="1"/>
        <v>45574</v>
      </c>
      <c r="G972" vm="7723">
        <f ca="1"/>
        <v>276.93</v>
      </c>
      <c r="H972" vm="7720">
        <f ca="1"/>
        <v>45574</v>
      </c>
      <c r="I972" vm="7724">
        <f ca="1"/>
        <v>144.80000000000001</v>
      </c>
      <c r="J972" vm="7720">
        <f ca="1"/>
        <v>45574</v>
      </c>
      <c r="K972" vm="7725">
        <f ca="1"/>
        <v>35.65</v>
      </c>
      <c r="L972" vm="7720">
        <f ca="1"/>
        <v>45574</v>
      </c>
      <c r="M972" vm="7726">
        <f ca="1"/>
        <v>373.98</v>
      </c>
      <c r="N972" vm="7720">
        <f ca="1"/>
        <v>45574</v>
      </c>
      <c r="O972" vm="7727">
        <f ca="1"/>
        <v>54.03</v>
      </c>
      <c r="P972" vm="7720">
        <f ca="1"/>
        <v>45574</v>
      </c>
      <c r="Q972" vm="7728">
        <f ca="1"/>
        <v>188.91</v>
      </c>
      <c r="R972" s="29">
        <f t="shared" ca="1" si="127"/>
        <v>6.6311398326541439E-3</v>
      </c>
      <c r="S972" s="30">
        <f t="shared" ca="1" si="128"/>
        <v>3.2021957913998299E-3</v>
      </c>
      <c r="T972" s="30">
        <f t="shared" ca="1" si="129"/>
        <v>7.1646784986908185E-3</v>
      </c>
      <c r="U972" s="30">
        <f t="shared" ca="1" si="130"/>
        <v>1.3138787082497595E-3</v>
      </c>
      <c r="V972" s="30">
        <f t="shared" ca="1" si="131"/>
        <v>1.1060692002268876E-2</v>
      </c>
      <c r="W972" s="30">
        <f t="shared" ca="1" si="134"/>
        <v>9.7197472865706101E-3</v>
      </c>
      <c r="X972" s="30">
        <f t="shared" ca="1" si="132"/>
        <v>-2.455316844195702E-2</v>
      </c>
      <c r="Y972" s="31">
        <f t="shared" ca="1" si="133"/>
        <v>-1.7117585848074882E-2</v>
      </c>
    </row>
    <row r="973" spans="2:25" x14ac:dyDescent="0.45">
      <c r="B973" vm="7729">
        <f ca="1"/>
        <v>45575</v>
      </c>
      <c r="C973" vm="7730">
        <f ca="1"/>
        <v>415.84</v>
      </c>
      <c r="D973" vm="7729">
        <f ca="1"/>
        <v>45575</v>
      </c>
      <c r="E973" vm="3178">
        <f ca="1"/>
        <v>21.22</v>
      </c>
      <c r="F973" vm="7729">
        <f ca="1"/>
        <v>45575</v>
      </c>
      <c r="G973" vm="7731">
        <f ca="1"/>
        <v>277.47000000000003</v>
      </c>
      <c r="H973" vm="7729">
        <f ca="1"/>
        <v>45575</v>
      </c>
      <c r="I973" vm="7732">
        <f ca="1"/>
        <v>142.74</v>
      </c>
      <c r="J973" vm="7729">
        <f ca="1"/>
        <v>45575</v>
      </c>
      <c r="K973" vm="7733">
        <f ca="1"/>
        <v>35.409999999999997</v>
      </c>
      <c r="L973" vm="7729">
        <f ca="1"/>
        <v>45575</v>
      </c>
      <c r="M973" vm="7734">
        <f ca="1"/>
        <v>378</v>
      </c>
      <c r="N973" vm="7729">
        <f ca="1"/>
        <v>45575</v>
      </c>
      <c r="O973" vm="7735">
        <f ca="1"/>
        <v>54.71</v>
      </c>
      <c r="P973" vm="7729">
        <f ca="1"/>
        <v>45575</v>
      </c>
      <c r="Q973" vm="7736">
        <f ca="1"/>
        <v>183.34</v>
      </c>
      <c r="R973" s="29">
        <f t="shared" ca="1" si="127"/>
        <v>-3.8806113160542439E-3</v>
      </c>
      <c r="S973" s="30">
        <f t="shared" ca="1" si="128"/>
        <v>-3.2375740994072089E-2</v>
      </c>
      <c r="T973" s="30">
        <f t="shared" ca="1" si="129"/>
        <v>1.9499512512187933E-3</v>
      </c>
      <c r="U973" s="30">
        <f t="shared" ca="1" si="130"/>
        <v>-1.422651933701659E-2</v>
      </c>
      <c r="V973" s="30">
        <f t="shared" ca="1" si="131"/>
        <v>-6.7321178120617669E-3</v>
      </c>
      <c r="W973" s="30">
        <f t="shared" ca="1" si="134"/>
        <v>1.0749237927161832E-2</v>
      </c>
      <c r="X973" s="30">
        <f t="shared" ca="1" si="132"/>
        <v>1.2585600592263551E-2</v>
      </c>
      <c r="Y973" s="31">
        <f t="shared" ca="1" si="133"/>
        <v>-2.9484939918479662E-2</v>
      </c>
    </row>
    <row r="974" spans="2:25" x14ac:dyDescent="0.45">
      <c r="B974" vm="7737">
        <f ca="1"/>
        <v>45576</v>
      </c>
      <c r="C974" vm="7738">
        <f ca="1"/>
        <v>416.32</v>
      </c>
      <c r="D974" vm="7737">
        <f ca="1"/>
        <v>45576</v>
      </c>
      <c r="E974" vm="7739">
        <f ca="1"/>
        <v>21.37</v>
      </c>
      <c r="F974" vm="7737">
        <f ca="1"/>
        <v>45576</v>
      </c>
      <c r="G974" vm="7740">
        <f ca="1"/>
        <v>277.83999999999997</v>
      </c>
      <c r="H974" vm="7737">
        <f ca="1"/>
        <v>45576</v>
      </c>
      <c r="I974" vm="7741">
        <f ca="1"/>
        <v>143.82</v>
      </c>
      <c r="J974" vm="7737">
        <f ca="1"/>
        <v>45576</v>
      </c>
      <c r="K974" vm="7742">
        <f ca="1"/>
        <v>36.61</v>
      </c>
      <c r="L974" vm="7737">
        <f ca="1"/>
        <v>45576</v>
      </c>
      <c r="M974" vm="7743">
        <f ca="1"/>
        <v>373.7</v>
      </c>
      <c r="N974" vm="7737">
        <f ca="1"/>
        <v>45576</v>
      </c>
      <c r="O974" vm="7744">
        <f ca="1"/>
        <v>54.07</v>
      </c>
      <c r="P974" vm="7737">
        <f ca="1"/>
        <v>45576</v>
      </c>
      <c r="Q974" vm="7745">
        <f ca="1"/>
        <v>212.59</v>
      </c>
      <c r="R974" s="29">
        <f t="shared" ca="1" si="127"/>
        <v>1.1542901115814213E-3</v>
      </c>
      <c r="S974" s="30">
        <f t="shared" ca="1" si="128"/>
        <v>7.0688030160227207E-3</v>
      </c>
      <c r="T974" s="30">
        <f t="shared" ca="1" si="129"/>
        <v>1.3334774930621243E-3</v>
      </c>
      <c r="U974" s="30">
        <f t="shared" ca="1" si="130"/>
        <v>7.566204287515651E-3</v>
      </c>
      <c r="V974" s="30">
        <f t="shared" ca="1" si="131"/>
        <v>3.3888731996611209E-2</v>
      </c>
      <c r="W974" s="30">
        <f t="shared" ca="1" si="134"/>
        <v>-1.1375661375661405E-2</v>
      </c>
      <c r="X974" s="30">
        <f t="shared" ca="1" si="132"/>
        <v>-1.1698044233229767E-2</v>
      </c>
      <c r="Y974" s="31">
        <f t="shared" ca="1" si="133"/>
        <v>0.1595396531035235</v>
      </c>
    </row>
    <row r="975" spans="2:25" x14ac:dyDescent="0.45">
      <c r="B975" vm="7746">
        <f ca="1"/>
        <v>45579</v>
      </c>
      <c r="C975" vm="7747">
        <f ca="1"/>
        <v>419.14</v>
      </c>
      <c r="D975" vm="7746">
        <f ca="1"/>
        <v>45579</v>
      </c>
      <c r="E975" vm="7748">
        <f ca="1"/>
        <v>21.26</v>
      </c>
      <c r="F975" vm="7746">
        <f ca="1"/>
        <v>45579</v>
      </c>
      <c r="G975" vm="7749">
        <f ca="1"/>
        <v>280.68</v>
      </c>
      <c r="H975" vm="7746">
        <f ca="1"/>
        <v>45579</v>
      </c>
      <c r="I975" vm="7750">
        <f ca="1"/>
        <v>144.25</v>
      </c>
      <c r="J975" vm="7746">
        <f ca="1"/>
        <v>45579</v>
      </c>
      <c r="K975" vm="7751">
        <f ca="1"/>
        <v>36.42</v>
      </c>
      <c r="L975" vm="7746">
        <f ca="1"/>
        <v>45579</v>
      </c>
      <c r="M975" vm="7752">
        <f ca="1"/>
        <v>372.5</v>
      </c>
      <c r="N975" vm="7746">
        <f ca="1"/>
        <v>45579</v>
      </c>
      <c r="O975" vm="7753">
        <f ca="1"/>
        <v>52.15</v>
      </c>
      <c r="P975" vm="7746">
        <f ca="1"/>
        <v>45579</v>
      </c>
      <c r="Q975" vm="7754">
        <f ca="1"/>
        <v>201.67</v>
      </c>
      <c r="R975" s="29">
        <f t="shared" ca="1" si="127"/>
        <v>6.7736356648731583E-3</v>
      </c>
      <c r="S975" s="30">
        <f t="shared" ca="1" si="128"/>
        <v>-5.1474029012634264E-3</v>
      </c>
      <c r="T975" s="30">
        <f t="shared" ca="1" si="129"/>
        <v>1.0221710336884654E-2</v>
      </c>
      <c r="U975" s="30">
        <f t="shared" ca="1" si="130"/>
        <v>2.9898484216382064E-3</v>
      </c>
      <c r="V975" s="30">
        <f t="shared" ca="1" si="131"/>
        <v>-5.1898388418464281E-3</v>
      </c>
      <c r="W975" s="30">
        <f t="shared" ca="1" si="134"/>
        <v>-3.2111319240031807E-3</v>
      </c>
      <c r="X975" s="30">
        <f t="shared" ca="1" si="132"/>
        <v>-3.5509524690216419E-2</v>
      </c>
      <c r="Y975" s="31">
        <f t="shared" ca="1" si="133"/>
        <v>-5.1366480079025431E-2</v>
      </c>
    </row>
    <row r="976" spans="2:25" x14ac:dyDescent="0.45">
      <c r="B976" vm="7755">
        <f ca="1"/>
        <v>45580</v>
      </c>
      <c r="C976" vm="7756">
        <f ca="1"/>
        <v>418.74</v>
      </c>
      <c r="D976" vm="7755">
        <f ca="1"/>
        <v>45580</v>
      </c>
      <c r="E976" vm="7757">
        <f ca="1"/>
        <v>21.51</v>
      </c>
      <c r="F976" vm="7755">
        <f ca="1"/>
        <v>45580</v>
      </c>
      <c r="G976" vm="7758">
        <f ca="1"/>
        <v>279.29000000000002</v>
      </c>
      <c r="H976" vm="7755">
        <f ca="1"/>
        <v>45580</v>
      </c>
      <c r="I976" vm="7759">
        <f ca="1"/>
        <v>144.58000000000001</v>
      </c>
      <c r="J976" vm="7755">
        <f ca="1"/>
        <v>45580</v>
      </c>
      <c r="K976" vm="7760">
        <f ca="1"/>
        <v>36.97</v>
      </c>
      <c r="L976" vm="7755">
        <f ca="1"/>
        <v>45580</v>
      </c>
      <c r="M976" vm="7692">
        <f ca="1"/>
        <v>372.6</v>
      </c>
      <c r="N976" vm="7755">
        <f ca="1"/>
        <v>45580</v>
      </c>
      <c r="O976" vm="7761">
        <f ca="1"/>
        <v>53.85</v>
      </c>
      <c r="P976" vm="7755">
        <f ca="1"/>
        <v>45580</v>
      </c>
      <c r="Q976" vm="7762">
        <f ca="1"/>
        <v>194.31</v>
      </c>
      <c r="R976" s="29">
        <f t="shared" ca="1" si="127"/>
        <v>-9.5433506704198422E-4</v>
      </c>
      <c r="S976" s="30">
        <f t="shared" ca="1" si="128"/>
        <v>1.1759172154280339E-2</v>
      </c>
      <c r="T976" s="30">
        <f t="shared" ca="1" si="129"/>
        <v>-4.9522588000569558E-3</v>
      </c>
      <c r="U976" s="30">
        <f t="shared" ca="1" si="130"/>
        <v>2.287694974003553E-3</v>
      </c>
      <c r="V976" s="30">
        <f t="shared" ca="1" si="131"/>
        <v>1.5101592531575978E-2</v>
      </c>
      <c r="W976" s="30">
        <f t="shared" ca="1" si="134"/>
        <v>2.6845637583898719E-4</v>
      </c>
      <c r="X976" s="30">
        <f t="shared" ca="1" si="132"/>
        <v>3.2598274209012519E-2</v>
      </c>
      <c r="Y976" s="31">
        <f t="shared" ca="1" si="133"/>
        <v>-3.6495264541081894E-2</v>
      </c>
    </row>
    <row r="977" spans="2:25" x14ac:dyDescent="0.45">
      <c r="B977" vm="7763">
        <f ca="1"/>
        <v>45581</v>
      </c>
      <c r="C977" vm="7764">
        <f ca="1"/>
        <v>416.12</v>
      </c>
      <c r="D977" vm="7763">
        <f ca="1"/>
        <v>45581</v>
      </c>
      <c r="E977" vm="3700">
        <f ca="1"/>
        <v>21.71</v>
      </c>
      <c r="F977" vm="7763">
        <f ca="1"/>
        <v>45581</v>
      </c>
      <c r="G977" vm="7765">
        <f ca="1"/>
        <v>287.52</v>
      </c>
      <c r="H977" vm="7763">
        <f ca="1"/>
        <v>45581</v>
      </c>
      <c r="I977" vm="7766">
        <f ca="1"/>
        <v>139.11000000000001</v>
      </c>
      <c r="J977" vm="7763">
        <f ca="1"/>
        <v>45581</v>
      </c>
      <c r="K977" vm="6965">
        <f ca="1"/>
        <v>37.97</v>
      </c>
      <c r="L977" vm="7763">
        <f ca="1"/>
        <v>45581</v>
      </c>
      <c r="M977" vm="7767">
        <f ca="1"/>
        <v>371.69</v>
      </c>
      <c r="N977" vm="7763">
        <f ca="1"/>
        <v>45581</v>
      </c>
      <c r="O977" vm="7768">
        <f ca="1"/>
        <v>53.33</v>
      </c>
      <c r="P977" vm="7763">
        <f ca="1"/>
        <v>45581</v>
      </c>
      <c r="Q977" vm="7769">
        <f ca="1"/>
        <v>194.09</v>
      </c>
      <c r="R977" s="29">
        <f t="shared" ca="1" si="127"/>
        <v>-6.2568658356020549E-3</v>
      </c>
      <c r="S977" s="30">
        <f t="shared" ca="1" si="128"/>
        <v>9.2980009298000588E-3</v>
      </c>
      <c r="T977" s="30">
        <f t="shared" ca="1" si="129"/>
        <v>2.9467578502631531E-2</v>
      </c>
      <c r="U977" s="30">
        <f t="shared" ca="1" si="130"/>
        <v>-3.7833725273205138E-2</v>
      </c>
      <c r="V977" s="30">
        <f t="shared" ca="1" si="131"/>
        <v>2.7048958615093321E-2</v>
      </c>
      <c r="W977" s="30">
        <f t="shared" ca="1" si="134"/>
        <v>-2.4422973698336689E-3</v>
      </c>
      <c r="X977" s="30">
        <f t="shared" ca="1" si="132"/>
        <v>-9.6564531104921664E-3</v>
      </c>
      <c r="Y977" s="31">
        <f t="shared" ca="1" si="133"/>
        <v>-1.1322114147496211E-3</v>
      </c>
    </row>
    <row r="978" spans="2:25" x14ac:dyDescent="0.45">
      <c r="B978" vm="7770">
        <f ca="1"/>
        <v>45582</v>
      </c>
      <c r="C978" vm="7771">
        <f ca="1"/>
        <v>416.72</v>
      </c>
      <c r="D978" vm="7770">
        <f ca="1"/>
        <v>45582</v>
      </c>
      <c r="E978" vm="7608">
        <f ca="1"/>
        <v>21.73</v>
      </c>
      <c r="F978" vm="7770">
        <f ca="1"/>
        <v>45582</v>
      </c>
      <c r="G978" vm="7772">
        <f ca="1"/>
        <v>290.39</v>
      </c>
      <c r="H978" vm="7770">
        <f ca="1"/>
        <v>45582</v>
      </c>
      <c r="I978" vm="7431">
        <f ca="1"/>
        <v>137.41999999999999</v>
      </c>
      <c r="J978" vm="7770">
        <f ca="1"/>
        <v>45582</v>
      </c>
      <c r="K978" vm="7202">
        <f ca="1"/>
        <v>37.799999999999997</v>
      </c>
      <c r="L978" vm="7770">
        <f ca="1"/>
        <v>45582</v>
      </c>
      <c r="M978" vm="7773">
        <f ca="1"/>
        <v>366.75</v>
      </c>
      <c r="N978" vm="7770">
        <f ca="1"/>
        <v>45582</v>
      </c>
      <c r="O978" vm="7563">
        <f ca="1"/>
        <v>52.45</v>
      </c>
      <c r="P978" vm="7770">
        <f ca="1"/>
        <v>45582</v>
      </c>
      <c r="Q978" vm="7774">
        <f ca="1"/>
        <v>193.42</v>
      </c>
      <c r="R978" s="29">
        <f t="shared" ca="1" si="127"/>
        <v>1.4418917619917879E-3</v>
      </c>
      <c r="S978" s="30">
        <f t="shared" ca="1" si="128"/>
        <v>9.212344541685662E-4</v>
      </c>
      <c r="T978" s="30">
        <f t="shared" ca="1" si="129"/>
        <v>9.981914301613817E-3</v>
      </c>
      <c r="U978" s="30">
        <f t="shared" ca="1" si="130"/>
        <v>-1.2148659334339918E-2</v>
      </c>
      <c r="V978" s="30">
        <f t="shared" ca="1" si="131"/>
        <v>-4.4772188569924074E-3</v>
      </c>
      <c r="W978" s="30">
        <f t="shared" ca="1" si="134"/>
        <v>-1.3290645430331722E-2</v>
      </c>
      <c r="X978" s="30">
        <f t="shared" ca="1" si="132"/>
        <v>-1.6501031314457067E-2</v>
      </c>
      <c r="Y978" s="31">
        <f t="shared" ca="1" si="133"/>
        <v>-3.4520068009687046E-3</v>
      </c>
    </row>
    <row r="979" spans="2:25" x14ac:dyDescent="0.45">
      <c r="B979" vm="7775">
        <f ca="1"/>
        <v>45583</v>
      </c>
      <c r="C979" vm="7776">
        <f ca="1"/>
        <v>418.16</v>
      </c>
      <c r="D979" vm="7775">
        <f ca="1"/>
        <v>45583</v>
      </c>
      <c r="E979" vm="1749">
        <f ca="1"/>
        <v>21.85</v>
      </c>
      <c r="F979" vm="7775">
        <f ca="1"/>
        <v>45583</v>
      </c>
      <c r="G979" vm="7777">
        <f ca="1"/>
        <v>290.62</v>
      </c>
      <c r="H979" vm="7775">
        <f ca="1"/>
        <v>45583</v>
      </c>
      <c r="I979" vm="7778">
        <f ca="1"/>
        <v>138.83000000000001</v>
      </c>
      <c r="J979" vm="7775">
        <f ca="1"/>
        <v>45583</v>
      </c>
      <c r="K979" vm="7499">
        <f ca="1"/>
        <v>37.82</v>
      </c>
      <c r="L979" vm="7775">
        <f ca="1"/>
        <v>45583</v>
      </c>
      <c r="M979" vm="7779">
        <f ca="1"/>
        <v>378.88</v>
      </c>
      <c r="N979" vm="7775">
        <f ca="1"/>
        <v>45583</v>
      </c>
      <c r="O979" vm="7780">
        <f ca="1"/>
        <v>51.21</v>
      </c>
      <c r="P979" vm="7775">
        <f ca="1"/>
        <v>45583</v>
      </c>
      <c r="Q979" vm="7781">
        <f ca="1"/>
        <v>215.86</v>
      </c>
      <c r="R979" s="29">
        <f t="shared" ca="1" si="127"/>
        <v>3.4555576886158516E-3</v>
      </c>
      <c r="S979" s="30">
        <f t="shared" ca="1" si="128"/>
        <v>5.5223193741371834E-3</v>
      </c>
      <c r="T979" s="30">
        <f t="shared" ca="1" si="129"/>
        <v>7.9203829332972282E-4</v>
      </c>
      <c r="U979" s="30">
        <f t="shared" ca="1" si="130"/>
        <v>1.0260515208848967E-2</v>
      </c>
      <c r="V979" s="30">
        <f t="shared" ca="1" si="131"/>
        <v>5.2910052910061186E-4</v>
      </c>
      <c r="W979" s="30">
        <f t="shared" ca="1" si="134"/>
        <v>3.3074301295160181E-2</v>
      </c>
      <c r="X979" s="30">
        <f t="shared" ca="1" si="132"/>
        <v>-2.3641563393708331E-2</v>
      </c>
      <c r="Y979" s="31">
        <f t="shared" ca="1" si="133"/>
        <v>0.11601695791541737</v>
      </c>
    </row>
    <row r="980" spans="2:25" x14ac:dyDescent="0.45">
      <c r="B980" vm="7782">
        <f ca="1"/>
        <v>45586</v>
      </c>
      <c r="C980" vm="7783">
        <f ca="1"/>
        <v>418.78</v>
      </c>
      <c r="D980" vm="7782">
        <f ca="1"/>
        <v>45586</v>
      </c>
      <c r="E980" vm="7784">
        <f ca="1"/>
        <v>21.66</v>
      </c>
      <c r="F980" vm="7782">
        <f ca="1"/>
        <v>45586</v>
      </c>
      <c r="G980" vm="7785">
        <f ca="1"/>
        <v>286.85000000000002</v>
      </c>
      <c r="H980" vm="7782">
        <f ca="1"/>
        <v>45586</v>
      </c>
      <c r="I980" vm="7410">
        <f ca="1"/>
        <v>136.76</v>
      </c>
      <c r="J980" vm="7782">
        <f ca="1"/>
        <v>45586</v>
      </c>
      <c r="K980" vm="7786">
        <f ca="1"/>
        <v>38.92</v>
      </c>
      <c r="L980" vm="7782">
        <f ca="1"/>
        <v>45586</v>
      </c>
      <c r="M980" vm="7787">
        <f ca="1"/>
        <v>381.97</v>
      </c>
      <c r="N980" vm="7782">
        <f ca="1"/>
        <v>45586</v>
      </c>
      <c r="O980" vm="7788">
        <f ca="1"/>
        <v>51.35</v>
      </c>
      <c r="P980" vm="7782">
        <f ca="1"/>
        <v>45586</v>
      </c>
      <c r="Q980" vm="7789">
        <f ca="1"/>
        <v>219.05</v>
      </c>
      <c r="R980" s="29">
        <f t="shared" ca="1" si="127"/>
        <v>1.4826860531852585E-3</v>
      </c>
      <c r="S980" s="30">
        <f t="shared" ca="1" si="128"/>
        <v>-8.6956521739131008E-3</v>
      </c>
      <c r="T980" s="30">
        <f t="shared" ca="1" si="129"/>
        <v>-1.2972266189525778E-2</v>
      </c>
      <c r="U980" s="30">
        <f t="shared" ca="1" si="130"/>
        <v>-1.4910321976518199E-2</v>
      </c>
      <c r="V980" s="30">
        <f t="shared" ca="1" si="131"/>
        <v>2.9085140137493429E-2</v>
      </c>
      <c r="W980" s="30">
        <f t="shared" ca="1" si="134"/>
        <v>8.1556165540541386E-3</v>
      </c>
      <c r="X980" s="30">
        <f t="shared" ca="1" si="132"/>
        <v>2.7338410466705831E-3</v>
      </c>
      <c r="Y980" s="31">
        <f t="shared" ca="1" si="133"/>
        <v>1.4778096914666902E-2</v>
      </c>
    </row>
    <row r="981" spans="2:25" x14ac:dyDescent="0.45">
      <c r="B981" vm="7790">
        <f ca="1"/>
        <v>45587</v>
      </c>
      <c r="C981" vm="7791">
        <f ca="1"/>
        <v>427.51</v>
      </c>
      <c r="D981" vm="7790">
        <f ca="1"/>
        <v>45587</v>
      </c>
      <c r="E981" vm="1348">
        <f ca="1"/>
        <v>21.5</v>
      </c>
      <c r="F981" vm="7790">
        <f ca="1"/>
        <v>45587</v>
      </c>
      <c r="G981" vm="7792">
        <f ca="1"/>
        <v>284.79000000000002</v>
      </c>
      <c r="H981" vm="7790">
        <f ca="1"/>
        <v>45587</v>
      </c>
      <c r="I981" vm="7793">
        <f ca="1"/>
        <v>133.46</v>
      </c>
      <c r="J981" vm="7790">
        <f ca="1"/>
        <v>45587</v>
      </c>
      <c r="K981" vm="7786">
        <f ca="1"/>
        <v>38.92</v>
      </c>
      <c r="L981" vm="7790">
        <f ca="1"/>
        <v>45587</v>
      </c>
      <c r="M981" vm="7794">
        <f ca="1"/>
        <v>387.63</v>
      </c>
      <c r="N981" vm="7790">
        <f ca="1"/>
        <v>45587</v>
      </c>
      <c r="O981" vm="7795">
        <f ca="1"/>
        <v>51.15</v>
      </c>
      <c r="P981" vm="7790">
        <f ca="1"/>
        <v>45587</v>
      </c>
      <c r="Q981" vm="7796">
        <f ca="1"/>
        <v>219.7</v>
      </c>
      <c r="R981" s="29">
        <f t="shared" ca="1" si="127"/>
        <v>2.0846267730073115E-2</v>
      </c>
      <c r="S981" s="30">
        <f t="shared" ca="1" si="128"/>
        <v>-7.3868882733148728E-3</v>
      </c>
      <c r="T981" s="30">
        <f t="shared" ca="1" si="129"/>
        <v>-7.1814537214572151E-3</v>
      </c>
      <c r="U981" s="30">
        <f t="shared" ca="1" si="130"/>
        <v>-2.4129862532904237E-2</v>
      </c>
      <c r="V981" s="30">
        <f t="shared" ca="1" si="131"/>
        <v>0</v>
      </c>
      <c r="W981" s="30">
        <f t="shared" ca="1" si="134"/>
        <v>1.4817917637510714E-2</v>
      </c>
      <c r="X981" s="30">
        <f t="shared" ca="1" si="132"/>
        <v>-3.8948393378773678E-3</v>
      </c>
      <c r="Y981" s="31">
        <f t="shared" ca="1" si="133"/>
        <v>2.9673590504449999E-3</v>
      </c>
    </row>
    <row r="982" spans="2:25" x14ac:dyDescent="0.45">
      <c r="B982" vm="7797">
        <f ca="1"/>
        <v>45588</v>
      </c>
      <c r="C982" vm="7798">
        <f ca="1"/>
        <v>424.6</v>
      </c>
      <c r="D982" vm="7797">
        <f ca="1"/>
        <v>45588</v>
      </c>
      <c r="E982" vm="7799">
        <f ca="1"/>
        <v>22.49</v>
      </c>
      <c r="F982" vm="7797">
        <f ca="1"/>
        <v>45588</v>
      </c>
      <c r="G982" vm="7800">
        <f ca="1"/>
        <v>283.76</v>
      </c>
      <c r="H982" vm="7797">
        <f ca="1"/>
        <v>45588</v>
      </c>
      <c r="I982" vm="7099">
        <f ca="1"/>
        <v>133.03</v>
      </c>
      <c r="J982" vm="7797">
        <f ca="1"/>
        <v>45588</v>
      </c>
      <c r="K982" vm="7801">
        <f ca="1"/>
        <v>39.51</v>
      </c>
      <c r="L982" vm="7797">
        <f ca="1"/>
        <v>45588</v>
      </c>
      <c r="M982" vm="7802">
        <f ca="1"/>
        <v>379.84</v>
      </c>
      <c r="N982" vm="7797">
        <f ca="1"/>
        <v>45588</v>
      </c>
      <c r="O982" vm="6880">
        <f ca="1"/>
        <v>53.72</v>
      </c>
      <c r="P982" vm="7797">
        <f ca="1"/>
        <v>45588</v>
      </c>
      <c r="Q982" vm="7803">
        <f ca="1"/>
        <v>213.95</v>
      </c>
      <c r="R982" s="29">
        <f t="shared" ca="1" si="127"/>
        <v>-6.8068583191035724E-3</v>
      </c>
      <c r="S982" s="30">
        <f t="shared" ca="1" si="128"/>
        <v>4.6046511627906905E-2</v>
      </c>
      <c r="T982" s="30">
        <f t="shared" ca="1" si="129"/>
        <v>-3.6167000245796183E-3</v>
      </c>
      <c r="U982" s="30">
        <f t="shared" ca="1" si="130"/>
        <v>-3.2219391578001406E-3</v>
      </c>
      <c r="V982" s="30">
        <f t="shared" ca="1" si="131"/>
        <v>1.5159301130524057E-2</v>
      </c>
      <c r="W982" s="30">
        <f t="shared" ca="1" si="134"/>
        <v>-2.0096483760286925E-2</v>
      </c>
      <c r="X982" s="30">
        <f t="shared" ca="1" si="132"/>
        <v>5.0244379276637351E-2</v>
      </c>
      <c r="Y982" s="31">
        <f t="shared" ca="1" si="133"/>
        <v>-2.6172052799271737E-2</v>
      </c>
    </row>
    <row r="983" spans="2:25" x14ac:dyDescent="0.45">
      <c r="B983" vm="7804">
        <f ca="1"/>
        <v>45589</v>
      </c>
      <c r="C983" vm="7805">
        <f ca="1"/>
        <v>424.73</v>
      </c>
      <c r="D983" vm="7804">
        <f ca="1"/>
        <v>45589</v>
      </c>
      <c r="E983" vm="2521">
        <f ca="1"/>
        <v>22.2</v>
      </c>
      <c r="F983" vm="7804">
        <f ca="1"/>
        <v>45589</v>
      </c>
      <c r="G983" vm="2983">
        <f ca="1"/>
        <v>283.22000000000003</v>
      </c>
      <c r="H983" vm="7804">
        <f ca="1"/>
        <v>45589</v>
      </c>
      <c r="I983" vm="753">
        <f ca="1"/>
        <v>130.69</v>
      </c>
      <c r="J983" vm="7804">
        <f ca="1"/>
        <v>45589</v>
      </c>
      <c r="K983" vm="7806">
        <f ca="1"/>
        <v>39.5</v>
      </c>
      <c r="L983" vm="7804">
        <f ca="1"/>
        <v>45589</v>
      </c>
      <c r="M983" vm="7807">
        <f ca="1"/>
        <v>376.87</v>
      </c>
      <c r="N983" vm="7804">
        <f ca="1"/>
        <v>45589</v>
      </c>
      <c r="O983" vm="7808">
        <f ca="1"/>
        <v>52.81</v>
      </c>
      <c r="P983" vm="7804">
        <f ca="1"/>
        <v>45589</v>
      </c>
      <c r="Q983" vm="7809">
        <f ca="1"/>
        <v>235.89</v>
      </c>
      <c r="R983" s="29">
        <f t="shared" ca="1" si="127"/>
        <v>3.061705134243887E-4</v>
      </c>
      <c r="S983" s="30">
        <f t="shared" ca="1" si="128"/>
        <v>-1.2894619831035979E-2</v>
      </c>
      <c r="T983" s="30">
        <f t="shared" ca="1" si="129"/>
        <v>-1.903016633774893E-3</v>
      </c>
      <c r="U983" s="30">
        <f t="shared" ca="1" si="130"/>
        <v>-1.7590017289333258E-2</v>
      </c>
      <c r="V983" s="30">
        <f t="shared" ca="1" si="131"/>
        <v>-2.5310048089086334E-4</v>
      </c>
      <c r="W983" s="30">
        <f t="shared" ca="1" si="134"/>
        <v>-7.8190817186182884E-3</v>
      </c>
      <c r="X983" s="30">
        <f t="shared" ca="1" si="132"/>
        <v>-1.6939687267311924E-2</v>
      </c>
      <c r="Y983" s="31">
        <f t="shared" ca="1" si="133"/>
        <v>0.10254732414115447</v>
      </c>
    </row>
    <row r="984" spans="2:25" x14ac:dyDescent="0.45">
      <c r="B984" vm="7810">
        <f ca="1"/>
        <v>45590</v>
      </c>
      <c r="C984" vm="7811">
        <f ca="1"/>
        <v>428.15</v>
      </c>
      <c r="D984" vm="7810">
        <f ca="1"/>
        <v>45590</v>
      </c>
      <c r="E984" vm="7812">
        <f ca="1"/>
        <v>21.83</v>
      </c>
      <c r="F984" vm="7810">
        <f ca="1"/>
        <v>45590</v>
      </c>
      <c r="G984" vm="7813">
        <f ca="1"/>
        <v>281.73</v>
      </c>
      <c r="H984" vm="7810">
        <f ca="1"/>
        <v>45590</v>
      </c>
      <c r="I984" vm="7814">
        <f ca="1"/>
        <v>130.19</v>
      </c>
      <c r="J984" vm="7810">
        <f ca="1"/>
        <v>45590</v>
      </c>
      <c r="K984" vm="7249">
        <f ca="1"/>
        <v>38.79</v>
      </c>
      <c r="L984" vm="7810">
        <f ca="1"/>
        <v>45590</v>
      </c>
      <c r="M984" vm="7651">
        <f ca="1"/>
        <v>379.16</v>
      </c>
      <c r="N984" vm="7810">
        <f ca="1"/>
        <v>45590</v>
      </c>
      <c r="O984" vm="7815">
        <f ca="1"/>
        <v>55.29</v>
      </c>
      <c r="P984" vm="7810">
        <f ca="1"/>
        <v>45590</v>
      </c>
      <c r="Q984" vm="1615">
        <f ca="1"/>
        <v>234.34</v>
      </c>
      <c r="R984" s="29">
        <f t="shared" ca="1" si="127"/>
        <v>8.0521743225106749E-3</v>
      </c>
      <c r="S984" s="30">
        <f t="shared" ca="1" si="128"/>
        <v>-1.6666666666666712E-2</v>
      </c>
      <c r="T984" s="30">
        <f t="shared" ca="1" si="129"/>
        <v>-5.2609279005720253E-3</v>
      </c>
      <c r="U984" s="30">
        <f t="shared" ca="1" si="130"/>
        <v>-3.8258474252046829E-3</v>
      </c>
      <c r="V984" s="30">
        <f t="shared" ca="1" si="131"/>
        <v>-1.7974683544303819E-2</v>
      </c>
      <c r="W984" s="30">
        <f t="shared" ca="1" si="134"/>
        <v>6.0763658556001283E-3</v>
      </c>
      <c r="X984" s="30">
        <f t="shared" ca="1" si="132"/>
        <v>4.6960802878242697E-2</v>
      </c>
      <c r="Y984" s="31">
        <f t="shared" ca="1" si="133"/>
        <v>-6.5708592988256518E-3</v>
      </c>
    </row>
    <row r="985" spans="2:25" x14ac:dyDescent="0.45">
      <c r="B985" vm="7816">
        <f ca="1"/>
        <v>45593</v>
      </c>
      <c r="C985" vm="7817">
        <f ca="1"/>
        <v>426.59</v>
      </c>
      <c r="D985" vm="7816">
        <f ca="1"/>
        <v>45593</v>
      </c>
      <c r="E985" vm="1875">
        <f ca="1"/>
        <v>22.11</v>
      </c>
      <c r="F985" vm="7816">
        <f ca="1"/>
        <v>45593</v>
      </c>
      <c r="G985" vm="7818">
        <f ca="1"/>
        <v>284.19</v>
      </c>
      <c r="H985" vm="7816">
        <f ca="1"/>
        <v>45593</v>
      </c>
      <c r="I985" vm="7819">
        <f ca="1"/>
        <v>131.54</v>
      </c>
      <c r="J985" vm="7816">
        <f ca="1"/>
        <v>45593</v>
      </c>
      <c r="K985" vm="7820">
        <f ca="1"/>
        <v>38.43</v>
      </c>
      <c r="L985" vm="7816">
        <f ca="1"/>
        <v>45593</v>
      </c>
      <c r="M985" vm="7821">
        <f ca="1"/>
        <v>384.36</v>
      </c>
      <c r="N985" vm="7816">
        <f ca="1"/>
        <v>45593</v>
      </c>
      <c r="O985" vm="7684">
        <f ca="1"/>
        <v>52.71</v>
      </c>
      <c r="P985" vm="7816">
        <f ca="1"/>
        <v>45593</v>
      </c>
      <c r="Q985" vm="7822">
        <f ca="1"/>
        <v>255.34</v>
      </c>
      <c r="R985" s="29">
        <f t="shared" ca="1" si="127"/>
        <v>-3.6435828564755396E-3</v>
      </c>
      <c r="S985" s="30">
        <f t="shared" ca="1" si="128"/>
        <v>1.2826385707741693E-2</v>
      </c>
      <c r="T985" s="30">
        <f t="shared" ca="1" si="129"/>
        <v>8.7317644553294976E-3</v>
      </c>
      <c r="U985" s="30">
        <f t="shared" ca="1" si="130"/>
        <v>1.0369460019970769E-2</v>
      </c>
      <c r="V985" s="30">
        <f t="shared" ca="1" si="131"/>
        <v>-9.2807424593967375E-3</v>
      </c>
      <c r="W985" s="30">
        <f t="shared" ca="1" si="134"/>
        <v>1.3714526848823684E-2</v>
      </c>
      <c r="X985" s="30">
        <f t="shared" ca="1" si="132"/>
        <v>-4.6663049376017333E-2</v>
      </c>
      <c r="Y985" s="31">
        <f t="shared" ca="1" si="133"/>
        <v>8.9613382265084918E-2</v>
      </c>
    </row>
    <row r="986" spans="2:25" x14ac:dyDescent="0.45">
      <c r="B986" vm="7823">
        <f ca="1"/>
        <v>45594</v>
      </c>
      <c r="C986" vm="7824">
        <f ca="1"/>
        <v>431.95</v>
      </c>
      <c r="D986" vm="7823">
        <f ca="1"/>
        <v>45594</v>
      </c>
      <c r="E986" vm="2529">
        <f ca="1"/>
        <v>22.18</v>
      </c>
      <c r="F986" vm="7823">
        <f ca="1"/>
        <v>45594</v>
      </c>
      <c r="G986" vm="7825">
        <f ca="1"/>
        <v>281.88</v>
      </c>
      <c r="H986" vm="7823">
        <f ca="1"/>
        <v>45594</v>
      </c>
      <c r="I986" vm="7826">
        <f ca="1"/>
        <v>131.22999999999999</v>
      </c>
      <c r="J986" vm="7823">
        <f ca="1"/>
        <v>45594</v>
      </c>
      <c r="K986" vm="7827">
        <f ca="1"/>
        <v>39.46</v>
      </c>
      <c r="L986" vm="7823">
        <f ca="1"/>
        <v>45594</v>
      </c>
      <c r="M986" vm="7828">
        <f ca="1"/>
        <v>391.23</v>
      </c>
      <c r="N986" vm="7823">
        <f ca="1"/>
        <v>45594</v>
      </c>
      <c r="O986" vm="7829">
        <f ca="1"/>
        <v>52.48</v>
      </c>
      <c r="P986" vm="7823">
        <f ca="1"/>
        <v>45594</v>
      </c>
      <c r="Q986" vm="7830">
        <f ca="1"/>
        <v>258.24</v>
      </c>
      <c r="R986" s="29">
        <f t="shared" ca="1" si="127"/>
        <v>1.2564757729904626E-2</v>
      </c>
      <c r="S986" s="30">
        <f t="shared" ca="1" si="128"/>
        <v>3.1659882406151192E-3</v>
      </c>
      <c r="T986" s="30">
        <f t="shared" ca="1" si="129"/>
        <v>-8.1283648263485771E-3</v>
      </c>
      <c r="U986" s="30">
        <f t="shared" ca="1" si="130"/>
        <v>-2.3566975824844327E-3</v>
      </c>
      <c r="V986" s="30">
        <f t="shared" ca="1" si="131"/>
        <v>2.6801977621649781E-2</v>
      </c>
      <c r="W986" s="30">
        <f t="shared" ca="1" si="134"/>
        <v>1.7873868248517027E-2</v>
      </c>
      <c r="X986" s="30">
        <f t="shared" ca="1" si="132"/>
        <v>-4.3634983874028454E-3</v>
      </c>
      <c r="Y986" s="31">
        <f t="shared" ca="1" si="133"/>
        <v>1.135740581185872E-2</v>
      </c>
    </row>
    <row r="987" spans="2:25" x14ac:dyDescent="0.45">
      <c r="B987" vm="7831">
        <f ca="1"/>
        <v>45595</v>
      </c>
      <c r="C987" vm="7832">
        <f ca="1"/>
        <v>432.53</v>
      </c>
      <c r="D987" vm="7831">
        <f ca="1"/>
        <v>45595</v>
      </c>
      <c r="E987" vm="763">
        <f ca="1"/>
        <v>22.02</v>
      </c>
      <c r="F987" vm="7831">
        <f ca="1"/>
        <v>45595</v>
      </c>
      <c r="G987" vm="7302">
        <f ca="1"/>
        <v>290.16000000000003</v>
      </c>
      <c r="H987" vm="7831">
        <f ca="1"/>
        <v>45595</v>
      </c>
      <c r="I987" vm="6543">
        <f ca="1"/>
        <v>131.49</v>
      </c>
      <c r="J987" vm="7831">
        <f ca="1"/>
        <v>45595</v>
      </c>
      <c r="K987" vm="7833">
        <f ca="1"/>
        <v>39.53</v>
      </c>
      <c r="L987" vm="7831">
        <f ca="1"/>
        <v>45595</v>
      </c>
      <c r="M987" vm="7834">
        <f ca="1"/>
        <v>394.02</v>
      </c>
      <c r="N987" vm="7831">
        <f ca="1"/>
        <v>45595</v>
      </c>
      <c r="O987" vm="7835">
        <f ca="1"/>
        <v>53.76</v>
      </c>
      <c r="P987" vm="7831">
        <f ca="1"/>
        <v>45595</v>
      </c>
      <c r="Q987" vm="7836">
        <f ca="1"/>
        <v>247.31</v>
      </c>
      <c r="R987" s="29">
        <f t="shared" ca="1" si="127"/>
        <v>1.342748003241079E-3</v>
      </c>
      <c r="S987" s="30">
        <f t="shared" ca="1" si="128"/>
        <v>-7.2137060414788163E-3</v>
      </c>
      <c r="T987" s="30">
        <f t="shared" ca="1" si="129"/>
        <v>2.9374201787994998E-2</v>
      </c>
      <c r="U987" s="30">
        <f t="shared" ca="1" si="130"/>
        <v>1.9812542863675937E-3</v>
      </c>
      <c r="V987" s="30">
        <f t="shared" ca="1" si="131"/>
        <v>1.7739483020780609E-3</v>
      </c>
      <c r="W987" s="30">
        <f t="shared" ca="1" si="134"/>
        <v>7.1313549574418206E-3</v>
      </c>
      <c r="X987" s="30">
        <f t="shared" ca="1" si="132"/>
        <v>2.4390243902439046E-2</v>
      </c>
      <c r="Y987" s="31">
        <f t="shared" ca="1" si="133"/>
        <v>-4.2324969021065702E-2</v>
      </c>
    </row>
    <row r="988" spans="2:25" x14ac:dyDescent="0.45">
      <c r="B988" vm="7837">
        <f ca="1"/>
        <v>45596</v>
      </c>
      <c r="C988" vm="7838">
        <f ca="1"/>
        <v>406.35</v>
      </c>
      <c r="D988" vm="7837">
        <f ca="1"/>
        <v>45596</v>
      </c>
      <c r="E988" vm="7839">
        <f ca="1"/>
        <v>22.54</v>
      </c>
      <c r="F988" vm="7837">
        <f ca="1"/>
        <v>45596</v>
      </c>
      <c r="G988" vm="7840">
        <f ca="1"/>
        <v>289.85000000000002</v>
      </c>
      <c r="H988" vm="7837">
        <f ca="1"/>
        <v>45596</v>
      </c>
      <c r="I988" vm="2716">
        <f ca="1"/>
        <v>130.31</v>
      </c>
      <c r="J988" vm="7837">
        <f ca="1"/>
        <v>45596</v>
      </c>
      <c r="K988" vm="6654">
        <f ca="1"/>
        <v>38.85</v>
      </c>
      <c r="L988" vm="7837">
        <f ca="1"/>
        <v>45596</v>
      </c>
      <c r="M988" vm="7841">
        <f ca="1"/>
        <v>385.1</v>
      </c>
      <c r="N988" vm="7837">
        <f ca="1"/>
        <v>45596</v>
      </c>
      <c r="O988" vm="7842">
        <f ca="1"/>
        <v>57.87</v>
      </c>
      <c r="P988" vm="7837">
        <f ca="1"/>
        <v>45596</v>
      </c>
      <c r="Q988" vm="7843">
        <f ca="1"/>
        <v>244.5</v>
      </c>
      <c r="R988" s="29">
        <f t="shared" ca="1" si="127"/>
        <v>-6.0527593461725086E-2</v>
      </c>
      <c r="S988" s="30">
        <f t="shared" ca="1" si="128"/>
        <v>2.3614895549500435E-2</v>
      </c>
      <c r="T988" s="30">
        <f t="shared" ca="1" si="129"/>
        <v>-1.0683760683760761E-3</v>
      </c>
      <c r="U988" s="30">
        <f t="shared" ca="1" si="130"/>
        <v>-8.9740664689330497E-3</v>
      </c>
      <c r="V988" s="30">
        <f t="shared" ca="1" si="131"/>
        <v>-1.7202124968378439E-2</v>
      </c>
      <c r="W988" s="30">
        <f t="shared" ca="1" si="134"/>
        <v>-2.263844474899741E-2</v>
      </c>
      <c r="X988" s="30">
        <f t="shared" ca="1" si="132"/>
        <v>7.6450892857142849E-2</v>
      </c>
      <c r="Y988" s="31">
        <f t="shared" ca="1" si="133"/>
        <v>-1.1362257894949667E-2</v>
      </c>
    </row>
    <row r="989" spans="2:25" x14ac:dyDescent="0.45">
      <c r="B989" vm="7844">
        <f ca="1"/>
        <v>45597</v>
      </c>
      <c r="C989" vm="7845">
        <f ca="1"/>
        <v>410.37</v>
      </c>
      <c r="D989" vm="7844">
        <f ca="1"/>
        <v>45597</v>
      </c>
      <c r="E989" vm="7846">
        <f ca="1"/>
        <v>22.12</v>
      </c>
      <c r="F989" vm="7844">
        <f ca="1"/>
        <v>45597</v>
      </c>
      <c r="G989" vm="7847">
        <f ca="1"/>
        <v>290.74</v>
      </c>
      <c r="H989" vm="7844">
        <f ca="1"/>
        <v>45597</v>
      </c>
      <c r="I989" vm="7848">
        <f ca="1"/>
        <v>136.87</v>
      </c>
      <c r="J989" vm="7844">
        <f ca="1"/>
        <v>45597</v>
      </c>
      <c r="K989" vm="7849">
        <f ca="1"/>
        <v>38.630000000000003</v>
      </c>
      <c r="L989" vm="7844">
        <f ca="1"/>
        <v>45597</v>
      </c>
      <c r="M989" vm="7850">
        <f ca="1"/>
        <v>384.5</v>
      </c>
      <c r="N989" vm="7844">
        <f ca="1"/>
        <v>45597</v>
      </c>
      <c r="O989" vm="7851">
        <f ca="1"/>
        <v>56.85</v>
      </c>
      <c r="P989" vm="7844">
        <f ca="1"/>
        <v>45597</v>
      </c>
      <c r="Q989" vm="7852">
        <f ca="1"/>
        <v>229.71</v>
      </c>
      <c r="R989" s="29">
        <f t="shared" ca="1" si="127"/>
        <v>9.8929494278331039E-3</v>
      </c>
      <c r="S989" s="30">
        <f t="shared" ca="1" si="128"/>
        <v>-1.8633540372670725E-2</v>
      </c>
      <c r="T989" s="30">
        <f t="shared" ca="1" si="129"/>
        <v>3.0705537346903096E-3</v>
      </c>
      <c r="U989" s="30">
        <f t="shared" ca="1" si="130"/>
        <v>5.0341493361982979E-2</v>
      </c>
      <c r="V989" s="30">
        <f t="shared" ca="1" si="131"/>
        <v>-5.6628056628056332E-3</v>
      </c>
      <c r="W989" s="30">
        <f t="shared" ca="1" si="134"/>
        <v>-1.5580368735393993E-3</v>
      </c>
      <c r="X989" s="30">
        <f t="shared" ca="1" si="132"/>
        <v>-1.7625712804561881E-2</v>
      </c>
      <c r="Y989" s="31">
        <f t="shared" ca="1" si="133"/>
        <v>-6.0490797546012234E-2</v>
      </c>
    </row>
    <row r="990" spans="2:25" x14ac:dyDescent="0.45">
      <c r="B990" vm="7853">
        <f ca="1"/>
        <v>45600</v>
      </c>
      <c r="C990" vm="7854">
        <f ca="1"/>
        <v>408.46</v>
      </c>
      <c r="D990" vm="7853">
        <f ca="1"/>
        <v>45600</v>
      </c>
      <c r="E990" vm="5123">
        <f ca="1"/>
        <v>21.92</v>
      </c>
      <c r="F990" vm="7853">
        <f ca="1"/>
        <v>45600</v>
      </c>
      <c r="G990" vm="7855">
        <f ca="1"/>
        <v>291.85000000000002</v>
      </c>
      <c r="H990" vm="7853">
        <f ca="1"/>
        <v>45600</v>
      </c>
      <c r="I990" vm="7856">
        <f ca="1"/>
        <v>139.65</v>
      </c>
      <c r="J990" vm="7853">
        <f ca="1"/>
        <v>45600</v>
      </c>
      <c r="K990" vm="6646">
        <f ca="1"/>
        <v>38.26</v>
      </c>
      <c r="L990" vm="7853">
        <f ca="1"/>
        <v>45600</v>
      </c>
      <c r="M990" vm="7857">
        <f ca="1"/>
        <v>377.73</v>
      </c>
      <c r="N990" vm="7853">
        <f ca="1"/>
        <v>45600</v>
      </c>
      <c r="O990" vm="7858">
        <f ca="1"/>
        <v>54.47</v>
      </c>
      <c r="P990" vm="7853">
        <f ca="1"/>
        <v>45600</v>
      </c>
      <c r="Q990" vm="7859">
        <f ca="1"/>
        <v>222.99</v>
      </c>
      <c r="R990" s="29">
        <f t="shared" ca="1" si="127"/>
        <v>-4.6543363306285179E-3</v>
      </c>
      <c r="S990" s="30">
        <f t="shared" ca="1" si="128"/>
        <v>-9.0415913200723001E-3</v>
      </c>
      <c r="T990" s="30">
        <f t="shared" ca="1" si="129"/>
        <v>3.8178441218958987E-3</v>
      </c>
      <c r="U990" s="30">
        <f t="shared" ca="1" si="130"/>
        <v>2.031124424636517E-2</v>
      </c>
      <c r="V990" s="30">
        <f t="shared" ca="1" si="131"/>
        <v>-9.5780481491070293E-3</v>
      </c>
      <c r="W990" s="30">
        <f t="shared" ca="1" si="134"/>
        <v>-1.7607282184655348E-2</v>
      </c>
      <c r="X990" s="30">
        <f t="shared" ca="1" si="132"/>
        <v>-4.1864555848724755E-2</v>
      </c>
      <c r="Y990" s="31">
        <f t="shared" ca="1" si="133"/>
        <v>-2.925427713203604E-2</v>
      </c>
    </row>
    <row r="991" spans="2:25" x14ac:dyDescent="0.45">
      <c r="B991" vm="7860">
        <f ca="1"/>
        <v>45601</v>
      </c>
      <c r="C991" vm="7861">
        <f ca="1"/>
        <v>411.46</v>
      </c>
      <c r="D991" vm="7860">
        <f ca="1"/>
        <v>45601</v>
      </c>
      <c r="E991" vm="7688">
        <f ca="1"/>
        <v>22.05</v>
      </c>
      <c r="F991" vm="7860">
        <f ca="1"/>
        <v>45601</v>
      </c>
      <c r="G991" vm="7862">
        <f ca="1"/>
        <v>293.29000000000002</v>
      </c>
      <c r="H991" vm="7860">
        <f ca="1"/>
        <v>45601</v>
      </c>
      <c r="I991" vm="7863">
        <f ca="1"/>
        <v>140.41</v>
      </c>
      <c r="J991" vm="7860">
        <f ca="1"/>
        <v>45601</v>
      </c>
      <c r="K991" vm="7864">
        <f ca="1"/>
        <v>39.08</v>
      </c>
      <c r="L991" vm="7860">
        <f ca="1"/>
        <v>45601</v>
      </c>
      <c r="M991" vm="7865">
        <f ca="1"/>
        <v>382.63</v>
      </c>
      <c r="N991" vm="7860">
        <f ca="1"/>
        <v>45601</v>
      </c>
      <c r="O991" vm="7866">
        <f ca="1"/>
        <v>51.55</v>
      </c>
      <c r="P991" vm="7860">
        <f ca="1"/>
        <v>45601</v>
      </c>
      <c r="Q991" vm="7867">
        <f ca="1"/>
        <v>227.8</v>
      </c>
      <c r="R991" s="29">
        <f t="shared" ca="1" si="127"/>
        <v>7.3446604318660336E-3</v>
      </c>
      <c r="S991" s="30">
        <f t="shared" ca="1" si="128"/>
        <v>5.9306569343065231E-3</v>
      </c>
      <c r="T991" s="30">
        <f t="shared" ca="1" si="129"/>
        <v>4.9340414596539236E-3</v>
      </c>
      <c r="U991" s="30">
        <f t="shared" ca="1" si="130"/>
        <v>5.4421768707482339E-3</v>
      </c>
      <c r="V991" s="30">
        <f t="shared" ca="1" si="131"/>
        <v>2.1432305279665456E-2</v>
      </c>
      <c r="W991" s="30">
        <f t="shared" ca="1" si="134"/>
        <v>1.2972228840706264E-2</v>
      </c>
      <c r="X991" s="30">
        <f t="shared" ca="1" si="132"/>
        <v>-5.3607490361667003E-2</v>
      </c>
      <c r="Y991" s="31">
        <f t="shared" ca="1" si="133"/>
        <v>2.1570474012287556E-2</v>
      </c>
    </row>
    <row r="992" spans="2:25" x14ac:dyDescent="0.45">
      <c r="B992" vm="7868">
        <f ca="1"/>
        <v>45602</v>
      </c>
      <c r="C992" vm="7869">
        <f ca="1"/>
        <v>420.18</v>
      </c>
      <c r="D992" vm="7868">
        <f ca="1"/>
        <v>45602</v>
      </c>
      <c r="E992" vm="7870">
        <f ca="1"/>
        <v>22.32</v>
      </c>
      <c r="F992" vm="7868">
        <f ca="1"/>
        <v>45602</v>
      </c>
      <c r="G992" vm="7871">
        <f ca="1"/>
        <v>307.39999999999998</v>
      </c>
      <c r="H992" vm="7868">
        <f ca="1"/>
        <v>45602</v>
      </c>
      <c r="I992" vm="7872">
        <f ca="1"/>
        <v>137.78</v>
      </c>
      <c r="J992" vm="7868">
        <f ca="1"/>
        <v>45602</v>
      </c>
      <c r="K992" vm="7873">
        <f ca="1"/>
        <v>42.31</v>
      </c>
      <c r="L992" vm="7868">
        <f ca="1"/>
        <v>45602</v>
      </c>
      <c r="M992" vm="7874">
        <f ca="1"/>
        <v>391.16</v>
      </c>
      <c r="N992" vm="7868">
        <f ca="1"/>
        <v>45602</v>
      </c>
      <c r="O992" vm="7875">
        <f ca="1"/>
        <v>46.74</v>
      </c>
      <c r="P992" vm="7868">
        <f ca="1"/>
        <v>45602</v>
      </c>
      <c r="Q992" vm="7876">
        <f ca="1"/>
        <v>257.81</v>
      </c>
      <c r="R992" s="29">
        <f t="shared" ca="1" si="127"/>
        <v>2.119282554804848E-2</v>
      </c>
      <c r="S992" s="30">
        <f t="shared" ca="1" si="128"/>
        <v>1.2244897959183654E-2</v>
      </c>
      <c r="T992" s="30">
        <f t="shared" ca="1" si="129"/>
        <v>4.8109379794742252E-2</v>
      </c>
      <c r="U992" s="30">
        <f t="shared" ca="1" si="130"/>
        <v>-1.8730859625382776E-2</v>
      </c>
      <c r="V992" s="30">
        <f t="shared" ca="1" si="131"/>
        <v>8.2650972364380862E-2</v>
      </c>
      <c r="W992" s="30">
        <f t="shared" ca="1" si="134"/>
        <v>2.2293076862765673E-2</v>
      </c>
      <c r="X992" s="30">
        <f t="shared" ca="1" si="132"/>
        <v>-9.3307468477206501E-2</v>
      </c>
      <c r="Y992" s="31">
        <f t="shared" ca="1" si="133"/>
        <v>0.13173836698858643</v>
      </c>
    </row>
    <row r="993" spans="2:25" x14ac:dyDescent="0.45">
      <c r="B993" vm="7877">
        <f ca="1"/>
        <v>45603</v>
      </c>
      <c r="C993" vm="7878">
        <f ca="1"/>
        <v>425.43</v>
      </c>
      <c r="D993" vm="7877">
        <f ca="1"/>
        <v>45603</v>
      </c>
      <c r="E993" vm="624">
        <f ca="1"/>
        <v>22.04</v>
      </c>
      <c r="F993" vm="7877">
        <f ca="1"/>
        <v>45603</v>
      </c>
      <c r="G993" vm="7879">
        <f ca="1"/>
        <v>305.8</v>
      </c>
      <c r="H993" vm="7877">
        <f ca="1"/>
        <v>45603</v>
      </c>
      <c r="I993" vm="7880">
        <f ca="1"/>
        <v>139.63</v>
      </c>
      <c r="J993" vm="7877">
        <f ca="1"/>
        <v>45603</v>
      </c>
      <c r="K993" vm="7881">
        <f ca="1"/>
        <v>41.99</v>
      </c>
      <c r="L993" vm="7877">
        <f ca="1"/>
        <v>45603</v>
      </c>
      <c r="M993" vm="2919">
        <f ca="1"/>
        <v>399.84</v>
      </c>
      <c r="N993" vm="7877">
        <f ca="1"/>
        <v>45603</v>
      </c>
      <c r="O993" vm="7882">
        <f ca="1"/>
        <v>45.09</v>
      </c>
      <c r="P993" vm="7877">
        <f ca="1"/>
        <v>45603</v>
      </c>
      <c r="Q993" vm="7883">
        <f ca="1"/>
        <v>270.81</v>
      </c>
      <c r="R993" s="29">
        <f t="shared" ca="1" si="127"/>
        <v>1.2494645152077681E-2</v>
      </c>
      <c r="S993" s="30">
        <f t="shared" ca="1" si="128"/>
        <v>-1.2544802867383563E-2</v>
      </c>
      <c r="T993" s="30">
        <f t="shared" ca="1" si="129"/>
        <v>-5.2049446974624788E-3</v>
      </c>
      <c r="U993" s="30">
        <f t="shared" ca="1" si="130"/>
        <v>1.3427202787051781E-2</v>
      </c>
      <c r="V993" s="30">
        <f t="shared" ca="1" si="131"/>
        <v>-7.5632238241550524E-3</v>
      </c>
      <c r="W993" s="30">
        <f t="shared" ca="1" si="134"/>
        <v>2.2190408017179541E-2</v>
      </c>
      <c r="X993" s="30">
        <f t="shared" ca="1" si="132"/>
        <v>-3.5301668806161715E-2</v>
      </c>
      <c r="Y993" s="31">
        <f t="shared" ca="1" si="133"/>
        <v>5.0424731391334701E-2</v>
      </c>
    </row>
    <row r="994" spans="2:25" x14ac:dyDescent="0.45">
      <c r="B994" vm="7884">
        <f ca="1"/>
        <v>45604</v>
      </c>
      <c r="C994" vm="7885">
        <f ca="1"/>
        <v>422.54</v>
      </c>
      <c r="D994" vm="7884">
        <f ca="1"/>
        <v>45604</v>
      </c>
      <c r="E994" vm="2147">
        <f ca="1"/>
        <v>22.34</v>
      </c>
      <c r="F994" vm="7884">
        <f ca="1"/>
        <v>45604</v>
      </c>
      <c r="G994" vm="7886">
        <f ca="1"/>
        <v>307.87</v>
      </c>
      <c r="H994" vm="7884">
        <f ca="1"/>
        <v>45604</v>
      </c>
      <c r="I994" vm="846">
        <f ca="1"/>
        <v>136.68</v>
      </c>
      <c r="J994" vm="7884">
        <f ca="1"/>
        <v>45604</v>
      </c>
      <c r="K994" vm="7887">
        <f ca="1"/>
        <v>41.25</v>
      </c>
      <c r="L994" vm="7884">
        <f ca="1"/>
        <v>45604</v>
      </c>
      <c r="M994" vm="7888">
        <f ca="1"/>
        <v>400.68</v>
      </c>
      <c r="N994" vm="7884">
        <f ca="1"/>
        <v>45604</v>
      </c>
      <c r="O994" vm="7889">
        <f ca="1"/>
        <v>44.77</v>
      </c>
      <c r="P994" vm="7884">
        <f ca="1"/>
        <v>45604</v>
      </c>
      <c r="Q994" vm="7890">
        <f ca="1"/>
        <v>270.42</v>
      </c>
      <c r="R994" s="29">
        <f t="shared" ca="1" si="127"/>
        <v>-6.7931269539054278E-3</v>
      </c>
      <c r="S994" s="30">
        <f t="shared" ca="1" si="128"/>
        <v>1.3611615245009107E-2</v>
      </c>
      <c r="T994" s="30">
        <f t="shared" ca="1" si="129"/>
        <v>6.7691301504250916E-3</v>
      </c>
      <c r="U994" s="30">
        <f t="shared" ca="1" si="130"/>
        <v>-2.1127264914416591E-2</v>
      </c>
      <c r="V994" s="30">
        <f t="shared" ca="1" si="131"/>
        <v>-1.7623243629435625E-2</v>
      </c>
      <c r="W994" s="30">
        <f t="shared" ca="1" si="134"/>
        <v>2.1008403361345335E-3</v>
      </c>
      <c r="X994" s="30">
        <f t="shared" ca="1" si="132"/>
        <v>-7.0969172765580008E-3</v>
      </c>
      <c r="Y994" s="31">
        <f t="shared" ca="1" si="133"/>
        <v>-1.4401240722277107E-3</v>
      </c>
    </row>
    <row r="995" spans="2:25" x14ac:dyDescent="0.45">
      <c r="B995" vm="7891">
        <f ca="1"/>
        <v>45607</v>
      </c>
      <c r="C995" vm="7892">
        <f ca="1"/>
        <v>418.01</v>
      </c>
      <c r="D995" vm="7891">
        <f ca="1"/>
        <v>45607</v>
      </c>
      <c r="E995" vm="7893">
        <f ca="1"/>
        <v>22.31</v>
      </c>
      <c r="F995" vm="7891">
        <f ca="1"/>
        <v>45607</v>
      </c>
      <c r="G995" vm="7894">
        <f ca="1"/>
        <v>310.92</v>
      </c>
      <c r="H995" vm="7891">
        <f ca="1"/>
        <v>45607</v>
      </c>
      <c r="I995" vm="7895">
        <f ca="1"/>
        <v>133.86000000000001</v>
      </c>
      <c r="J995" vm="7891">
        <f ca="1"/>
        <v>45607</v>
      </c>
      <c r="K995" vm="6701">
        <f ca="1"/>
        <v>40.25</v>
      </c>
      <c r="L995" vm="7891">
        <f ca="1"/>
        <v>45607</v>
      </c>
      <c r="M995" vm="7896">
        <f ca="1"/>
        <v>410.19</v>
      </c>
      <c r="N995" vm="7891">
        <f ca="1"/>
        <v>45607</v>
      </c>
      <c r="O995" vm="7897">
        <f ca="1"/>
        <v>44.65</v>
      </c>
      <c r="P995" vm="7891">
        <f ca="1"/>
        <v>45607</v>
      </c>
      <c r="Q995" vm="7898">
        <f ca="1"/>
        <v>340</v>
      </c>
      <c r="R995" s="29">
        <f t="shared" ca="1" si="127"/>
        <v>-1.072087849671044E-2</v>
      </c>
      <c r="S995" s="30">
        <f t="shared" ca="1" si="128"/>
        <v>-1.3428827215756999E-3</v>
      </c>
      <c r="T995" s="30">
        <f t="shared" ca="1" si="129"/>
        <v>9.9067788352226963E-3</v>
      </c>
      <c r="U995" s="30">
        <f t="shared" ca="1" si="130"/>
        <v>-2.0632133450395034E-2</v>
      </c>
      <c r="V995" s="30">
        <f t="shared" ca="1" si="131"/>
        <v>-2.4242424242424242E-2</v>
      </c>
      <c r="W995" s="30">
        <f t="shared" ca="1" si="134"/>
        <v>2.3734651093141636E-2</v>
      </c>
      <c r="X995" s="30">
        <f t="shared" ca="1" si="132"/>
        <v>-2.6803663167300545E-3</v>
      </c>
      <c r="Y995" s="31">
        <f t="shared" ca="1" si="133"/>
        <v>0.2573034538865468</v>
      </c>
    </row>
    <row r="996" spans="2:25" x14ac:dyDescent="0.45">
      <c r="B996" vm="7899">
        <f ca="1"/>
        <v>45608</v>
      </c>
      <c r="C996" vm="7900">
        <f ca="1"/>
        <v>423.03</v>
      </c>
      <c r="D996" vm="7899">
        <f ca="1"/>
        <v>45608</v>
      </c>
      <c r="E996" vm="795">
        <f ca="1"/>
        <v>22.15</v>
      </c>
      <c r="F996" vm="7899">
        <f ca="1"/>
        <v>45608</v>
      </c>
      <c r="G996" vm="7901">
        <f ca="1"/>
        <v>309.85000000000002</v>
      </c>
      <c r="H996" vm="7899">
        <f ca="1"/>
        <v>45608</v>
      </c>
      <c r="I996" vm="3644">
        <f ca="1"/>
        <v>133.66999999999999</v>
      </c>
      <c r="J996" vm="7899">
        <f ca="1"/>
        <v>45608</v>
      </c>
      <c r="K996" vm="7902">
        <f ca="1"/>
        <v>40.03</v>
      </c>
      <c r="L996" vm="7899">
        <f ca="1"/>
        <v>45608</v>
      </c>
      <c r="M996" vm="7903">
        <f ca="1"/>
        <v>419.39</v>
      </c>
      <c r="N996" vm="7899">
        <f ca="1"/>
        <v>45608</v>
      </c>
      <c r="O996" vm="7094">
        <f ca="1"/>
        <v>44.52</v>
      </c>
      <c r="P996" vm="7899">
        <f ca="1"/>
        <v>45608</v>
      </c>
      <c r="Q996" vm="7904">
        <f ca="1"/>
        <v>356.59</v>
      </c>
      <c r="R996" s="29">
        <f t="shared" ca="1" si="127"/>
        <v>1.2009282074591473E-2</v>
      </c>
      <c r="S996" s="30">
        <f t="shared" ca="1" si="128"/>
        <v>-7.171671896010764E-3</v>
      </c>
      <c r="T996" s="30">
        <f t="shared" ca="1" si="129"/>
        <v>-3.4413997169689733E-3</v>
      </c>
      <c r="U996" s="30">
        <f t="shared" ca="1" si="130"/>
        <v>-1.4193933960856577E-3</v>
      </c>
      <c r="V996" s="30">
        <f t="shared" ca="1" si="131"/>
        <v>-5.4658385093167422E-3</v>
      </c>
      <c r="W996" s="30">
        <f t="shared" ca="1" si="134"/>
        <v>2.2428630634583946E-2</v>
      </c>
      <c r="X996" s="30">
        <f t="shared" ca="1" si="132"/>
        <v>-2.9115341545351728E-3</v>
      </c>
      <c r="Y996" s="31">
        <f t="shared" ca="1" si="133"/>
        <v>4.8794117647058752E-2</v>
      </c>
    </row>
    <row r="997" spans="2:25" x14ac:dyDescent="0.45">
      <c r="B997" vm="7905">
        <f ca="1"/>
        <v>45609</v>
      </c>
      <c r="C997" vm="7906">
        <f ca="1"/>
        <v>425.2</v>
      </c>
      <c r="D997" vm="7905">
        <f ca="1"/>
        <v>45609</v>
      </c>
      <c r="E997" vm="7907">
        <f ca="1"/>
        <v>22.3</v>
      </c>
      <c r="F997" vm="7905">
        <f ca="1"/>
        <v>45609</v>
      </c>
      <c r="G997" vm="7908">
        <f ca="1"/>
        <v>309.48</v>
      </c>
      <c r="H997" vm="7905">
        <f ca="1"/>
        <v>45609</v>
      </c>
      <c r="I997" vm="6405">
        <f ca="1"/>
        <v>134.28</v>
      </c>
      <c r="J997" vm="7905">
        <f ca="1"/>
        <v>45609</v>
      </c>
      <c r="K997" vm="7909">
        <f ca="1"/>
        <v>37.81</v>
      </c>
      <c r="L997" vm="7905">
        <f ca="1"/>
        <v>45609</v>
      </c>
      <c r="M997" vm="7910">
        <f ca="1"/>
        <v>467.37</v>
      </c>
      <c r="N997" vm="7905">
        <f ca="1"/>
        <v>45609</v>
      </c>
      <c r="O997" vm="7911">
        <f ca="1"/>
        <v>43.534999999999997</v>
      </c>
      <c r="P997" vm="7905">
        <f ca="1"/>
        <v>45609</v>
      </c>
      <c r="Q997" vm="7912">
        <f ca="1"/>
        <v>328.38</v>
      </c>
      <c r="R997" s="29">
        <f t="shared" ca="1" si="127"/>
        <v>5.1296598349999199E-3</v>
      </c>
      <c r="S997" s="30">
        <f t="shared" ca="1" si="128"/>
        <v>6.7720090293454695E-3</v>
      </c>
      <c r="T997" s="30">
        <f t="shared" ca="1" si="129"/>
        <v>-1.1941261900919947E-3</v>
      </c>
      <c r="U997" s="30">
        <f t="shared" ca="1" si="130"/>
        <v>4.5634772200195536E-3</v>
      </c>
      <c r="V997" s="30">
        <f t="shared" ca="1" si="131"/>
        <v>-5.5458406195353457E-2</v>
      </c>
      <c r="W997" s="30">
        <f t="shared" ca="1" si="134"/>
        <v>0.11440425379718167</v>
      </c>
      <c r="X997" s="30">
        <f t="shared" ca="1" si="132"/>
        <v>-2.2124887690925573E-2</v>
      </c>
      <c r="Y997" s="31">
        <f t="shared" ca="1" si="133"/>
        <v>-7.9110462996718867E-2</v>
      </c>
    </row>
    <row r="998" spans="2:25" x14ac:dyDescent="0.45">
      <c r="B998" vm="7913">
        <f ca="1"/>
        <v>45610</v>
      </c>
      <c r="C998" vm="7914">
        <f ca="1"/>
        <v>426.89</v>
      </c>
      <c r="D998" vm="7913">
        <f ca="1"/>
        <v>45610</v>
      </c>
      <c r="E998" vm="7915">
        <f ca="1"/>
        <v>22.25</v>
      </c>
      <c r="F998" vm="7913">
        <f ca="1"/>
        <v>45610</v>
      </c>
      <c r="G998" vm="7916">
        <f ca="1"/>
        <v>308.25</v>
      </c>
      <c r="H998" vm="7913">
        <f ca="1"/>
        <v>45610</v>
      </c>
      <c r="I998" vm="7917">
        <f ca="1"/>
        <v>130.22</v>
      </c>
      <c r="J998" vm="7913">
        <f ca="1"/>
        <v>45610</v>
      </c>
      <c r="K998" vm="7918">
        <f ca="1"/>
        <v>36.380000000000003</v>
      </c>
      <c r="L998" vm="7913">
        <f ca="1"/>
        <v>45610</v>
      </c>
      <c r="M998" vm="7919">
        <f ca="1"/>
        <v>477.5</v>
      </c>
      <c r="N998" vm="7913">
        <f ca="1"/>
        <v>45610</v>
      </c>
      <c r="O998" vm="7920">
        <f ca="1"/>
        <v>43.48</v>
      </c>
      <c r="P998" vm="7913">
        <f ca="1"/>
        <v>45610</v>
      </c>
      <c r="Q998" vm="7921">
        <f ca="1"/>
        <v>327.67</v>
      </c>
      <c r="R998" s="29">
        <f t="shared" ca="1" si="127"/>
        <v>3.9746001881467491E-3</v>
      </c>
      <c r="S998" s="30">
        <f t="shared" ca="1" si="128"/>
        <v>-2.2421524663677446E-3</v>
      </c>
      <c r="T998" s="30">
        <f t="shared" ca="1" si="129"/>
        <v>-3.9744086855370885E-3</v>
      </c>
      <c r="U998" s="30">
        <f t="shared" ca="1" si="130"/>
        <v>-3.0235329162943119E-2</v>
      </c>
      <c r="V998" s="30">
        <f t="shared" ca="1" si="131"/>
        <v>-3.7820682359164234E-2</v>
      </c>
      <c r="W998" s="30">
        <f t="shared" ca="1" si="134"/>
        <v>2.167447632496736E-2</v>
      </c>
      <c r="X998" s="30">
        <f t="shared" ca="1" si="132"/>
        <v>-1.2633513265188864E-3</v>
      </c>
      <c r="Y998" s="31">
        <f t="shared" ca="1" si="133"/>
        <v>-2.1621292405139764E-3</v>
      </c>
    </row>
    <row r="999" spans="2:25" x14ac:dyDescent="0.45">
      <c r="B999" vm="7922">
        <f ca="1"/>
        <v>45611</v>
      </c>
      <c r="C999" vm="7923">
        <f ca="1"/>
        <v>415</v>
      </c>
      <c r="D999" vm="7922">
        <f ca="1"/>
        <v>45611</v>
      </c>
      <c r="E999" vm="3228">
        <f ca="1"/>
        <v>22.68</v>
      </c>
      <c r="F999" vm="7922">
        <f ca="1"/>
        <v>45611</v>
      </c>
      <c r="G999" vm="7924">
        <f ca="1"/>
        <v>309.64</v>
      </c>
      <c r="H999" vm="7922">
        <f ca="1"/>
        <v>45611</v>
      </c>
      <c r="I999" vm="7256">
        <f ca="1"/>
        <v>127.07</v>
      </c>
      <c r="J999" vm="7922">
        <f ca="1"/>
        <v>45611</v>
      </c>
      <c r="K999" vm="2868">
        <f ca="1"/>
        <v>35.83</v>
      </c>
      <c r="L999" vm="7922">
        <f ca="1"/>
        <v>45611</v>
      </c>
      <c r="M999" vm="7925">
        <f ca="1"/>
        <v>458.32</v>
      </c>
      <c r="N999" vm="7922">
        <f ca="1"/>
        <v>45611</v>
      </c>
      <c r="O999" vm="7926">
        <f ca="1"/>
        <v>46.59</v>
      </c>
      <c r="P999" vm="7922">
        <f ca="1"/>
        <v>45611</v>
      </c>
      <c r="Q999" vm="7927">
        <f ca="1"/>
        <v>340.65</v>
      </c>
      <c r="R999" s="29">
        <f t="shared" ca="1" si="127"/>
        <v>-2.7852608400290441E-2</v>
      </c>
      <c r="S999" s="30">
        <f t="shared" ca="1" si="128"/>
        <v>1.9325842696629202E-2</v>
      </c>
      <c r="T999" s="30">
        <f t="shared" ca="1" si="129"/>
        <v>4.5093268450932238E-3</v>
      </c>
      <c r="U999" s="30">
        <f t="shared" ca="1" si="130"/>
        <v>-2.4189832590999889E-2</v>
      </c>
      <c r="V999" s="30">
        <f t="shared" ca="1" si="131"/>
        <v>-1.511819681143497E-2</v>
      </c>
      <c r="W999" s="30">
        <f t="shared" ca="1" si="134"/>
        <v>-4.0167539267015724E-2</v>
      </c>
      <c r="X999" s="30">
        <f t="shared" ca="1" si="132"/>
        <v>7.152713891444358E-2</v>
      </c>
      <c r="Y999" s="31">
        <f t="shared" ca="1" si="133"/>
        <v>3.9613025299844236E-2</v>
      </c>
    </row>
    <row r="1000" spans="2:25" x14ac:dyDescent="0.45">
      <c r="B1000" vm="7928">
        <f ca="1"/>
        <v>45614</v>
      </c>
      <c r="C1000" vm="7929">
        <f ca="1"/>
        <v>415.76</v>
      </c>
      <c r="D1000" vm="7928">
        <f ca="1"/>
        <v>45614</v>
      </c>
      <c r="E1000" vm="3528">
        <f ca="1"/>
        <v>22.99</v>
      </c>
      <c r="F1000" vm="7928">
        <f ca="1"/>
        <v>45614</v>
      </c>
      <c r="G1000" vm="7930">
        <f ca="1"/>
        <v>312.16000000000003</v>
      </c>
      <c r="H1000" vm="7928">
        <f ca="1"/>
        <v>45614</v>
      </c>
      <c r="I1000" vm="7931">
        <f ca="1"/>
        <v>126.92</v>
      </c>
      <c r="J1000" vm="7928">
        <f ca="1"/>
        <v>45614</v>
      </c>
      <c r="K1000" vm="7932">
        <f ca="1"/>
        <v>38.01</v>
      </c>
      <c r="L1000" vm="7928">
        <f ca="1"/>
        <v>45614</v>
      </c>
      <c r="M1000" vm="7933">
        <f ca="1"/>
        <v>454.36</v>
      </c>
      <c r="N1000" vm="7928">
        <f ca="1"/>
        <v>45614</v>
      </c>
      <c r="O1000" vm="7934">
        <f ca="1"/>
        <v>44.89</v>
      </c>
      <c r="P1000" vm="7928">
        <f ca="1"/>
        <v>45614</v>
      </c>
      <c r="Q1000" vm="7935">
        <f ca="1"/>
        <v>384.79</v>
      </c>
      <c r="R1000" s="29">
        <f t="shared" ca="1" si="127"/>
        <v>1.8313253012047974E-3</v>
      </c>
      <c r="S1000" s="30">
        <f t="shared" ca="1" si="128"/>
        <v>1.3668430335096945E-2</v>
      </c>
      <c r="T1000" s="30">
        <f t="shared" ca="1" si="129"/>
        <v>8.1384834000776344E-3</v>
      </c>
      <c r="U1000" s="30">
        <f t="shared" ca="1" si="130"/>
        <v>-1.1804517195246045E-3</v>
      </c>
      <c r="V1000" s="30">
        <f t="shared" ca="1" si="131"/>
        <v>6.0842869104102699E-2</v>
      </c>
      <c r="W1000" s="30">
        <f t="shared" ca="1" si="134"/>
        <v>-8.6402513527665814E-3</v>
      </c>
      <c r="X1000" s="30">
        <f t="shared" ca="1" si="132"/>
        <v>-3.6488516849109309E-2</v>
      </c>
      <c r="Y1000" s="31">
        <f t="shared" ca="1" si="133"/>
        <v>0.1295758109496552</v>
      </c>
    </row>
    <row r="1001" spans="2:25" x14ac:dyDescent="0.45">
      <c r="B1001" vm="7936">
        <f ca="1"/>
        <v>45615</v>
      </c>
      <c r="C1001" vm="7937">
        <f ca="1"/>
        <v>417.79</v>
      </c>
      <c r="D1001" vm="7936">
        <f ca="1"/>
        <v>45615</v>
      </c>
      <c r="E1001" vm="2208">
        <f ca="1"/>
        <v>22.73</v>
      </c>
      <c r="F1001" vm="7936">
        <f ca="1"/>
        <v>45615</v>
      </c>
      <c r="G1001" vm="7938">
        <f ca="1"/>
        <v>311.85000000000002</v>
      </c>
      <c r="H1001" vm="7936">
        <f ca="1"/>
        <v>45615</v>
      </c>
      <c r="I1001" vm="3911">
        <f ca="1"/>
        <v>125.69</v>
      </c>
      <c r="J1001" vm="7936">
        <f ca="1"/>
        <v>45615</v>
      </c>
      <c r="K1001" vm="7939">
        <f ca="1"/>
        <v>38.89</v>
      </c>
      <c r="L1001" vm="7936">
        <f ca="1"/>
        <v>45615</v>
      </c>
      <c r="M1001" vm="7940">
        <f ca="1"/>
        <v>463.83</v>
      </c>
      <c r="N1001" vm="7936">
        <f ca="1"/>
        <v>45615</v>
      </c>
      <c r="O1001" vm="7941">
        <f ca="1"/>
        <v>46.38</v>
      </c>
      <c r="P1001" vm="7936">
        <f ca="1"/>
        <v>45615</v>
      </c>
      <c r="Q1001" vm="7942">
        <f ca="1"/>
        <v>430.54</v>
      </c>
      <c r="R1001" s="29">
        <f t="shared" ca="1" si="127"/>
        <v>4.8826245911103268E-3</v>
      </c>
      <c r="S1001" s="30">
        <f t="shared" ca="1" si="128"/>
        <v>-1.1309264897781559E-2</v>
      </c>
      <c r="T1001" s="30">
        <f t="shared" ca="1" si="129"/>
        <v>-9.9308047155305694E-4</v>
      </c>
      <c r="U1001" s="30">
        <f t="shared" ca="1" si="130"/>
        <v>-9.691144027734036E-3</v>
      </c>
      <c r="V1001" s="30">
        <f t="shared" ca="1" si="131"/>
        <v>2.3151802157327088E-2</v>
      </c>
      <c r="W1001" s="30">
        <f t="shared" ca="1" si="134"/>
        <v>2.0842503741526477E-2</v>
      </c>
      <c r="X1001" s="30">
        <f t="shared" ca="1" si="132"/>
        <v>3.319224771664072E-2</v>
      </c>
      <c r="Y1001" s="31">
        <f t="shared" ca="1" si="133"/>
        <v>0.1188960212063723</v>
      </c>
    </row>
    <row r="1002" spans="2:25" x14ac:dyDescent="0.45">
      <c r="B1002" vm="7943">
        <f ca="1"/>
        <v>45616</v>
      </c>
      <c r="C1002" vm="7944">
        <f ca="1"/>
        <v>415.49</v>
      </c>
      <c r="D1002" vm="7943">
        <f ca="1"/>
        <v>45616</v>
      </c>
      <c r="E1002" vm="7945">
        <f ca="1"/>
        <v>22.83</v>
      </c>
      <c r="F1002" vm="7943">
        <f ca="1"/>
        <v>45616</v>
      </c>
      <c r="G1002" vm="7946">
        <f ca="1"/>
        <v>307.39</v>
      </c>
      <c r="H1002" vm="7943">
        <f ca="1"/>
        <v>45616</v>
      </c>
      <c r="I1002" vm="7947">
        <f ca="1"/>
        <v>128.57</v>
      </c>
      <c r="J1002" vm="7943">
        <f ca="1"/>
        <v>45616</v>
      </c>
      <c r="K1002" vm="7948">
        <f ca="1"/>
        <v>38.380000000000003</v>
      </c>
      <c r="L1002" vm="7943">
        <f ca="1"/>
        <v>45616</v>
      </c>
      <c r="M1002" vm="7949">
        <f ca="1"/>
        <v>470.01</v>
      </c>
      <c r="N1002" vm="7943">
        <f ca="1"/>
        <v>45616</v>
      </c>
      <c r="O1002" vm="7950">
        <f ca="1"/>
        <v>48.03</v>
      </c>
      <c r="P1002" vm="7943">
        <f ca="1"/>
        <v>45616</v>
      </c>
      <c r="Q1002" vm="7951">
        <f ca="1"/>
        <v>473.83</v>
      </c>
      <c r="R1002" s="29">
        <f t="shared" ca="1" si="127"/>
        <v>-5.5051580937791984E-3</v>
      </c>
      <c r="S1002" s="30">
        <f t="shared" ca="1" si="128"/>
        <v>4.3994720633523041E-3</v>
      </c>
      <c r="T1002" s="30">
        <f t="shared" ca="1" si="129"/>
        <v>-1.4301747635081083E-2</v>
      </c>
      <c r="U1002" s="30">
        <f t="shared" ca="1" si="130"/>
        <v>2.2913517384040061E-2</v>
      </c>
      <c r="V1002" s="30">
        <f t="shared" ca="1" si="131"/>
        <v>-1.3113911031113345E-2</v>
      </c>
      <c r="W1002" s="30">
        <f t="shared" ca="1" si="134"/>
        <v>1.3323847099152722E-2</v>
      </c>
      <c r="X1002" s="30">
        <f t="shared" ca="1" si="132"/>
        <v>3.5575679172056889E-2</v>
      </c>
      <c r="Y1002" s="31">
        <f t="shared" ca="1" si="133"/>
        <v>0.10054814883634497</v>
      </c>
    </row>
    <row r="1003" spans="2:25" x14ac:dyDescent="0.45">
      <c r="B1003" vm="7952">
        <f ca="1"/>
        <v>45617</v>
      </c>
      <c r="C1003" vm="7953">
        <f ca="1"/>
        <v>412.87</v>
      </c>
      <c r="D1003" vm="7952">
        <f ca="1"/>
        <v>45617</v>
      </c>
      <c r="E1003" vm="2225">
        <f ca="1"/>
        <v>22.98</v>
      </c>
      <c r="F1003" vm="7952">
        <f ca="1"/>
        <v>45617</v>
      </c>
      <c r="G1003" vm="7146">
        <f ca="1"/>
        <v>309.89999999999998</v>
      </c>
      <c r="H1003" vm="7952">
        <f ca="1"/>
        <v>45617</v>
      </c>
      <c r="I1003" vm="7954">
        <f ca="1"/>
        <v>132.06</v>
      </c>
      <c r="J1003" vm="7952">
        <f ca="1"/>
        <v>45617</v>
      </c>
      <c r="K1003" vm="7955">
        <f ca="1"/>
        <v>40.51</v>
      </c>
      <c r="L1003" vm="7952">
        <f ca="1"/>
        <v>45617</v>
      </c>
      <c r="M1003" vm="7956">
        <f ca="1"/>
        <v>470.7</v>
      </c>
      <c r="N1003" vm="7952">
        <f ca="1"/>
        <v>45617</v>
      </c>
      <c r="O1003" vm="6544">
        <f ca="1"/>
        <v>47.65</v>
      </c>
      <c r="P1003" vm="7952">
        <f ca="1"/>
        <v>45617</v>
      </c>
      <c r="Q1003" vm="7957">
        <f ca="1"/>
        <v>397.28</v>
      </c>
      <c r="R1003" s="29">
        <f t="shared" ca="1" si="127"/>
        <v>-6.3058076006642866E-3</v>
      </c>
      <c r="S1003" s="30">
        <f t="shared" ca="1" si="128"/>
        <v>6.5703022339028538E-3</v>
      </c>
      <c r="T1003" s="30">
        <f t="shared" ca="1" si="129"/>
        <v>8.1655226259799967E-3</v>
      </c>
      <c r="U1003" s="30">
        <f t="shared" ca="1" si="130"/>
        <v>2.7144746052733992E-2</v>
      </c>
      <c r="V1003" s="30">
        <f t="shared" ca="1" si="131"/>
        <v>5.5497655028660636E-2</v>
      </c>
      <c r="W1003" s="30">
        <f t="shared" ca="1" si="134"/>
        <v>1.468053871194225E-3</v>
      </c>
      <c r="X1003" s="30">
        <f t="shared" ca="1" si="132"/>
        <v>-7.9117218405163978E-3</v>
      </c>
      <c r="Y1003" s="31">
        <f t="shared" ca="1" si="133"/>
        <v>-0.1615558322605154</v>
      </c>
    </row>
    <row r="1004" spans="2:25" x14ac:dyDescent="0.45">
      <c r="B1004" vm="7958">
        <f ca="1"/>
        <v>45618</v>
      </c>
      <c r="C1004" vm="7959">
        <f ca="1"/>
        <v>417</v>
      </c>
      <c r="D1004" vm="7958">
        <f ca="1"/>
        <v>45618</v>
      </c>
      <c r="E1004" vm="7960">
        <f ca="1"/>
        <v>23.18</v>
      </c>
      <c r="F1004" vm="7958">
        <f ca="1"/>
        <v>45618</v>
      </c>
      <c r="G1004" vm="7961">
        <f ca="1"/>
        <v>309.92</v>
      </c>
      <c r="H1004" vm="7958">
        <f ca="1"/>
        <v>45618</v>
      </c>
      <c r="I1004" vm="7962">
        <f ca="1"/>
        <v>133.84</v>
      </c>
      <c r="J1004" vm="7958">
        <f ca="1"/>
        <v>45618</v>
      </c>
      <c r="K1004" vm="7963">
        <f ca="1"/>
        <v>39.03</v>
      </c>
      <c r="L1004" vm="7958">
        <f ca="1"/>
        <v>45618</v>
      </c>
      <c r="M1004" vm="7964">
        <f ca="1"/>
        <v>475.04</v>
      </c>
      <c r="N1004" vm="7958">
        <f ca="1"/>
        <v>45618</v>
      </c>
      <c r="O1004" vm="7965">
        <f ca="1"/>
        <v>45.76</v>
      </c>
      <c r="P1004" vm="7958">
        <f ca="1"/>
        <v>45618</v>
      </c>
      <c r="Q1004" vm="7966">
        <f ca="1"/>
        <v>421.88</v>
      </c>
      <c r="R1004" s="29">
        <f t="shared" ca="1" si="127"/>
        <v>1.0003148690871207E-2</v>
      </c>
      <c r="S1004" s="30">
        <f t="shared" ca="1" si="128"/>
        <v>8.7032201914708125E-3</v>
      </c>
      <c r="T1004" s="30">
        <f t="shared" ca="1" si="129"/>
        <v>6.4536947402512595E-5</v>
      </c>
      <c r="U1004" s="30">
        <f t="shared" ca="1" si="130"/>
        <v>1.3478721793124347E-2</v>
      </c>
      <c r="V1004" s="30">
        <f t="shared" ca="1" si="131"/>
        <v>-3.6534189089113725E-2</v>
      </c>
      <c r="W1004" s="30">
        <f t="shared" ca="1" si="134"/>
        <v>9.2203101763331883E-3</v>
      </c>
      <c r="X1004" s="30">
        <f t="shared" ca="1" si="132"/>
        <v>-3.9664218258132225E-2</v>
      </c>
      <c r="Y1004" s="31">
        <f t="shared" ca="1" si="133"/>
        <v>6.1921063229963817E-2</v>
      </c>
    </row>
    <row r="1005" spans="2:25" x14ac:dyDescent="0.45">
      <c r="B1005" vm="7967">
        <f ca="1"/>
        <v>45621</v>
      </c>
      <c r="C1005" vm="7968">
        <f ca="1"/>
        <v>418.79</v>
      </c>
      <c r="D1005" vm="7967">
        <f ca="1"/>
        <v>45621</v>
      </c>
      <c r="E1005" vm="7969">
        <f ca="1"/>
        <v>23.1</v>
      </c>
      <c r="F1005" vm="7967">
        <f ca="1"/>
        <v>45621</v>
      </c>
      <c r="G1005" vm="7970">
        <f ca="1"/>
        <v>313.19</v>
      </c>
      <c r="H1005" vm="7967">
        <f ca="1"/>
        <v>45621</v>
      </c>
      <c r="I1005" vm="4783">
        <f ca="1"/>
        <v>134.49</v>
      </c>
      <c r="J1005" vm="7967">
        <f ca="1"/>
        <v>45621</v>
      </c>
      <c r="K1005" vm="7971">
        <f ca="1"/>
        <v>38.58</v>
      </c>
      <c r="L1005" vm="7967">
        <f ca="1"/>
        <v>45621</v>
      </c>
      <c r="M1005" vm="7972">
        <f ca="1"/>
        <v>481.38</v>
      </c>
      <c r="N1005" vm="7967">
        <f ca="1"/>
        <v>45621</v>
      </c>
      <c r="O1005" vm="7973">
        <f ca="1"/>
        <v>43.88</v>
      </c>
      <c r="P1005" vm="7967">
        <f ca="1"/>
        <v>45621</v>
      </c>
      <c r="Q1005" vm="7974">
        <f ca="1"/>
        <v>403.45</v>
      </c>
      <c r="R1005" s="29">
        <f t="shared" ca="1" si="127"/>
        <v>4.292565947242255E-3</v>
      </c>
      <c r="S1005" s="30">
        <f t="shared" ca="1" si="128"/>
        <v>-3.4512510785158885E-3</v>
      </c>
      <c r="T1005" s="30">
        <f t="shared" ca="1" si="129"/>
        <v>1.0551109963861582E-2</v>
      </c>
      <c r="U1005" s="30">
        <f t="shared" ca="1" si="130"/>
        <v>4.8565451285116981E-3</v>
      </c>
      <c r="V1005" s="30">
        <f t="shared" ca="1" si="131"/>
        <v>-1.1529592621060795E-2</v>
      </c>
      <c r="W1005" s="30">
        <f t="shared" ca="1" si="134"/>
        <v>1.334624452677664E-2</v>
      </c>
      <c r="X1005" s="30">
        <f t="shared" ca="1" si="132"/>
        <v>-4.1083916083915983E-2</v>
      </c>
      <c r="Y1005" s="31">
        <f t="shared" ca="1" si="133"/>
        <v>-4.3685408172940192E-2</v>
      </c>
    </row>
    <row r="1006" spans="2:25" x14ac:dyDescent="0.45">
      <c r="B1006" vm="7975">
        <f ca="1"/>
        <v>45622</v>
      </c>
      <c r="C1006" vm="7976">
        <f ca="1"/>
        <v>427.99</v>
      </c>
      <c r="D1006" vm="7975">
        <f ca="1"/>
        <v>45622</v>
      </c>
      <c r="E1006" vm="7977">
        <f ca="1"/>
        <v>23.09</v>
      </c>
      <c r="F1006" vm="7975">
        <f ca="1"/>
        <v>45622</v>
      </c>
      <c r="G1006" vm="7978">
        <f ca="1"/>
        <v>311.82</v>
      </c>
      <c r="H1006" vm="7975">
        <f ca="1"/>
        <v>45622</v>
      </c>
      <c r="I1006" vm="7979">
        <f ca="1"/>
        <v>134.37</v>
      </c>
      <c r="J1006" vm="7975">
        <f ca="1"/>
        <v>45622</v>
      </c>
      <c r="K1006" vm="7980">
        <f ca="1"/>
        <v>39.630000000000003</v>
      </c>
      <c r="L1006" vm="7975">
        <f ca="1"/>
        <v>45622</v>
      </c>
      <c r="M1006" vm="7981">
        <f ca="1"/>
        <v>476.61</v>
      </c>
      <c r="N1006" vm="7975">
        <f ca="1"/>
        <v>45622</v>
      </c>
      <c r="O1006" vm="7982">
        <f ca="1"/>
        <v>43.61</v>
      </c>
      <c r="P1006" vm="7975">
        <f ca="1"/>
        <v>45622</v>
      </c>
      <c r="Q1006" vm="7983">
        <f ca="1"/>
        <v>353.69</v>
      </c>
      <c r="R1006" s="29">
        <f t="shared" ca="1" si="127"/>
        <v>2.1968050813056635E-2</v>
      </c>
      <c r="S1006" s="30">
        <f t="shared" ca="1" si="128"/>
        <v>-4.3290043290050055E-4</v>
      </c>
      <c r="T1006" s="30">
        <f t="shared" ca="1" si="129"/>
        <v>-4.3743414540694291E-3</v>
      </c>
      <c r="U1006" s="30">
        <f t="shared" ca="1" si="130"/>
        <v>-8.9225964755747299E-4</v>
      </c>
      <c r="V1006" s="30">
        <f t="shared" ca="1" si="131"/>
        <v>2.7216174183514887E-2</v>
      </c>
      <c r="W1006" s="30">
        <f t="shared" ca="1" si="134"/>
        <v>-9.9090115916738997E-3</v>
      </c>
      <c r="X1006" s="30">
        <f t="shared" ca="1" si="132"/>
        <v>-6.1531449407475642E-3</v>
      </c>
      <c r="Y1006" s="31">
        <f t="shared" ca="1" si="133"/>
        <v>-0.12333622505886725</v>
      </c>
    </row>
    <row r="1007" spans="2:25" x14ac:dyDescent="0.45">
      <c r="B1007" vm="7984">
        <f ca="1"/>
        <v>45623</v>
      </c>
      <c r="C1007" vm="7985">
        <f ca="1"/>
        <v>422.99</v>
      </c>
      <c r="D1007" vm="7984">
        <f ca="1"/>
        <v>45623</v>
      </c>
      <c r="E1007" vm="874">
        <f ca="1"/>
        <v>23.27</v>
      </c>
      <c r="F1007" vm="7984">
        <f ca="1"/>
        <v>45623</v>
      </c>
      <c r="G1007" vm="397">
        <f ca="1"/>
        <v>314.7</v>
      </c>
      <c r="H1007" vm="7984">
        <f ca="1"/>
        <v>45623</v>
      </c>
      <c r="I1007" vm="2768">
        <f ca="1"/>
        <v>138.13999999999999</v>
      </c>
      <c r="J1007" vm="7984">
        <f ca="1"/>
        <v>45623</v>
      </c>
      <c r="K1007" vm="7986">
        <f ca="1"/>
        <v>40.450000000000003</v>
      </c>
      <c r="L1007" vm="7984">
        <f ca="1"/>
        <v>45623</v>
      </c>
      <c r="M1007" vm="7987">
        <f ca="1"/>
        <v>475.24</v>
      </c>
      <c r="N1007" vm="7984">
        <f ca="1"/>
        <v>45623</v>
      </c>
      <c r="O1007" vm="7988">
        <f ca="1"/>
        <v>43.45</v>
      </c>
      <c r="P1007" vm="7984">
        <f ca="1"/>
        <v>45623</v>
      </c>
      <c r="Q1007" vm="7989">
        <f ca="1"/>
        <v>388.84</v>
      </c>
      <c r="R1007" s="29">
        <f t="shared" ca="1" si="127"/>
        <v>-1.1682515946634267E-2</v>
      </c>
      <c r="S1007" s="30">
        <f t="shared" ca="1" si="128"/>
        <v>7.7955825032481468E-3</v>
      </c>
      <c r="T1007" s="30">
        <f t="shared" ca="1" si="129"/>
        <v>9.2360977487011588E-3</v>
      </c>
      <c r="U1007" s="30">
        <f t="shared" ca="1" si="130"/>
        <v>2.8056857929597244E-2</v>
      </c>
      <c r="V1007" s="30">
        <f t="shared" ca="1" si="131"/>
        <v>2.0691395407519561E-2</v>
      </c>
      <c r="W1007" s="30">
        <f t="shared" ca="1" si="134"/>
        <v>-2.8744675940496518E-3</v>
      </c>
      <c r="X1007" s="30">
        <f t="shared" ca="1" si="132"/>
        <v>-3.6688832836504607E-3</v>
      </c>
      <c r="Y1007" s="31">
        <f t="shared" ca="1" si="133"/>
        <v>9.9380813706918425E-2</v>
      </c>
    </row>
    <row r="1008" spans="2:25" x14ac:dyDescent="0.45">
      <c r="B1008" vm="7990">
        <f ca="1"/>
        <v>45625</v>
      </c>
      <c r="C1008" vm="7991">
        <f ca="1"/>
        <v>423.46</v>
      </c>
      <c r="D1008" vm="7990">
        <f ca="1"/>
        <v>45625</v>
      </c>
      <c r="E1008" vm="7992">
        <f ca="1"/>
        <v>23.16</v>
      </c>
      <c r="F1008" vm="7990">
        <f ca="1"/>
        <v>45625</v>
      </c>
      <c r="G1008" vm="7993">
        <f ca="1"/>
        <v>315.08</v>
      </c>
      <c r="H1008" vm="7990">
        <f ca="1"/>
        <v>45625</v>
      </c>
      <c r="I1008" vm="7994">
        <f ca="1"/>
        <v>137.97</v>
      </c>
      <c r="J1008" vm="7990">
        <f ca="1"/>
        <v>45625</v>
      </c>
      <c r="K1008" vm="7995">
        <f ca="1"/>
        <v>40.770000000000003</v>
      </c>
      <c r="L1008" vm="7990">
        <f ca="1"/>
        <v>45625</v>
      </c>
      <c r="M1008" vm="1446">
        <f ca="1"/>
        <v>476.96</v>
      </c>
      <c r="N1008" vm="7990">
        <f ca="1"/>
        <v>45625</v>
      </c>
      <c r="O1008" vm="7996">
        <f ca="1"/>
        <v>42.585000000000001</v>
      </c>
      <c r="P1008" vm="7990">
        <f ca="1"/>
        <v>45625</v>
      </c>
      <c r="Q1008" vm="7997">
        <f ca="1"/>
        <v>387.47</v>
      </c>
      <c r="R1008" s="29">
        <f t="shared" ca="1" si="127"/>
        <v>1.1111373791341886E-3</v>
      </c>
      <c r="S1008" s="30">
        <f t="shared" ca="1" si="128"/>
        <v>-4.7271164589600097E-3</v>
      </c>
      <c r="T1008" s="30">
        <f t="shared" ca="1" si="129"/>
        <v>1.2074992055926136E-3</v>
      </c>
      <c r="U1008" s="30">
        <f t="shared" ca="1" si="130"/>
        <v>-1.230635587085475E-3</v>
      </c>
      <c r="V1008" s="30">
        <f t="shared" ca="1" si="131"/>
        <v>7.911001236093949E-3</v>
      </c>
      <c r="W1008" s="30">
        <f t="shared" ca="1" si="134"/>
        <v>3.6192239710461458E-3</v>
      </c>
      <c r="X1008" s="30">
        <f t="shared" ca="1" si="132"/>
        <v>-1.9907940161104764E-2</v>
      </c>
      <c r="Y1008" s="31">
        <f t="shared" ca="1" si="133"/>
        <v>-3.5233000720089184E-3</v>
      </c>
    </row>
    <row r="1009" spans="2:25" x14ac:dyDescent="0.45">
      <c r="B1009" vm="7998">
        <f ca="1"/>
        <v>45628</v>
      </c>
      <c r="C1009" vm="7999">
        <f ca="1"/>
        <v>430.98</v>
      </c>
      <c r="D1009" vm="7998">
        <f ca="1"/>
        <v>45628</v>
      </c>
      <c r="E1009" vm="8000">
        <f ca="1"/>
        <v>22.7</v>
      </c>
      <c r="F1009" vm="7998">
        <f ca="1"/>
        <v>45628</v>
      </c>
      <c r="G1009" vm="8001">
        <f ca="1"/>
        <v>316.64999999999998</v>
      </c>
      <c r="H1009" vm="7998">
        <f ca="1"/>
        <v>45628</v>
      </c>
      <c r="I1009" vm="8002">
        <f ca="1"/>
        <v>139.58000000000001</v>
      </c>
      <c r="J1009" vm="7998">
        <f ca="1"/>
        <v>45628</v>
      </c>
      <c r="K1009" vm="8003">
        <f ca="1"/>
        <v>40.950000000000003</v>
      </c>
      <c r="L1009" vm="7998">
        <f ca="1"/>
        <v>45628</v>
      </c>
      <c r="M1009" vm="8004">
        <f ca="1"/>
        <v>480.27</v>
      </c>
      <c r="N1009" vm="7998">
        <f ca="1"/>
        <v>45628</v>
      </c>
      <c r="O1009" vm="8005">
        <f ca="1"/>
        <v>42.3</v>
      </c>
      <c r="P1009" vm="7998">
        <f ca="1"/>
        <v>45628</v>
      </c>
      <c r="Q1009" vm="8006">
        <f ca="1"/>
        <v>380.3</v>
      </c>
      <c r="R1009" s="29">
        <f t="shared" ca="1" si="127"/>
        <v>1.7758465970811974E-2</v>
      </c>
      <c r="S1009" s="30">
        <f t="shared" ca="1" si="128"/>
        <v>-1.9861830742659795E-2</v>
      </c>
      <c r="T1009" s="30">
        <f t="shared" ca="1" si="129"/>
        <v>4.9828614954931863E-3</v>
      </c>
      <c r="U1009" s="30">
        <f t="shared" ca="1" si="130"/>
        <v>1.1669203450025466E-2</v>
      </c>
      <c r="V1009" s="30">
        <f t="shared" ca="1" si="131"/>
        <v>4.4150110375275869E-3</v>
      </c>
      <c r="W1009" s="30">
        <f t="shared" ca="1" si="134"/>
        <v>6.9397853069439836E-3</v>
      </c>
      <c r="X1009" s="30">
        <f t="shared" ca="1" si="132"/>
        <v>-6.6924973582248139E-3</v>
      </c>
      <c r="Y1009" s="31">
        <f t="shared" ca="1" si="133"/>
        <v>-1.8504658425168439E-2</v>
      </c>
    </row>
    <row r="1010" spans="2:25" x14ac:dyDescent="0.45">
      <c r="B1010" vm="8007">
        <f ca="1"/>
        <v>45629</v>
      </c>
      <c r="C1010" vm="8008">
        <f ca="1"/>
        <v>431.2</v>
      </c>
      <c r="D1010" vm="8007">
        <f ca="1"/>
        <v>45629</v>
      </c>
      <c r="E1010" vm="8009">
        <f ca="1"/>
        <v>23.74</v>
      </c>
      <c r="F1010" vm="8007">
        <f ca="1"/>
        <v>45629</v>
      </c>
      <c r="G1010" vm="8010">
        <f ca="1"/>
        <v>313.01</v>
      </c>
      <c r="H1010" vm="8007">
        <f ca="1"/>
        <v>45629</v>
      </c>
      <c r="I1010" vm="8011">
        <f ca="1"/>
        <v>139.28</v>
      </c>
      <c r="J1010" vm="8007">
        <f ca="1"/>
        <v>45629</v>
      </c>
      <c r="K1010" vm="8012">
        <f ca="1"/>
        <v>37.67</v>
      </c>
      <c r="L1010" vm="8007">
        <f ca="1"/>
        <v>45629</v>
      </c>
      <c r="M1010" vm="8013">
        <f ca="1"/>
        <v>493.32</v>
      </c>
      <c r="N1010" vm="8007">
        <f ca="1"/>
        <v>45629</v>
      </c>
      <c r="O1010" vm="8014">
        <f ca="1"/>
        <v>42.07</v>
      </c>
      <c r="P1010" vm="8007">
        <f ca="1"/>
        <v>45629</v>
      </c>
      <c r="Q1010" vm="8015">
        <f ca="1"/>
        <v>373.43</v>
      </c>
      <c r="R1010" s="29">
        <f t="shared" ca="1" si="127"/>
        <v>5.1046452271560265E-4</v>
      </c>
      <c r="S1010" s="30">
        <f t="shared" ca="1" si="128"/>
        <v>4.5814977973568247E-2</v>
      </c>
      <c r="T1010" s="30">
        <f t="shared" ca="1" si="129"/>
        <v>-1.1495341860097858E-2</v>
      </c>
      <c r="U1010" s="30">
        <f t="shared" ca="1" si="130"/>
        <v>-2.1493050580313178E-3</v>
      </c>
      <c r="V1010" s="30">
        <f t="shared" ca="1" si="131"/>
        <v>-8.0097680097680118E-2</v>
      </c>
      <c r="W1010" s="30">
        <f t="shared" ca="1" si="134"/>
        <v>2.7172215628708876E-2</v>
      </c>
      <c r="X1010" s="30">
        <f t="shared" ca="1" si="132"/>
        <v>-5.4373522458628105E-3</v>
      </c>
      <c r="Y1010" s="31">
        <f t="shared" ca="1" si="133"/>
        <v>-1.8064685774388651E-2</v>
      </c>
    </row>
    <row r="1011" spans="2:25" x14ac:dyDescent="0.45">
      <c r="B1011" vm="8016">
        <f ca="1"/>
        <v>45630</v>
      </c>
      <c r="C1011" vm="8017">
        <f ca="1"/>
        <v>437.42</v>
      </c>
      <c r="D1011" vm="8016">
        <f ca="1"/>
        <v>45630</v>
      </c>
      <c r="E1011" vm="8018">
        <f ca="1"/>
        <v>23.53</v>
      </c>
      <c r="F1011" vm="8016">
        <f ca="1"/>
        <v>45630</v>
      </c>
      <c r="G1011" vm="7146">
        <f ca="1"/>
        <v>309.89999999999998</v>
      </c>
      <c r="H1011" vm="8016">
        <f ca="1"/>
        <v>45630</v>
      </c>
      <c r="I1011" vm="8019">
        <f ca="1"/>
        <v>140.19999999999999</v>
      </c>
      <c r="J1011" vm="8016">
        <f ca="1"/>
        <v>45630</v>
      </c>
      <c r="K1011" vm="8020">
        <f ca="1"/>
        <v>38.39</v>
      </c>
      <c r="L1011" vm="8016">
        <f ca="1"/>
        <v>45630</v>
      </c>
      <c r="M1011" vm="8021">
        <f ca="1"/>
        <v>502.38</v>
      </c>
      <c r="N1011" vm="8016">
        <f ca="1"/>
        <v>45630</v>
      </c>
      <c r="O1011" vm="8022">
        <f ca="1"/>
        <v>42.33</v>
      </c>
      <c r="P1011" vm="8016">
        <f ca="1"/>
        <v>45630</v>
      </c>
      <c r="Q1011" vm="8023">
        <f ca="1"/>
        <v>406</v>
      </c>
      <c r="R1011" s="29">
        <f t="shared" ca="1" si="127"/>
        <v>1.4424860853432345E-2</v>
      </c>
      <c r="S1011" s="30">
        <f t="shared" ca="1" si="128"/>
        <v>-8.8458298230832903E-3</v>
      </c>
      <c r="T1011" s="30">
        <f t="shared" ca="1" si="129"/>
        <v>-9.9357847992077378E-3</v>
      </c>
      <c r="U1011" s="30">
        <f t="shared" ca="1" si="130"/>
        <v>6.6053991958643556E-3</v>
      </c>
      <c r="V1011" s="30">
        <f t="shared" ca="1" si="131"/>
        <v>1.9113352800637081E-2</v>
      </c>
      <c r="W1011" s="30">
        <f t="shared" ca="1" si="134"/>
        <v>1.8365361225979086E-2</v>
      </c>
      <c r="X1011" s="30">
        <f t="shared" ca="1" si="132"/>
        <v>6.1801758973139527E-3</v>
      </c>
      <c r="Y1011" s="31">
        <f t="shared" ca="1" si="133"/>
        <v>8.7218488070053266E-2</v>
      </c>
    </row>
    <row r="1012" spans="2:25" x14ac:dyDescent="0.45">
      <c r="B1012" vm="8024">
        <f ca="1"/>
        <v>45631</v>
      </c>
      <c r="C1012" vm="8025">
        <f ca="1"/>
        <v>442.62</v>
      </c>
      <c r="D1012" vm="8024">
        <f ca="1"/>
        <v>45631</v>
      </c>
      <c r="E1012" vm="8026">
        <f ca="1"/>
        <v>23.83</v>
      </c>
      <c r="F1012" vm="8024">
        <f ca="1"/>
        <v>45631</v>
      </c>
      <c r="G1012" vm="8027">
        <f ca="1"/>
        <v>309.08</v>
      </c>
      <c r="H1012" vm="8024">
        <f ca="1"/>
        <v>45631</v>
      </c>
      <c r="I1012" vm="8028">
        <f ca="1"/>
        <v>137.87</v>
      </c>
      <c r="J1012" vm="8024">
        <f ca="1"/>
        <v>45631</v>
      </c>
      <c r="K1012" vm="6654">
        <f ca="1"/>
        <v>38.85</v>
      </c>
      <c r="L1012" vm="8024">
        <f ca="1"/>
        <v>45631</v>
      </c>
      <c r="M1012" vm="8029">
        <f ca="1"/>
        <v>493.51</v>
      </c>
      <c r="N1012" vm="8024">
        <f ca="1"/>
        <v>45631</v>
      </c>
      <c r="O1012" vm="8030">
        <f ca="1"/>
        <v>42.42</v>
      </c>
      <c r="P1012" vm="8024">
        <f ca="1"/>
        <v>45631</v>
      </c>
      <c r="Q1012" vm="8031">
        <f ca="1"/>
        <v>386.4</v>
      </c>
      <c r="R1012" s="29">
        <f t="shared" ca="1" si="127"/>
        <v>1.1887888070961521E-2</v>
      </c>
      <c r="S1012" s="30">
        <f t="shared" ca="1" si="128"/>
        <v>1.274968125796843E-2</v>
      </c>
      <c r="T1012" s="30">
        <f t="shared" ca="1" si="129"/>
        <v>-2.6460148434978808E-3</v>
      </c>
      <c r="U1012" s="30">
        <f t="shared" ca="1" si="130"/>
        <v>-1.6619115549215295E-2</v>
      </c>
      <c r="V1012" s="30">
        <f t="shared" ca="1" si="131"/>
        <v>1.1982287053920314E-2</v>
      </c>
      <c r="W1012" s="30">
        <f t="shared" ca="1" si="134"/>
        <v>-1.765595764162587E-2</v>
      </c>
      <c r="X1012" s="30">
        <f t="shared" ca="1" si="132"/>
        <v>2.1261516654855518E-3</v>
      </c>
      <c r="Y1012" s="31">
        <f t="shared" ca="1" si="133"/>
        <v>-4.8275862068965572E-2</v>
      </c>
    </row>
    <row r="1013" spans="2:25" x14ac:dyDescent="0.45">
      <c r="B1013" vm="8032">
        <f ca="1"/>
        <v>45632</v>
      </c>
      <c r="C1013" vm="8033">
        <f ca="1"/>
        <v>443.57</v>
      </c>
      <c r="D1013" vm="8032">
        <f ca="1"/>
        <v>45632</v>
      </c>
      <c r="E1013" vm="5165">
        <f ca="1"/>
        <v>23.88</v>
      </c>
      <c r="F1013" vm="8032">
        <f ca="1"/>
        <v>45632</v>
      </c>
      <c r="G1013" vm="8034">
        <f ca="1"/>
        <v>311.01</v>
      </c>
      <c r="H1013" vm="8032">
        <f ca="1"/>
        <v>45632</v>
      </c>
      <c r="I1013" vm="8035">
        <f ca="1"/>
        <v>140.58000000000001</v>
      </c>
      <c r="J1013" vm="8032">
        <f ca="1"/>
        <v>45632</v>
      </c>
      <c r="K1013" vm="2802">
        <f ca="1"/>
        <v>38.450000000000003</v>
      </c>
      <c r="L1013" vm="8032">
        <f ca="1"/>
        <v>45632</v>
      </c>
      <c r="M1013" vm="8036">
        <f ca="1"/>
        <v>498.63</v>
      </c>
      <c r="N1013" vm="8032">
        <f ca="1"/>
        <v>45632</v>
      </c>
      <c r="O1013" vm="8037">
        <f ca="1"/>
        <v>41.76</v>
      </c>
      <c r="P1013" vm="8032">
        <f ca="1"/>
        <v>45632</v>
      </c>
      <c r="Q1013" vm="8038">
        <f ca="1"/>
        <v>395.01</v>
      </c>
      <c r="R1013" s="29">
        <f t="shared" ca="1" si="127"/>
        <v>2.1463106050336376E-3</v>
      </c>
      <c r="S1013" s="30">
        <f t="shared" ca="1" si="128"/>
        <v>2.0981955518254601E-3</v>
      </c>
      <c r="T1013" s="30">
        <f t="shared" ca="1" si="129"/>
        <v>6.2443380354600979E-3</v>
      </c>
      <c r="U1013" s="30">
        <f t="shared" ca="1" si="130"/>
        <v>1.9656197867556451E-2</v>
      </c>
      <c r="V1013" s="30">
        <f t="shared" ca="1" si="131"/>
        <v>-1.0296010296010259E-2</v>
      </c>
      <c r="W1013" s="30">
        <f t="shared" ca="1" si="134"/>
        <v>1.0374663127393578E-2</v>
      </c>
      <c r="X1013" s="30">
        <f t="shared" ca="1" si="132"/>
        <v>-1.5558698727015645E-2</v>
      </c>
      <c r="Y1013" s="31">
        <f t="shared" ca="1" si="133"/>
        <v>2.2282608695652212E-2</v>
      </c>
    </row>
    <row r="1014" spans="2:25" x14ac:dyDescent="0.45">
      <c r="B1014" vm="8039">
        <f ca="1"/>
        <v>45635</v>
      </c>
      <c r="C1014" vm="8040">
        <f ca="1"/>
        <v>446.02</v>
      </c>
      <c r="D1014" vm="8039">
        <f ca="1"/>
        <v>45635</v>
      </c>
      <c r="E1014" vm="2616">
        <f ca="1"/>
        <v>23.37</v>
      </c>
      <c r="F1014" vm="8039">
        <f ca="1"/>
        <v>45635</v>
      </c>
      <c r="G1014" vm="8041">
        <f ca="1"/>
        <v>308.3</v>
      </c>
      <c r="H1014" vm="8039">
        <f ca="1"/>
        <v>45635</v>
      </c>
      <c r="I1014" vm="8042">
        <f ca="1"/>
        <v>144</v>
      </c>
      <c r="J1014" vm="8039">
        <f ca="1"/>
        <v>45635</v>
      </c>
      <c r="K1014" vm="8043">
        <f ca="1"/>
        <v>39.04</v>
      </c>
      <c r="L1014" vm="8039">
        <f ca="1"/>
        <v>45635</v>
      </c>
      <c r="M1014" vm="8044">
        <f ca="1"/>
        <v>482.52</v>
      </c>
      <c r="N1014" vm="8039">
        <f ca="1"/>
        <v>45635</v>
      </c>
      <c r="O1014" vm="8045">
        <f ca="1"/>
        <v>42.89</v>
      </c>
      <c r="P1014" vm="8039">
        <f ca="1"/>
        <v>45635</v>
      </c>
      <c r="Q1014" vm="8046">
        <f ca="1"/>
        <v>365.34</v>
      </c>
      <c r="R1014" s="29">
        <f t="shared" ca="1" si="127"/>
        <v>5.5233672250151918E-3</v>
      </c>
      <c r="S1014" s="30">
        <f t="shared" ca="1" si="128"/>
        <v>-2.1356783919597909E-2</v>
      </c>
      <c r="T1014" s="30">
        <f t="shared" ca="1" si="129"/>
        <v>-8.7135461882253927E-3</v>
      </c>
      <c r="U1014" s="30">
        <f t="shared" ca="1" si="130"/>
        <v>2.4327784891165081E-2</v>
      </c>
      <c r="V1014" s="30">
        <f t="shared" ca="1" si="131"/>
        <v>1.5344603381014206E-2</v>
      </c>
      <c r="W1014" s="30">
        <f t="shared" ca="1" si="134"/>
        <v>-3.2308525359485016E-2</v>
      </c>
      <c r="X1014" s="30">
        <f t="shared" ca="1" si="132"/>
        <v>2.7059386973180138E-2</v>
      </c>
      <c r="Y1014" s="31">
        <f t="shared" ca="1" si="133"/>
        <v>-7.5112022480443574E-2</v>
      </c>
    </row>
    <row r="1015" spans="2:25" x14ac:dyDescent="0.45">
      <c r="B1015" vm="8047">
        <f ca="1"/>
        <v>45636</v>
      </c>
      <c r="C1015" vm="8048">
        <f ca="1"/>
        <v>443.33</v>
      </c>
      <c r="D1015" vm="8047">
        <f ca="1"/>
        <v>45636</v>
      </c>
      <c r="E1015" vm="8049">
        <f ca="1"/>
        <v>23.51</v>
      </c>
      <c r="F1015" vm="8047">
        <f ca="1"/>
        <v>45636</v>
      </c>
      <c r="G1015" vm="8050">
        <f ca="1"/>
        <v>312.38</v>
      </c>
      <c r="H1015" vm="8047">
        <f ca="1"/>
        <v>45636</v>
      </c>
      <c r="I1015" vm="8051">
        <f ca="1"/>
        <v>141.93</v>
      </c>
      <c r="J1015" vm="8047">
        <f ca="1"/>
        <v>45636</v>
      </c>
      <c r="K1015" vm="7716">
        <f ca="1"/>
        <v>35.26</v>
      </c>
      <c r="L1015" vm="8047">
        <f ca="1"/>
        <v>45636</v>
      </c>
      <c r="M1015" vm="8052">
        <f ca="1"/>
        <v>471.58</v>
      </c>
      <c r="N1015" vm="8047">
        <f ca="1"/>
        <v>45636</v>
      </c>
      <c r="O1015" vm="8053">
        <f ca="1"/>
        <v>42.46</v>
      </c>
      <c r="P1015" vm="8047">
        <f ca="1"/>
        <v>45636</v>
      </c>
      <c r="Q1015" vm="8054">
        <f ca="1"/>
        <v>377.32</v>
      </c>
      <c r="R1015" s="29">
        <f t="shared" ca="1" si="127"/>
        <v>-6.0311196807318005E-3</v>
      </c>
      <c r="S1015" s="30">
        <f t="shared" ca="1" si="128"/>
        <v>5.9905862216517143E-3</v>
      </c>
      <c r="T1015" s="30">
        <f t="shared" ca="1" si="129"/>
        <v>1.3233863120337282E-2</v>
      </c>
      <c r="U1015" s="30">
        <f t="shared" ca="1" si="130"/>
        <v>-1.4374999999999952E-2</v>
      </c>
      <c r="V1015" s="30">
        <f t="shared" ca="1" si="131"/>
        <v>-9.682377049180331E-2</v>
      </c>
      <c r="W1015" s="30">
        <f t="shared" ca="1" si="134"/>
        <v>-2.2672635331177977E-2</v>
      </c>
      <c r="X1015" s="30">
        <f t="shared" ca="1" si="132"/>
        <v>-1.0025647003963621E-2</v>
      </c>
      <c r="Y1015" s="31">
        <f t="shared" ca="1" si="133"/>
        <v>3.2791372420211365E-2</v>
      </c>
    </row>
    <row r="1016" spans="2:25" x14ac:dyDescent="0.45">
      <c r="B1016" vm="8055">
        <f ca="1"/>
        <v>45637</v>
      </c>
      <c r="C1016" vm="8056">
        <f ca="1"/>
        <v>448.99</v>
      </c>
      <c r="D1016" vm="8055">
        <f ca="1"/>
        <v>45637</v>
      </c>
      <c r="E1016" vm="4921">
        <f ca="1"/>
        <v>23.48</v>
      </c>
      <c r="F1016" vm="8055">
        <f ca="1"/>
        <v>45637</v>
      </c>
      <c r="G1016" vm="7203">
        <f ca="1"/>
        <v>313.79000000000002</v>
      </c>
      <c r="H1016" vm="8055">
        <f ca="1"/>
        <v>45637</v>
      </c>
      <c r="I1016" vm="8057">
        <f ca="1"/>
        <v>141.19</v>
      </c>
      <c r="J1016" vm="8055">
        <f ca="1"/>
        <v>45637</v>
      </c>
      <c r="K1016" vm="7691">
        <f ca="1"/>
        <v>34.93</v>
      </c>
      <c r="L1016" vm="8055">
        <f ca="1"/>
        <v>45637</v>
      </c>
      <c r="M1016" vm="8058">
        <f ca="1"/>
        <v>476.91</v>
      </c>
      <c r="N1016" vm="8055">
        <f ca="1"/>
        <v>45637</v>
      </c>
      <c r="O1016" vm="8059">
        <f ca="1"/>
        <v>42.13</v>
      </c>
      <c r="P1016" vm="8055">
        <f ca="1"/>
        <v>45637</v>
      </c>
      <c r="Q1016" vm="8060">
        <f ca="1"/>
        <v>411.4</v>
      </c>
      <c r="R1016" s="29">
        <f t="shared" ca="1" si="127"/>
        <v>1.2767013285814236E-2</v>
      </c>
      <c r="S1016" s="30">
        <f t="shared" ca="1" si="128"/>
        <v>-1.2760527435134467E-3</v>
      </c>
      <c r="T1016" s="30">
        <f t="shared" ca="1" si="129"/>
        <v>4.5137332735771338E-3</v>
      </c>
      <c r="U1016" s="30">
        <f t="shared" ca="1" si="130"/>
        <v>-5.2138378073698938E-3</v>
      </c>
      <c r="V1016" s="30">
        <f t="shared" ca="1" si="131"/>
        <v>-9.3590470788428338E-3</v>
      </c>
      <c r="W1016" s="30">
        <f t="shared" ca="1" si="134"/>
        <v>1.1302430128504265E-2</v>
      </c>
      <c r="X1016" s="30">
        <f t="shared" ca="1" si="132"/>
        <v>-7.772020725388561E-3</v>
      </c>
      <c r="Y1016" s="31">
        <f t="shared" ca="1" si="133"/>
        <v>9.0321212763701864E-2</v>
      </c>
    </row>
    <row r="1017" spans="2:25" x14ac:dyDescent="0.45">
      <c r="B1017" vm="8061">
        <f ca="1"/>
        <v>45638</v>
      </c>
      <c r="C1017" vm="8062">
        <f ca="1"/>
        <v>449.56</v>
      </c>
      <c r="D1017" vm="8061">
        <f ca="1"/>
        <v>45638</v>
      </c>
      <c r="E1017" vm="1239">
        <f ca="1"/>
        <v>23.36</v>
      </c>
      <c r="F1017" vm="8061">
        <f ca="1"/>
        <v>45638</v>
      </c>
      <c r="G1017" vm="8063">
        <f ca="1"/>
        <v>314.23</v>
      </c>
      <c r="H1017" vm="8061">
        <f ca="1"/>
        <v>45638</v>
      </c>
      <c r="I1017" vm="8064">
        <f ca="1"/>
        <v>140.91</v>
      </c>
      <c r="J1017" vm="8061">
        <f ca="1"/>
        <v>45638</v>
      </c>
      <c r="K1017" vm="8065">
        <f ca="1"/>
        <v>34.020000000000003</v>
      </c>
      <c r="L1017" vm="8061">
        <f ca="1"/>
        <v>45638</v>
      </c>
      <c r="M1017" vm="8066">
        <f ca="1"/>
        <v>480.11</v>
      </c>
      <c r="N1017" vm="8061">
        <f ca="1"/>
        <v>45638</v>
      </c>
      <c r="O1017" vm="8067">
        <f ca="1"/>
        <v>42.47</v>
      </c>
      <c r="P1017" vm="8061">
        <f ca="1"/>
        <v>45638</v>
      </c>
      <c r="Q1017" vm="8068">
        <f ca="1"/>
        <v>392.19</v>
      </c>
      <c r="R1017" s="29">
        <f t="shared" ca="1" si="127"/>
        <v>1.2695160248557722E-3</v>
      </c>
      <c r="S1017" s="30">
        <f t="shared" ca="1" si="128"/>
        <v>-5.1107325383305362E-3</v>
      </c>
      <c r="T1017" s="30">
        <f t="shared" ca="1" si="129"/>
        <v>1.4022116702253026E-3</v>
      </c>
      <c r="U1017" s="30">
        <f t="shared" ca="1" si="130"/>
        <v>-1.98314328210214E-3</v>
      </c>
      <c r="V1017" s="30">
        <f t="shared" ca="1" si="131"/>
        <v>-2.6052104208416735E-2</v>
      </c>
      <c r="W1017" s="30">
        <f t="shared" ca="1" si="134"/>
        <v>6.7098613994254442E-3</v>
      </c>
      <c r="X1017" s="30">
        <f t="shared" ca="1" si="132"/>
        <v>8.0702587230001496E-3</v>
      </c>
      <c r="Y1017" s="31">
        <f t="shared" ca="1" si="133"/>
        <v>-4.6694214876033008E-2</v>
      </c>
    </row>
    <row r="1018" spans="2:25" x14ac:dyDescent="0.45">
      <c r="B1018" vm="8069">
        <f ca="1"/>
        <v>45639</v>
      </c>
      <c r="C1018" vm="8070">
        <f ca="1"/>
        <v>447.27</v>
      </c>
      <c r="D1018" vm="8069">
        <f ca="1"/>
        <v>45639</v>
      </c>
      <c r="E1018" vm="8071">
        <f ca="1"/>
        <v>23.63</v>
      </c>
      <c r="F1018" vm="8069">
        <f ca="1"/>
        <v>45639</v>
      </c>
      <c r="G1018" vm="8072">
        <f ca="1"/>
        <v>314.74</v>
      </c>
      <c r="H1018" vm="8069">
        <f ca="1"/>
        <v>45639</v>
      </c>
      <c r="I1018" vm="4874">
        <f ca="1"/>
        <v>139</v>
      </c>
      <c r="J1018" vm="8069">
        <f ca="1"/>
        <v>45639</v>
      </c>
      <c r="K1018" vm="8073">
        <f ca="1"/>
        <v>33.26</v>
      </c>
      <c r="L1018" vm="8069">
        <f ca="1"/>
        <v>45639</v>
      </c>
      <c r="M1018" vm="8074">
        <f ca="1"/>
        <v>483.31</v>
      </c>
      <c r="N1018" vm="8069">
        <f ca="1"/>
        <v>45639</v>
      </c>
      <c r="O1018" vm="8075">
        <f ca="1"/>
        <v>42.5</v>
      </c>
      <c r="P1018" vm="8069">
        <f ca="1"/>
        <v>45639</v>
      </c>
      <c r="Q1018" vm="8076">
        <f ca="1"/>
        <v>408.67</v>
      </c>
      <c r="R1018" s="29">
        <f t="shared" ca="1" si="127"/>
        <v>-5.0938695613489196E-3</v>
      </c>
      <c r="S1018" s="30">
        <f t="shared" ca="1" si="128"/>
        <v>1.1558219178082174E-2</v>
      </c>
      <c r="T1018" s="30">
        <f t="shared" ca="1" si="129"/>
        <v>1.6230149890207519E-3</v>
      </c>
      <c r="U1018" s="30">
        <f t="shared" ca="1" si="130"/>
        <v>-1.3554751259669269E-2</v>
      </c>
      <c r="V1018" s="30">
        <f t="shared" ca="1" si="131"/>
        <v>-2.2339800117578044E-2</v>
      </c>
      <c r="W1018" s="30">
        <f t="shared" ca="1" si="134"/>
        <v>6.6651392389243894E-3</v>
      </c>
      <c r="X1018" s="30">
        <f t="shared" ca="1" si="132"/>
        <v>7.0638097480577207E-4</v>
      </c>
      <c r="Y1018" s="31">
        <f t="shared" ca="1" si="133"/>
        <v>4.2020449272036561E-2</v>
      </c>
    </row>
    <row r="1019" spans="2:25" x14ac:dyDescent="0.45">
      <c r="B1019" vm="8077">
        <f ca="1"/>
        <v>45642</v>
      </c>
      <c r="C1019" vm="8078">
        <f ca="1"/>
        <v>451.59</v>
      </c>
      <c r="D1019" vm="8077">
        <f ca="1"/>
        <v>45642</v>
      </c>
      <c r="E1019" vm="812">
        <f ca="1"/>
        <v>22.84</v>
      </c>
      <c r="F1019" vm="8077">
        <f ca="1"/>
        <v>45642</v>
      </c>
      <c r="G1019" vm="8079">
        <f ca="1"/>
        <v>315.89</v>
      </c>
      <c r="H1019" vm="8077">
        <f ca="1"/>
        <v>45642</v>
      </c>
      <c r="I1019" vm="8080">
        <f ca="1"/>
        <v>137.66999999999999</v>
      </c>
      <c r="J1019" vm="8077">
        <f ca="1"/>
        <v>45642</v>
      </c>
      <c r="K1019" vm="8081">
        <f ca="1"/>
        <v>32.74</v>
      </c>
      <c r="L1019" vm="8077">
        <f ca="1"/>
        <v>45642</v>
      </c>
      <c r="M1019" vm="8082">
        <f ca="1"/>
        <v>484.9</v>
      </c>
      <c r="N1019" vm="8077">
        <f ca="1"/>
        <v>45642</v>
      </c>
      <c r="O1019" vm="8083">
        <f ca="1"/>
        <v>43.22</v>
      </c>
      <c r="P1019" vm="8077">
        <f ca="1"/>
        <v>45642</v>
      </c>
      <c r="Q1019" vm="8084">
        <f ca="1"/>
        <v>408.5</v>
      </c>
      <c r="R1019" s="29">
        <f t="shared" ca="1" si="127"/>
        <v>9.6585954792407121E-3</v>
      </c>
      <c r="S1019" s="30">
        <f t="shared" ca="1" si="128"/>
        <v>-3.3432077867118035E-2</v>
      </c>
      <c r="T1019" s="30">
        <f t="shared" ca="1" si="129"/>
        <v>3.6538094935501596E-3</v>
      </c>
      <c r="U1019" s="30">
        <f t="shared" ca="1" si="130"/>
        <v>-9.5683453237410971E-3</v>
      </c>
      <c r="V1019" s="30">
        <f t="shared" ca="1" si="131"/>
        <v>-1.5634395670474928E-2</v>
      </c>
      <c r="W1019" s="30">
        <f t="shared" ca="1" si="134"/>
        <v>3.2898139910202042E-3</v>
      </c>
      <c r="X1019" s="30">
        <f t="shared" ca="1" si="132"/>
        <v>1.694117647058821E-2</v>
      </c>
      <c r="Y1019" s="31">
        <f t="shared" ca="1" si="133"/>
        <v>-4.1598355641475008E-4</v>
      </c>
    </row>
    <row r="1020" spans="2:25" x14ac:dyDescent="0.45">
      <c r="B1020" vm="8085">
        <f ca="1"/>
        <v>45643</v>
      </c>
      <c r="C1020" vm="8086">
        <f ca="1"/>
        <v>454.46</v>
      </c>
      <c r="D1020" vm="8085">
        <f ca="1"/>
        <v>45643</v>
      </c>
      <c r="E1020" vm="7945">
        <f ca="1"/>
        <v>22.83</v>
      </c>
      <c r="F1020" vm="8085">
        <f ca="1"/>
        <v>45643</v>
      </c>
      <c r="G1020" vm="8087">
        <f ca="1"/>
        <v>318.3</v>
      </c>
      <c r="H1020" vm="8085">
        <f ca="1"/>
        <v>45643</v>
      </c>
      <c r="I1020" vm="8088">
        <f ca="1"/>
        <v>136.46</v>
      </c>
      <c r="J1020" vm="8085">
        <f ca="1"/>
        <v>45643</v>
      </c>
      <c r="K1020" vm="8089">
        <f ca="1"/>
        <v>31.94</v>
      </c>
      <c r="L1020" vm="8085">
        <f ca="1"/>
        <v>45643</v>
      </c>
      <c r="M1020" vm="8090">
        <f ca="1"/>
        <v>474.37</v>
      </c>
      <c r="N1020" vm="8085">
        <f ca="1"/>
        <v>45643</v>
      </c>
      <c r="O1020" vm="8091">
        <f ca="1"/>
        <v>44.29</v>
      </c>
      <c r="P1020" vm="8085">
        <f ca="1"/>
        <v>45643</v>
      </c>
      <c r="Q1020" vm="8092">
        <f ca="1"/>
        <v>386.42</v>
      </c>
      <c r="R1020" s="29">
        <f t="shared" ca="1" si="127"/>
        <v>6.3553223056312244E-3</v>
      </c>
      <c r="S1020" s="30">
        <f t="shared" ca="1" si="128"/>
        <v>-4.3782837127852731E-4</v>
      </c>
      <c r="T1020" s="30">
        <f t="shared" ca="1" si="129"/>
        <v>7.6292380258951697E-3</v>
      </c>
      <c r="U1020" s="30">
        <f t="shared" ca="1" si="130"/>
        <v>-8.7891334350256381E-3</v>
      </c>
      <c r="V1020" s="30">
        <f t="shared" ca="1" si="131"/>
        <v>-2.443494196701285E-2</v>
      </c>
      <c r="W1020" s="30">
        <f t="shared" ca="1" si="134"/>
        <v>-2.1715817694369918E-2</v>
      </c>
      <c r="X1020" s="30">
        <f t="shared" ca="1" si="132"/>
        <v>2.4757056918093483E-2</v>
      </c>
      <c r="Y1020" s="31">
        <f t="shared" ca="1" si="133"/>
        <v>-5.4051407588739254E-2</v>
      </c>
    </row>
    <row r="1021" spans="2:25" x14ac:dyDescent="0.45">
      <c r="B1021" vm="8093">
        <f ca="1"/>
        <v>45644</v>
      </c>
      <c r="C1021" vm="8094">
        <f ca="1"/>
        <v>437.39</v>
      </c>
      <c r="D1021" vm="8093">
        <f ca="1"/>
        <v>45644</v>
      </c>
      <c r="E1021" vm="1271">
        <f ca="1"/>
        <v>22.48</v>
      </c>
      <c r="F1021" vm="8093">
        <f ca="1"/>
        <v>45644</v>
      </c>
      <c r="G1021" vm="8095">
        <f ca="1"/>
        <v>309.77999999999997</v>
      </c>
      <c r="H1021" vm="8093">
        <f ca="1"/>
        <v>45644</v>
      </c>
      <c r="I1021" vm="8096">
        <f ca="1"/>
        <v>133.01</v>
      </c>
      <c r="J1021" vm="8093">
        <f ca="1"/>
        <v>45644</v>
      </c>
      <c r="K1021" vm="8097">
        <f ca="1"/>
        <v>30.98</v>
      </c>
      <c r="L1021" vm="8093">
        <f ca="1"/>
        <v>45644</v>
      </c>
      <c r="M1021" vm="8098">
        <f ca="1"/>
        <v>448.65</v>
      </c>
      <c r="N1021" vm="8093">
        <f ca="1"/>
        <v>45644</v>
      </c>
      <c r="O1021" vm="8099">
        <f ca="1"/>
        <v>51.72</v>
      </c>
      <c r="P1021" vm="8093">
        <f ca="1"/>
        <v>45644</v>
      </c>
      <c r="Q1021" vm="8100">
        <f ca="1"/>
        <v>349.64</v>
      </c>
      <c r="R1021" s="29">
        <f t="shared" ca="1" si="127"/>
        <v>-3.7561061479558143E-2</v>
      </c>
      <c r="S1021" s="30">
        <f t="shared" ca="1" si="128"/>
        <v>-1.533070521243968E-2</v>
      </c>
      <c r="T1021" s="30">
        <f t="shared" ca="1" si="129"/>
        <v>-2.6767200754005776E-2</v>
      </c>
      <c r="U1021" s="30">
        <f t="shared" ca="1" si="130"/>
        <v>-2.528213395866933E-2</v>
      </c>
      <c r="V1021" s="30">
        <f t="shared" ca="1" si="131"/>
        <v>-3.0056355666875416E-2</v>
      </c>
      <c r="W1021" s="30">
        <f t="shared" ca="1" si="134"/>
        <v>-5.4219280308619909E-2</v>
      </c>
      <c r="X1021" s="30">
        <f t="shared" ca="1" si="132"/>
        <v>0.16775795890720252</v>
      </c>
      <c r="Y1021" s="31">
        <f t="shared" ca="1" si="133"/>
        <v>-9.5181408829770789E-2</v>
      </c>
    </row>
    <row r="1022" spans="2:25" x14ac:dyDescent="0.45">
      <c r="B1022" vm="8101">
        <f ca="1"/>
        <v>45645</v>
      </c>
      <c r="C1022" vm="8102">
        <f ca="1"/>
        <v>437.03</v>
      </c>
      <c r="D1022" vm="8101">
        <f ca="1"/>
        <v>45645</v>
      </c>
      <c r="E1022" vm="2165">
        <f ca="1"/>
        <v>22.57</v>
      </c>
      <c r="F1022" vm="8101">
        <f ca="1"/>
        <v>45645</v>
      </c>
      <c r="G1022" vm="8103">
        <f ca="1"/>
        <v>314.88</v>
      </c>
      <c r="H1022" vm="8101">
        <f ca="1"/>
        <v>45645</v>
      </c>
      <c r="I1022" vm="900">
        <f ca="1"/>
        <v>133.19</v>
      </c>
      <c r="J1022" vm="8101">
        <f ca="1"/>
        <v>45645</v>
      </c>
      <c r="K1022" vm="8104">
        <f ca="1"/>
        <v>31.72</v>
      </c>
      <c r="L1022" vm="8101">
        <f ca="1"/>
        <v>45645</v>
      </c>
      <c r="M1022" vm="8105">
        <f ca="1"/>
        <v>454.16</v>
      </c>
      <c r="N1022" vm="8101">
        <f ca="1"/>
        <v>45645</v>
      </c>
      <c r="O1022" vm="8106">
        <f ca="1"/>
        <v>56.14</v>
      </c>
      <c r="P1022" vm="8101">
        <f ca="1"/>
        <v>45645</v>
      </c>
      <c r="Q1022" vm="8107">
        <f ca="1"/>
        <v>326.45999999999998</v>
      </c>
      <c r="R1022" s="29">
        <f t="shared" ca="1" si="127"/>
        <v>-8.2306408468418033E-4</v>
      </c>
      <c r="S1022" s="30">
        <f t="shared" ca="1" si="128"/>
        <v>4.0035587188612031E-3</v>
      </c>
      <c r="T1022" s="30">
        <f t="shared" ca="1" si="129"/>
        <v>1.646329653302351E-2</v>
      </c>
      <c r="U1022" s="30">
        <f t="shared" ca="1" si="130"/>
        <v>1.3532817081422963E-3</v>
      </c>
      <c r="V1022" s="30">
        <f t="shared" ca="1" si="131"/>
        <v>2.3886378308586132E-2</v>
      </c>
      <c r="W1022" s="30">
        <f t="shared" ca="1" si="134"/>
        <v>1.2281288309372669E-2</v>
      </c>
      <c r="X1022" s="30">
        <f t="shared" ca="1" si="132"/>
        <v>8.5460170146945125E-2</v>
      </c>
      <c r="Y1022" s="31">
        <f t="shared" ca="1" si="133"/>
        <v>-6.6296762384166597E-2</v>
      </c>
    </row>
    <row r="1023" spans="2:25" x14ac:dyDescent="0.45">
      <c r="B1023" vm="8108">
        <f ca="1"/>
        <v>45646</v>
      </c>
      <c r="C1023" vm="8109">
        <f ca="1"/>
        <v>436.6</v>
      </c>
      <c r="D1023" vm="8108">
        <f ca="1"/>
        <v>45646</v>
      </c>
      <c r="E1023" vm="685">
        <f ca="1"/>
        <v>22.75</v>
      </c>
      <c r="F1023" vm="8108">
        <f ca="1"/>
        <v>45646</v>
      </c>
      <c r="G1023" vm="8110">
        <f ca="1"/>
        <v>317.70999999999998</v>
      </c>
      <c r="H1023" vm="8108">
        <f ca="1"/>
        <v>45646</v>
      </c>
      <c r="I1023" vm="8111">
        <f ca="1"/>
        <v>134.51</v>
      </c>
      <c r="J1023" vm="8108">
        <f ca="1"/>
        <v>45646</v>
      </c>
      <c r="K1023" vm="8112">
        <f ca="1"/>
        <v>30.14</v>
      </c>
      <c r="L1023" vm="8108">
        <f ca="1"/>
        <v>45646</v>
      </c>
      <c r="M1023" vm="8113">
        <f ca="1"/>
        <v>460.88</v>
      </c>
      <c r="N1023" vm="8108">
        <f ca="1"/>
        <v>45646</v>
      </c>
      <c r="O1023" vm="8114">
        <f ca="1"/>
        <v>48.08</v>
      </c>
      <c r="P1023" vm="8108">
        <f ca="1"/>
        <v>45646</v>
      </c>
      <c r="Q1023" vm="8115">
        <f ca="1"/>
        <v>364.2</v>
      </c>
      <c r="R1023" s="29">
        <f t="shared" ca="1" si="127"/>
        <v>-9.8391414777006161E-4</v>
      </c>
      <c r="S1023" s="30">
        <f t="shared" ca="1" si="128"/>
        <v>7.975188303057143E-3</v>
      </c>
      <c r="T1023" s="30">
        <f t="shared" ca="1" si="129"/>
        <v>8.9875508130080797E-3</v>
      </c>
      <c r="U1023" s="30">
        <f t="shared" ca="1" si="130"/>
        <v>9.9106539529994226E-3</v>
      </c>
      <c r="V1023" s="30">
        <f t="shared" ca="1" si="131"/>
        <v>-4.9810844892812053E-2</v>
      </c>
      <c r="W1023" s="30">
        <f t="shared" ca="1" si="134"/>
        <v>1.4796547472256408E-2</v>
      </c>
      <c r="X1023" s="30">
        <f t="shared" ca="1" si="132"/>
        <v>-0.14356964731029573</v>
      </c>
      <c r="Y1023" s="31">
        <f t="shared" ca="1" si="133"/>
        <v>0.1156037493107885</v>
      </c>
    </row>
    <row r="1024" spans="2:25" x14ac:dyDescent="0.45">
      <c r="B1024" vm="8116">
        <f ca="1"/>
        <v>45649</v>
      </c>
      <c r="C1024" vm="8117">
        <f ca="1"/>
        <v>435.25</v>
      </c>
      <c r="D1024" vm="8116">
        <f ca="1"/>
        <v>45649</v>
      </c>
      <c r="E1024" vm="812">
        <f ca="1"/>
        <v>22.84</v>
      </c>
      <c r="F1024" vm="8116">
        <f ca="1"/>
        <v>45649</v>
      </c>
      <c r="G1024" vm="8118">
        <f ca="1"/>
        <v>317.22000000000003</v>
      </c>
      <c r="H1024" vm="8116">
        <f ca="1"/>
        <v>45649</v>
      </c>
      <c r="I1024" vm="8119">
        <f ca="1"/>
        <v>134.6</v>
      </c>
      <c r="J1024" vm="8116">
        <f ca="1"/>
        <v>45649</v>
      </c>
      <c r="K1024" vm="4648">
        <f ca="1"/>
        <v>31.37</v>
      </c>
      <c r="L1024" vm="8116">
        <f ca="1"/>
        <v>45649</v>
      </c>
      <c r="M1024" vm="8120">
        <f ca="1"/>
        <v>456.29</v>
      </c>
      <c r="N1024" vm="8116">
        <f ca="1"/>
        <v>45649</v>
      </c>
      <c r="O1024" vm="8121">
        <f ca="1"/>
        <v>44.38</v>
      </c>
      <c r="P1024" vm="8116">
        <f ca="1"/>
        <v>45649</v>
      </c>
      <c r="Q1024" vm="8122">
        <f ca="1"/>
        <v>332.23</v>
      </c>
      <c r="R1024" s="29">
        <f t="shared" ca="1" si="127"/>
        <v>-3.0920751259734831E-3</v>
      </c>
      <c r="S1024" s="30">
        <f t="shared" ca="1" si="128"/>
        <v>3.95604395604395E-3</v>
      </c>
      <c r="T1024" s="30">
        <f t="shared" ca="1" si="129"/>
        <v>-1.542286991281207E-3</v>
      </c>
      <c r="U1024" s="30">
        <f t="shared" ca="1" si="130"/>
        <v>6.6909523455507705E-4</v>
      </c>
      <c r="V1024" s="30">
        <f t="shared" ca="1" si="131"/>
        <v>4.0809555408095569E-2</v>
      </c>
      <c r="W1024" s="30">
        <f t="shared" ca="1" si="134"/>
        <v>-9.9592084707515512E-3</v>
      </c>
      <c r="X1024" s="30">
        <f t="shared" ca="1" si="132"/>
        <v>-7.6955074875207904E-2</v>
      </c>
      <c r="Y1024" s="31">
        <f t="shared" ca="1" si="133"/>
        <v>-8.7781438769906572E-2</v>
      </c>
    </row>
    <row r="1025" spans="2:25" x14ac:dyDescent="0.45">
      <c r="B1025" vm="8123">
        <f ca="1"/>
        <v>45650</v>
      </c>
      <c r="C1025" vm="8124">
        <f ca="1"/>
        <v>439.33</v>
      </c>
      <c r="D1025" vm="8123">
        <f ca="1"/>
        <v>45650</v>
      </c>
      <c r="E1025" vm="8125">
        <f ca="1"/>
        <v>22.95</v>
      </c>
      <c r="F1025" vm="8123">
        <f ca="1"/>
        <v>45650</v>
      </c>
      <c r="G1025" vm="8126">
        <f ca="1"/>
        <v>320.64999999999998</v>
      </c>
      <c r="H1025" vm="8123">
        <f ca="1"/>
        <v>45650</v>
      </c>
      <c r="I1025" vm="8127">
        <f ca="1"/>
        <v>136.1</v>
      </c>
      <c r="J1025" vm="8123">
        <f ca="1"/>
        <v>45650</v>
      </c>
      <c r="K1025" vm="8128">
        <f ca="1"/>
        <v>31.97</v>
      </c>
      <c r="L1025" vm="8123">
        <f ca="1"/>
        <v>45650</v>
      </c>
      <c r="M1025" vm="8129">
        <f ca="1"/>
        <v>461.64</v>
      </c>
      <c r="N1025" vm="8123">
        <f ca="1"/>
        <v>45650</v>
      </c>
      <c r="O1025" vm="7440">
        <f ca="1"/>
        <v>42.28</v>
      </c>
      <c r="P1025" vm="8123">
        <f ca="1"/>
        <v>45650</v>
      </c>
      <c r="Q1025" vm="8130">
        <f ca="1"/>
        <v>358.18</v>
      </c>
      <c r="R1025" s="29">
        <f t="shared" ca="1" si="127"/>
        <v>9.3739230327397685E-3</v>
      </c>
      <c r="S1025" s="30">
        <f t="shared" ca="1" si="128"/>
        <v>4.8161120840630222E-3</v>
      </c>
      <c r="T1025" s="30">
        <f t="shared" ca="1" si="129"/>
        <v>1.0812685202698284E-2</v>
      </c>
      <c r="U1025" s="30">
        <f t="shared" ca="1" si="130"/>
        <v>1.1144130757800892E-2</v>
      </c>
      <c r="V1025" s="30">
        <f t="shared" ca="1" si="131"/>
        <v>1.9126554032515074E-2</v>
      </c>
      <c r="W1025" s="30">
        <f t="shared" ca="1" si="134"/>
        <v>1.1724999452102754E-2</v>
      </c>
      <c r="X1025" s="30">
        <f t="shared" ca="1" si="132"/>
        <v>-4.7318611987381735E-2</v>
      </c>
      <c r="Y1025" s="31">
        <f t="shared" ca="1" si="133"/>
        <v>7.8108539264966997E-2</v>
      </c>
    </row>
    <row r="1026" spans="2:25" x14ac:dyDescent="0.45">
      <c r="B1026" vm="8131">
        <f ca="1"/>
        <v>45652</v>
      </c>
      <c r="C1026" vm="8132">
        <f ca="1"/>
        <v>438.11</v>
      </c>
      <c r="D1026" vm="8131">
        <f ca="1"/>
        <v>45652</v>
      </c>
      <c r="E1026" vm="8133">
        <f ca="1"/>
        <v>22.96</v>
      </c>
      <c r="F1026" vm="8131">
        <f ca="1"/>
        <v>45652</v>
      </c>
      <c r="G1026" vm="8134">
        <f ca="1"/>
        <v>320.91000000000003</v>
      </c>
      <c r="H1026" vm="8131">
        <f ca="1"/>
        <v>45652</v>
      </c>
      <c r="I1026" vm="8135">
        <f ca="1"/>
        <v>135.83000000000001</v>
      </c>
      <c r="J1026" vm="8131">
        <f ca="1"/>
        <v>45652</v>
      </c>
      <c r="K1026" vm="8136">
        <f ca="1"/>
        <v>31</v>
      </c>
      <c r="L1026" vm="8131">
        <f ca="1"/>
        <v>45652</v>
      </c>
      <c r="M1026" vm="8137">
        <f ca="1"/>
        <v>457.98</v>
      </c>
      <c r="N1026" vm="8131">
        <f ca="1"/>
        <v>45652</v>
      </c>
      <c r="O1026" vm="8138">
        <f ca="1"/>
        <v>42.55</v>
      </c>
      <c r="P1026" vm="8131">
        <f ca="1"/>
        <v>45652</v>
      </c>
      <c r="Q1026" vm="8139">
        <f ca="1"/>
        <v>341.05</v>
      </c>
      <c r="R1026" s="29">
        <f t="shared" ca="1" si="127"/>
        <v>-2.7769558190880897E-3</v>
      </c>
      <c r="S1026" s="30">
        <f t="shared" ca="1" si="128"/>
        <v>4.3572984749462151E-4</v>
      </c>
      <c r="T1026" s="30">
        <f t="shared" ca="1" si="129"/>
        <v>8.1085295493543664E-4</v>
      </c>
      <c r="U1026" s="30">
        <f t="shared" ca="1" si="130"/>
        <v>-1.9838354151357957E-3</v>
      </c>
      <c r="V1026" s="30">
        <f t="shared" ca="1" si="131"/>
        <v>-3.0340944635595838E-2</v>
      </c>
      <c r="W1026" s="30">
        <f t="shared" ca="1" si="134"/>
        <v>-7.9282557837275121E-3</v>
      </c>
      <c r="X1026" s="30">
        <f t="shared" ca="1" si="132"/>
        <v>6.3859981078523186E-3</v>
      </c>
      <c r="Y1026" s="31">
        <f t="shared" ca="1" si="133"/>
        <v>-4.7825115863532289E-2</v>
      </c>
    </row>
    <row r="1027" spans="2:25" x14ac:dyDescent="0.45">
      <c r="B1027" vm="8140">
        <f ca="1"/>
        <v>45653</v>
      </c>
      <c r="C1027" vm="8141">
        <f ca="1"/>
        <v>430.53</v>
      </c>
      <c r="D1027" vm="8140">
        <f ca="1"/>
        <v>45653</v>
      </c>
      <c r="E1027" vm="8142">
        <f ca="1"/>
        <v>22.86</v>
      </c>
      <c r="F1027" vm="8140">
        <f ca="1"/>
        <v>45653</v>
      </c>
      <c r="G1027" vm="8143">
        <f ca="1"/>
        <v>318.66000000000003</v>
      </c>
      <c r="H1027" vm="8140">
        <f ca="1"/>
        <v>45653</v>
      </c>
      <c r="I1027" vm="8144">
        <f ca="1"/>
        <v>135.54</v>
      </c>
      <c r="J1027" vm="8140">
        <f ca="1"/>
        <v>45653</v>
      </c>
      <c r="K1027" vm="8145">
        <f ca="1"/>
        <v>31.14</v>
      </c>
      <c r="L1027" vm="8140">
        <f ca="1"/>
        <v>45653</v>
      </c>
      <c r="M1027" vm="8146">
        <f ca="1"/>
        <v>456.48</v>
      </c>
      <c r="N1027" vm="8140">
        <f ca="1"/>
        <v>45653</v>
      </c>
      <c r="O1027" vm="7464">
        <f ca="1"/>
        <v>44.43</v>
      </c>
      <c r="P1027" vm="8140">
        <f ca="1"/>
        <v>45653</v>
      </c>
      <c r="Q1027" vm="8147">
        <f ca="1"/>
        <v>330</v>
      </c>
      <c r="R1027" s="29">
        <f t="shared" ca="1" si="127"/>
        <v>-1.730159092465372E-2</v>
      </c>
      <c r="S1027" s="30">
        <f t="shared" ca="1" si="128"/>
        <v>-4.3554006968641729E-3</v>
      </c>
      <c r="T1027" s="30">
        <f t="shared" ca="1" si="129"/>
        <v>-7.011311582686734E-3</v>
      </c>
      <c r="U1027" s="30">
        <f t="shared" ca="1" si="130"/>
        <v>-2.1350217183245266E-3</v>
      </c>
      <c r="V1027" s="30">
        <f t="shared" ca="1" si="131"/>
        <v>4.5161290322580832E-3</v>
      </c>
      <c r="W1027" s="30">
        <f t="shared" ca="1" si="134"/>
        <v>-3.2752521944189703E-3</v>
      </c>
      <c r="X1027" s="30">
        <f t="shared" ca="1" si="132"/>
        <v>4.4183313748531204E-2</v>
      </c>
      <c r="Y1027" s="31">
        <f t="shared" ca="1" si="133"/>
        <v>-3.2399941357572237E-2</v>
      </c>
    </row>
    <row r="1028" spans="2:25" x14ac:dyDescent="0.45">
      <c r="B1028" vm="8148">
        <f ca="1"/>
        <v>45656</v>
      </c>
      <c r="C1028" vm="8149">
        <f ca="1"/>
        <v>424.83</v>
      </c>
      <c r="D1028" vm="8148">
        <f ca="1"/>
        <v>45656</v>
      </c>
      <c r="E1028" vm="2138">
        <f ca="1"/>
        <v>22.61</v>
      </c>
      <c r="F1028" vm="8148">
        <f ca="1"/>
        <v>45656</v>
      </c>
      <c r="G1028" vm="8150">
        <f ca="1"/>
        <v>315.31</v>
      </c>
      <c r="H1028" vm="8148">
        <f ca="1"/>
        <v>45656</v>
      </c>
      <c r="I1028" vm="8151">
        <f ca="1"/>
        <v>134.41999999999999</v>
      </c>
      <c r="J1028" vm="8148">
        <f ca="1"/>
        <v>45656</v>
      </c>
      <c r="K1028" vm="2700">
        <f ca="1"/>
        <v>31.03</v>
      </c>
      <c r="L1028" vm="8148">
        <f ca="1"/>
        <v>45656</v>
      </c>
      <c r="M1028" vm="8152">
        <f ca="1"/>
        <v>451.79</v>
      </c>
      <c r="N1028" vm="8148">
        <f ca="1"/>
        <v>45656</v>
      </c>
      <c r="O1028" vm="8153">
        <f ca="1"/>
        <v>45.53</v>
      </c>
      <c r="P1028" vm="8148">
        <f ca="1"/>
        <v>45656</v>
      </c>
      <c r="Q1028" vm="8154">
        <f ca="1"/>
        <v>302.95999999999998</v>
      </c>
      <c r="R1028" s="29">
        <f t="shared" ca="1" si="127"/>
        <v>-1.3239495505539657E-2</v>
      </c>
      <c r="S1028" s="30">
        <f t="shared" ca="1" si="128"/>
        <v>-1.0936132983377079E-2</v>
      </c>
      <c r="T1028" s="30">
        <f t="shared" ca="1" si="129"/>
        <v>-1.0512772233728809E-2</v>
      </c>
      <c r="U1028" s="30">
        <f t="shared" ca="1" si="130"/>
        <v>-8.2632433230043125E-3</v>
      </c>
      <c r="V1028" s="30">
        <f t="shared" ca="1" si="131"/>
        <v>-3.5324341682723003E-3</v>
      </c>
      <c r="W1028" s="30">
        <f t="shared" ca="1" si="134"/>
        <v>-1.0274272695408336E-2</v>
      </c>
      <c r="X1028" s="30">
        <f t="shared" ca="1" si="132"/>
        <v>2.4758046365068679E-2</v>
      </c>
      <c r="Y1028" s="31">
        <f t="shared" ca="1" si="133"/>
        <v>-8.1939393939394006E-2</v>
      </c>
    </row>
    <row r="1029" spans="2:25" x14ac:dyDescent="0.45">
      <c r="B1029" vm="8155">
        <f ca="1"/>
        <v>45657</v>
      </c>
      <c r="C1029" vm="8156">
        <f ca="1"/>
        <v>421.5</v>
      </c>
      <c r="D1029" vm="8155">
        <f ca="1"/>
        <v>45657</v>
      </c>
      <c r="E1029" vm="248">
        <f ca="1"/>
        <v>22.77</v>
      </c>
      <c r="F1029" vm="8155">
        <f ca="1"/>
        <v>45657</v>
      </c>
      <c r="G1029" vm="8157">
        <f ca="1"/>
        <v>316.04000000000002</v>
      </c>
      <c r="H1029" vm="8155">
        <f ca="1"/>
        <v>45657</v>
      </c>
      <c r="I1029" vm="8158">
        <f ca="1"/>
        <v>134.34</v>
      </c>
      <c r="J1029" vm="8155">
        <f ca="1"/>
        <v>45657</v>
      </c>
      <c r="K1029" vm="8159">
        <f ca="1"/>
        <v>33.99</v>
      </c>
      <c r="L1029" vm="8155">
        <f ca="1"/>
        <v>45657</v>
      </c>
      <c r="M1029" vm="8160">
        <f ca="1"/>
        <v>447.38</v>
      </c>
      <c r="N1029" vm="8155">
        <f ca="1"/>
        <v>45657</v>
      </c>
      <c r="O1029" vm="8161">
        <f ca="1"/>
        <v>45.8</v>
      </c>
      <c r="P1029" vm="8155">
        <f ca="1"/>
        <v>45657</v>
      </c>
      <c r="Q1029" vm="8162">
        <f ca="1"/>
        <v>289.62</v>
      </c>
      <c r="R1029" s="32">
        <f t="shared" ref="R1029" ca="1" si="135">(C1029-C1028)/C1028</f>
        <v>-7.838429489442798E-3</v>
      </c>
      <c r="S1029" s="33">
        <f t="shared" ref="S1029" ca="1" si="136">(E1029-E1028)/E1028</f>
        <v>7.0765148164529034E-3</v>
      </c>
      <c r="T1029" s="33">
        <f t="shared" ref="T1029" ca="1" si="137">(G1029-G1028)/G1028</f>
        <v>2.3151818844946818E-3</v>
      </c>
      <c r="U1029" s="33">
        <f t="shared" ref="U1029" ca="1" si="138">(I1029-I1028)/I1028</f>
        <v>-5.9514953131962578E-4</v>
      </c>
      <c r="V1029" s="33">
        <f t="shared" ref="V1029" ca="1" si="139">(K1029-K1028)/K1028</f>
        <v>9.5391556558169541E-2</v>
      </c>
      <c r="W1029" s="33">
        <f t="shared" ca="1" si="134"/>
        <v>-9.7611722260342749E-3</v>
      </c>
      <c r="X1029" s="33">
        <f t="shared" ref="X1029" ca="1" si="140">(O1029-O1028)/O1028</f>
        <v>5.9301559411376239E-3</v>
      </c>
      <c r="Y1029" s="34">
        <f t="shared" ref="Y1029" ca="1" si="141">(Q1029-Q1028)/Q1028</f>
        <v>-4.4032215473989889E-2</v>
      </c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88C8-D5D9-4AD1-9600-84D42705DD25}">
  <dimension ref="A1:G60"/>
  <sheetViews>
    <sheetView workbookViewId="0">
      <selection activeCell="G4" sqref="G4"/>
    </sheetView>
  </sheetViews>
  <sheetFormatPr defaultRowHeight="14.25" x14ac:dyDescent="0.45"/>
  <cols>
    <col min="1" max="1" width="17.1328125" customWidth="1"/>
    <col min="7" max="7" width="12.265625" customWidth="1"/>
    <col min="8" max="8" width="14.796875" customWidth="1"/>
  </cols>
  <sheetData>
    <row r="1" spans="1:7" x14ac:dyDescent="0.45">
      <c r="A1" s="48" t="s">
        <v>51</v>
      </c>
      <c r="D1" t="s">
        <v>52</v>
      </c>
      <c r="G1" t="s">
        <v>53</v>
      </c>
    </row>
    <row r="2" spans="1:7" x14ac:dyDescent="0.45">
      <c r="A2" t="s">
        <v>54</v>
      </c>
      <c r="B2">
        <v>0</v>
      </c>
    </row>
    <row r="3" spans="1:7" x14ac:dyDescent="0.45">
      <c r="A3" t="s">
        <v>55</v>
      </c>
      <c r="B3" t="b">
        <v>0</v>
      </c>
      <c r="D3" t="s">
        <v>56</v>
      </c>
      <c r="E3" t="s">
        <v>57</v>
      </c>
      <c r="G3" t="s">
        <v>56</v>
      </c>
    </row>
    <row r="4" spans="1:7" x14ac:dyDescent="0.45">
      <c r="A4" t="s">
        <v>58</v>
      </c>
      <c r="B4">
        <v>10</v>
      </c>
      <c r="D4" s="49"/>
    </row>
    <row r="5" spans="1:7" x14ac:dyDescent="0.45">
      <c r="A5" t="s">
        <v>59</v>
      </c>
      <c r="B5" t="b">
        <v>1</v>
      </c>
      <c r="D5" s="49"/>
    </row>
    <row r="6" spans="1:7" x14ac:dyDescent="0.45">
      <c r="A6" t="s">
        <v>60</v>
      </c>
      <c r="B6" t="b">
        <v>1</v>
      </c>
      <c r="D6" s="49"/>
    </row>
    <row r="7" spans="1:7" x14ac:dyDescent="0.45">
      <c r="D7" s="49"/>
    </row>
    <row r="8" spans="1:7" x14ac:dyDescent="0.45">
      <c r="D8" s="49"/>
    </row>
    <row r="9" spans="1:7" x14ac:dyDescent="0.45">
      <c r="D9" s="49"/>
    </row>
    <row r="10" spans="1:7" x14ac:dyDescent="0.45">
      <c r="A10" t="s">
        <v>61</v>
      </c>
      <c r="D10" s="49"/>
    </row>
    <row r="11" spans="1:7" x14ac:dyDescent="0.45">
      <c r="A11" t="s">
        <v>62</v>
      </c>
      <c r="D11" s="49"/>
    </row>
    <row r="12" spans="1:7" x14ac:dyDescent="0.45">
      <c r="D12" s="49"/>
    </row>
    <row r="13" spans="1:7" x14ac:dyDescent="0.45">
      <c r="D13" s="49"/>
    </row>
    <row r="14" spans="1:7" x14ac:dyDescent="0.45">
      <c r="D14" s="49"/>
    </row>
    <row r="15" spans="1:7" x14ac:dyDescent="0.45">
      <c r="D15" s="49"/>
    </row>
    <row r="16" spans="1:7" x14ac:dyDescent="0.45">
      <c r="D16" s="49"/>
    </row>
    <row r="17" spans="4:4" x14ac:dyDescent="0.45">
      <c r="D17" s="49"/>
    </row>
    <row r="18" spans="4:4" x14ac:dyDescent="0.45">
      <c r="D18" s="49"/>
    </row>
    <row r="19" spans="4:4" x14ac:dyDescent="0.45">
      <c r="D19" s="49"/>
    </row>
    <row r="20" spans="4:4" x14ac:dyDescent="0.45">
      <c r="D20" s="49"/>
    </row>
    <row r="21" spans="4:4" x14ac:dyDescent="0.45">
      <c r="D21" s="49"/>
    </row>
    <row r="22" spans="4:4" x14ac:dyDescent="0.45">
      <c r="D22" s="49"/>
    </row>
    <row r="23" spans="4:4" x14ac:dyDescent="0.45">
      <c r="D23" s="49"/>
    </row>
    <row r="24" spans="4:4" x14ac:dyDescent="0.45">
      <c r="D24" s="49"/>
    </row>
    <row r="25" spans="4:4" x14ac:dyDescent="0.45">
      <c r="D25" s="49"/>
    </row>
    <row r="26" spans="4:4" x14ac:dyDescent="0.45">
      <c r="D26" s="49"/>
    </row>
    <row r="27" spans="4:4" x14ac:dyDescent="0.45">
      <c r="D27" s="49"/>
    </row>
    <row r="28" spans="4:4" x14ac:dyDescent="0.45">
      <c r="D28" s="49"/>
    </row>
    <row r="29" spans="4:4" x14ac:dyDescent="0.45">
      <c r="D29" s="49"/>
    </row>
    <row r="30" spans="4:4" x14ac:dyDescent="0.45">
      <c r="D30" s="49"/>
    </row>
    <row r="31" spans="4:4" x14ac:dyDescent="0.45">
      <c r="D31" s="49"/>
    </row>
    <row r="32" spans="4:4" x14ac:dyDescent="0.45">
      <c r="D32" s="49"/>
    </row>
    <row r="33" spans="4:4" x14ac:dyDescent="0.45">
      <c r="D33" s="49"/>
    </row>
    <row r="34" spans="4:4" x14ac:dyDescent="0.45">
      <c r="D34" s="49"/>
    </row>
    <row r="35" spans="4:4" x14ac:dyDescent="0.45">
      <c r="D35" s="49"/>
    </row>
    <row r="36" spans="4:4" x14ac:dyDescent="0.45">
      <c r="D36" s="49"/>
    </row>
    <row r="37" spans="4:4" x14ac:dyDescent="0.45">
      <c r="D37" s="49"/>
    </row>
    <row r="38" spans="4:4" x14ac:dyDescent="0.45">
      <c r="D38" s="49"/>
    </row>
    <row r="39" spans="4:4" x14ac:dyDescent="0.45">
      <c r="D39" s="49"/>
    </row>
    <row r="40" spans="4:4" x14ac:dyDescent="0.45">
      <c r="D40" s="49"/>
    </row>
    <row r="41" spans="4:4" x14ac:dyDescent="0.45">
      <c r="D41" s="49"/>
    </row>
    <row r="42" spans="4:4" x14ac:dyDescent="0.45">
      <c r="D42" s="49"/>
    </row>
    <row r="43" spans="4:4" x14ac:dyDescent="0.45">
      <c r="D43" s="49"/>
    </row>
    <row r="44" spans="4:4" x14ac:dyDescent="0.45">
      <c r="D44" s="49"/>
    </row>
    <row r="45" spans="4:4" x14ac:dyDescent="0.45">
      <c r="D45" s="49"/>
    </row>
    <row r="46" spans="4:4" x14ac:dyDescent="0.45">
      <c r="D46" s="49"/>
    </row>
    <row r="47" spans="4:4" x14ac:dyDescent="0.45">
      <c r="D47" s="49"/>
    </row>
    <row r="48" spans="4:4" x14ac:dyDescent="0.45">
      <c r="D48" s="49"/>
    </row>
    <row r="49" spans="4:4" x14ac:dyDescent="0.45">
      <c r="D49" s="49"/>
    </row>
    <row r="50" spans="4:4" x14ac:dyDescent="0.45">
      <c r="D50" s="49"/>
    </row>
    <row r="51" spans="4:4" x14ac:dyDescent="0.45">
      <c r="D51" s="49"/>
    </row>
    <row r="52" spans="4:4" x14ac:dyDescent="0.45">
      <c r="D52" s="49"/>
    </row>
    <row r="53" spans="4:4" x14ac:dyDescent="0.45">
      <c r="D53" s="49"/>
    </row>
    <row r="54" spans="4:4" x14ac:dyDescent="0.45">
      <c r="D54" s="49"/>
    </row>
    <row r="55" spans="4:4" x14ac:dyDescent="0.45">
      <c r="D55" s="49"/>
    </row>
    <row r="56" spans="4:4" x14ac:dyDescent="0.45">
      <c r="D56" s="49"/>
    </row>
    <row r="57" spans="4:4" x14ac:dyDescent="0.45">
      <c r="D57" s="49"/>
    </row>
    <row r="58" spans="4:4" x14ac:dyDescent="0.45">
      <c r="D58" s="49"/>
    </row>
    <row r="59" spans="4:4" x14ac:dyDescent="0.45">
      <c r="D59" s="49"/>
    </row>
    <row r="60" spans="4:4" x14ac:dyDescent="0.45">
      <c r="D60" s="4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CC0818538A06458847460A3B8FF6A7" ma:contentTypeVersion="15" ma:contentTypeDescription="Create a new document." ma:contentTypeScope="" ma:versionID="c388ce822be4b654718d2518e0e8c299">
  <xsd:schema xmlns:xsd="http://www.w3.org/2001/XMLSchema" xmlns:xs="http://www.w3.org/2001/XMLSchema" xmlns:p="http://schemas.microsoft.com/office/2006/metadata/properties" xmlns:ns3="c8df8795-5ebd-4097-aaf4-6a1c34a4cbb5" xmlns:ns4="b49e311f-be93-44e6-b2dc-1d2715b7f0f2" targetNamespace="http://schemas.microsoft.com/office/2006/metadata/properties" ma:root="true" ma:fieldsID="793ad97be033ac1eafdc531d83e747f2" ns3:_="" ns4:_="">
    <xsd:import namespace="c8df8795-5ebd-4097-aaf4-6a1c34a4cbb5"/>
    <xsd:import namespace="b49e311f-be93-44e6-b2dc-1d2715b7f0f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f8795-5ebd-4097-aaf4-6a1c34a4cb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9e311f-be93-44e6-b2dc-1d2715b7f0f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8df8795-5ebd-4097-aaf4-6a1c34a4cbb5" xsi:nil="true"/>
  </documentManagement>
</p:properties>
</file>

<file path=customXml/itemProps1.xml><?xml version="1.0" encoding="utf-8"?>
<ds:datastoreItem xmlns:ds="http://schemas.openxmlformats.org/officeDocument/2006/customXml" ds:itemID="{2AEB741E-9CB7-40DF-B478-07C641028595}">
  <ds:schemaRefs>
    <ds:schemaRef ds:uri="http://www.w3.org/2001/XMLSchema"/>
    <ds:schemaRef ds:uri="http://www.boozallen.com/argo/guid"/>
  </ds:schemaRefs>
</ds:datastoreItem>
</file>

<file path=customXml/itemProps2.xml><?xml version="1.0" encoding="utf-8"?>
<ds:datastoreItem xmlns:ds="http://schemas.openxmlformats.org/officeDocument/2006/customXml" ds:itemID="{562690B6-39BE-49DD-8A8D-FA1DB69B7F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df8795-5ebd-4097-aaf4-6a1c34a4cbb5"/>
    <ds:schemaRef ds:uri="b49e311f-be93-44e6-b2dc-1d2715b7f0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A4FF16-2418-4A43-B9CF-E500107BFB5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FDFBD4-82A0-424D-A64F-F82443C6AFC6}">
  <ds:schemaRefs>
    <ds:schemaRef ds:uri="http://purl.org/dc/terms/"/>
    <ds:schemaRef ds:uri="b49e311f-be93-44e6-b2dc-1d2715b7f0f2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8df8795-5ebd-4097-aaf4-6a1c34a4cbb5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Set</vt:lpstr>
      <vt:lpstr>XLRisk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Lawrence, Gabriel Antonio (vzh2vs)</dc:creator>
  <cp:lastModifiedBy>Lawrence, Gabriel Antonio (vzh2vs)</cp:lastModifiedBy>
  <dcterms:created xsi:type="dcterms:W3CDTF">2025-02-04T21:02:38Z</dcterms:created>
  <dcterms:modified xsi:type="dcterms:W3CDTF">2025-02-05T18:45:28Z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0x010100EFCC0818538A06458847460A3B8FF6A7</vt:lpwstr>
  </property>
</Properties>
</file>